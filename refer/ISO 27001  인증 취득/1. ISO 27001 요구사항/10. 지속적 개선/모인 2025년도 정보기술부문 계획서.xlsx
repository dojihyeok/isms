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표지" sheetId="1" r:id="rId4"/>
    <sheet state="visible" name="1.개요" sheetId="2" r:id="rId5"/>
    <sheet state="visible" name="2. 목표 및 전략" sheetId="3" r:id="rId6"/>
    <sheet state="visible" name="3. 추진실적" sheetId="4" r:id="rId7"/>
    <sheet state="visible" name="4. 추진계획" sheetId="5" r:id="rId8"/>
    <sheet state="visible" name="5. 조직 구성 및 인력 현황" sheetId="6" r:id="rId9"/>
    <sheet state="visible" name="6.예산" sheetId="7" r:id="rId10"/>
  </sheets>
  <externalReferences>
    <externalReference r:id="rId11"/>
    <externalReference r:id="rId12"/>
  </externalReferences>
  <definedNames>
    <definedName name="넷">[1]점수표!$M$1:$M$4</definedName>
    <definedName name="다섯">[1]점수표!$N$1:$N$5</definedName>
    <definedName name="다섯다섯">[2]점수표!$N$1:$N$5</definedName>
    <definedName name="둘">[1]점수표!$L$1:$L$2</definedName>
  </definedNames>
  <calcPr/>
  <extLst>
    <ext uri="GoogleSheetsCustomDataVersion2">
      <go:sheetsCustomData xmlns:go="http://customooxmlschemas.google.com/" r:id="rId13" roundtripDataChecksum="x44fosTgZz4JUNzT9kGafJDAQAdbhcgTHfE78788hT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7">
      <text>
        <t xml:space="preserve">======
ID#AAABfZou6DM
Hye-lim Koo    (2025-03-06 06:07:59)
1) 전자금융 감독규정 &lt;별표1&gt; 정보기술부문 인력 및 정보보호 인력 기준 1.가.
2) 업무보고서 (IT017) - 정보기술 기준인력 (총 임직원)</t>
      </text>
    </comment>
    <comment authorId="0" ref="H34">
      <text>
        <t xml:space="preserve">======
ID#AAABfZou6DQ
FSS_NT551XDA    (2025-03-06 06:07:59)
CISO 겸직시 
겸직업무 기술</t>
      </text>
    </comment>
    <comment authorId="0" ref="G25">
      <text>
        <t xml:space="preserve">======
ID#AAABfZou6DI
Hye-lim Koo    (2025-03-06 06:07:59)
1) 전자금융 감독규정 &lt;별표1&gt; 정보기술부문 인력 및 정보보호 인력 기준 1.나.</t>
      </text>
    </comment>
    <comment authorId="0" ref="H26">
      <text>
        <t xml:space="preserve">======
ID#AAABfZou6DE
Hye-lim Koo    (2025-03-06 06:07:59)
1) 전자금융 감독규정 &lt;별포1&gt; 정보기술부문 인력 및 정보보호 인력 기준 1.나. &amp; 2.다.
2) 업무보고서 (IT017) - 인정 상주 외주인력</t>
      </text>
    </comment>
    <comment authorId="0" ref="G26">
      <text>
        <t xml:space="preserve">======
ID#AAABfZou6DA
Hye-lim Koo    (2025-03-06 06:07:59)
1) 전자금융 감독규정 &lt;별포1&gt; 정보기술부문 인력 및 정보보호 인력 기준 1.나. &amp; 2.나.
2) 업무보고서 (IT017) - 전산자회사 상주인력
3) 재하청인력 제외</t>
      </text>
    </comment>
    <comment authorId="0" ref="E25">
      <text>
        <t xml:space="preserve">======
ID#AAABfZou6C8
Hye-lim Koo    (2025-03-06 06:07:59)
1) 전자금융 감독규정 &lt;별포1&gt; 정보기술부문 인력 및 정보보호 인력 기준 2.가.
2) 업무보고서 (IT017) - 내부 정보기술부문 인력</t>
      </text>
    </comment>
  </commentList>
  <extLst>
    <ext uri="GoogleSheetsCustomDataVersion2">
      <go:sheetsCustomData xmlns:go="http://customooxmlschemas.google.com/" r:id="rId1" roundtripDataSignature="AMtx7mjnEJt6cQ4btDStIlMucq5ak2ifzQ=="/>
    </ext>
  </extLst>
</comments>
</file>

<file path=xl/sharedStrings.xml><?xml version="1.0" encoding="utf-8"?>
<sst xmlns="http://schemas.openxmlformats.org/spreadsheetml/2006/main" count="324" uniqueCount="240">
  <si>
    <t>※ 정보기술부문 계획서 표지</t>
  </si>
  <si>
    <t>1. 표지 첨부 여부</t>
  </si>
  <si>
    <t>파일 첨부 여부</t>
  </si>
  <si>
    <t>O</t>
  </si>
  <si>
    <t>2. 대표자 확인 서명 여부</t>
  </si>
  <si>
    <t>구분</t>
  </si>
  <si>
    <t>기관명</t>
  </si>
  <si>
    <t>부서</t>
  </si>
  <si>
    <t>직위</t>
  </si>
  <si>
    <t>성명</t>
  </si>
  <si>
    <t>서명여부</t>
  </si>
  <si>
    <t>전화번호</t>
  </si>
  <si>
    <t>이메일</t>
  </si>
  <si>
    <t>대표이사</t>
  </si>
  <si>
    <t>주식회사 모인</t>
  </si>
  <si>
    <t>경영</t>
  </si>
  <si>
    <t>CEO</t>
  </si>
  <si>
    <t>서일석</t>
  </si>
  <si>
    <t>확인자</t>
  </si>
  <si>
    <t>Pro</t>
  </si>
  <si>
    <t>CPO/CISO</t>
  </si>
  <si>
    <t>서홍석</t>
  </si>
  <si>
    <t>070-4367-0113</t>
  </si>
  <si>
    <t>hongseok.suh@themoin.com</t>
  </si>
  <si>
    <t>작성자</t>
  </si>
  <si>
    <t>보안</t>
  </si>
  <si>
    <t>담당자</t>
  </si>
  <si>
    <t>이윤혁</t>
  </si>
  <si>
    <t>yunhyeok.lee@themoin.com</t>
  </si>
  <si>
    <r>
      <rPr>
        <rFont val="Malgun Gothic"/>
        <b/>
        <color theme="1"/>
        <sz val="12.0"/>
      </rPr>
      <t>※ 유의사항(</t>
    </r>
    <r>
      <rPr>
        <rFont val="맑은 고딕"/>
        <b/>
        <color rgb="FFFF0000"/>
        <sz val="12.0"/>
      </rPr>
      <t>아래 사항을 반드시 준수하여 작성하여 주시기 바랍니다.</t>
    </r>
    <r>
      <rPr>
        <rFont val="맑은 고딕"/>
        <b/>
        <color theme="1"/>
        <sz val="12.0"/>
      </rPr>
      <t>)</t>
    </r>
  </si>
  <si>
    <r>
      <rPr>
        <rFont val="Malgun Gothic"/>
        <color theme="1"/>
        <sz val="13.0"/>
      </rPr>
      <t xml:space="preserve">1. 각 </t>
    </r>
    <r>
      <rPr>
        <rFont val="맑은 고딕"/>
        <b/>
        <color rgb="FFFF0000"/>
        <sz val="13.0"/>
        <u/>
      </rPr>
      <t>Sheet의 유의사항</t>
    </r>
    <r>
      <rPr>
        <rFont val="맑은 고딕"/>
        <color theme="1"/>
        <sz val="13.0"/>
      </rPr>
      <t>을 반드시 확인하시고 작성하시기 바랍니다.</t>
    </r>
  </si>
  <si>
    <t xml:space="preserve">2. 대표이사(대표자) 등의 서명이 포함된 연간계획서 표지 사본(스캔본) 또는 대표이사(대표자)가 전자결재한 공문 사본(스캔본)을 반드시 별도 파일로 첨부하시기 바랍니다. </t>
  </si>
  <si>
    <r>
      <rPr>
        <rFont val="Malgun Gothic"/>
        <color theme="1"/>
        <sz val="13.0"/>
      </rPr>
      <t xml:space="preserve">   </t>
    </r>
    <r>
      <rPr>
        <rFont val="맑은 고딕"/>
        <b/>
        <color theme="1"/>
        <sz val="13.0"/>
      </rPr>
      <t xml:space="preserve">(엑셀파일에 첨부시 불인정, 파일명 준수) </t>
    </r>
    <r>
      <rPr>
        <rFont val="맑은 고딕"/>
        <color theme="1"/>
        <sz val="13.0"/>
      </rPr>
      <t xml:space="preserve"> * 파일명 : 정보기술부문 연간계획서 표지(회사명)</t>
    </r>
  </si>
  <si>
    <r>
      <rPr>
        <rFont val="Malgun Gothic"/>
        <color theme="1"/>
        <sz val="13.0"/>
      </rPr>
      <t xml:space="preserve">3. 왼쪽에 제시된 표지는 </t>
    </r>
    <r>
      <rPr>
        <rFont val="맑은 고딕"/>
        <b/>
        <color theme="1"/>
        <sz val="13.0"/>
      </rPr>
      <t>전자금융감독규정시행세칙 별제 제8호 서식</t>
    </r>
    <r>
      <rPr>
        <rFont val="맑은 고딕"/>
        <color theme="1"/>
        <sz val="13.0"/>
      </rPr>
      <t xml:space="preserve">이며, 각 회사의 사정에 맞게 작성하여 </t>
    </r>
    <r>
      <rPr>
        <rFont val="맑은 고딕"/>
        <b/>
        <color theme="1"/>
        <sz val="13.0"/>
        <u/>
      </rPr>
      <t>스캔본을 별도 파일로 첨부</t>
    </r>
    <r>
      <rPr>
        <rFont val="맑은 고딕"/>
        <i/>
        <color theme="1"/>
        <sz val="12.0"/>
      </rPr>
      <t>(별도 PDF파일에 포함)</t>
    </r>
  </si>
  <si>
    <t>1. 정보기술부문 개요</t>
  </si>
  <si>
    <t>1. 회사명</t>
  </si>
  <si>
    <t>2. 제출일</t>
  </si>
  <si>
    <t>*</t>
  </si>
  <si>
    <t>3. 대상기간(시작일)</t>
  </si>
  <si>
    <t>4. 대상기간(종료일)</t>
  </si>
  <si>
    <t>4-1. 사업연도 결산월</t>
  </si>
  <si>
    <t>5. 정보보호위원회 심의·의결일</t>
  </si>
  <si>
    <r>
      <rPr>
        <rFont val="Malgun Gothic"/>
        <b/>
        <color theme="1"/>
        <sz val="12.0"/>
      </rPr>
      <t>※ 유의사항(</t>
    </r>
    <r>
      <rPr>
        <rFont val="맑은 고딕"/>
        <b/>
        <color rgb="FFFF0000"/>
        <sz val="12.0"/>
      </rPr>
      <t>아래 사항을 반드시 준수하여 작성하여 주시기 바랍니다.</t>
    </r>
    <r>
      <rPr>
        <rFont val="맑은 고딕"/>
        <b/>
        <color theme="1"/>
        <sz val="12.0"/>
      </rPr>
      <t>)</t>
    </r>
  </si>
  <si>
    <t>1. 양식 절대 변경 불가</t>
  </si>
  <si>
    <r>
      <rPr>
        <rFont val="Malgun Gothic"/>
        <color theme="1"/>
        <sz val="13.0"/>
      </rPr>
      <t>2. 날짜는 반드시 연도·월·일을 "</t>
    </r>
    <r>
      <rPr>
        <rFont val="맑은 고딕"/>
        <b/>
        <color theme="1"/>
        <sz val="13.0"/>
      </rPr>
      <t>YYYY-MM-DD</t>
    </r>
    <r>
      <rPr>
        <rFont val="맑은 고딕"/>
        <color theme="1"/>
        <sz val="13.0"/>
      </rPr>
      <t>" 형식(</t>
    </r>
    <r>
      <rPr>
        <rFont val="맑은 고딕"/>
        <color theme="1"/>
        <sz val="13.0"/>
        <u/>
      </rPr>
      <t>숫자 8자리를 '-'기호로 구분)</t>
    </r>
    <r>
      <rPr>
        <rFont val="맑은 고딕"/>
        <color theme="1"/>
        <sz val="13.0"/>
      </rPr>
      <t>으로 작성</t>
    </r>
    <r>
      <rPr>
        <rFont val="맑은 고딕"/>
        <i/>
        <color theme="1"/>
        <sz val="13.0"/>
      </rPr>
      <t>(예시: 2025-01-01)</t>
    </r>
  </si>
  <si>
    <t>3. 4-1번은 사업연도 결산월을 01~12 중 선택</t>
  </si>
  <si>
    <t>4. 정보보호위원회 심의·의결서 사본을 별도 파일로 제출할 것</t>
  </si>
  <si>
    <t>2. 정보기술부문 추진목표 및 추진전략</t>
  </si>
  <si>
    <t>1. 추진 목표</t>
  </si>
  <si>
    <t>목표 내용</t>
  </si>
  <si>
    <t>목표 1</t>
  </si>
  <si>
    <t>글로벌 서비스 확장</t>
  </si>
  <si>
    <t>목표 2</t>
  </si>
  <si>
    <t xml:space="preserve">지급 결제 서비스 </t>
  </si>
  <si>
    <t>목표 3</t>
  </si>
  <si>
    <t>업무지원시스템 고도화</t>
  </si>
  <si>
    <t>목표 4</t>
  </si>
  <si>
    <t>보안 관리체계 운영 안정화</t>
  </si>
  <si>
    <t>목표 5</t>
  </si>
  <si>
    <t>2. 추진 전략</t>
  </si>
  <si>
    <t>전략 내용</t>
  </si>
  <si>
    <t>상세전략ⓐ</t>
  </si>
  <si>
    <t>상세전략ⓑ</t>
  </si>
  <si>
    <t>상세전략ⓒ</t>
  </si>
  <si>
    <t>상세전략ⓓ</t>
  </si>
  <si>
    <t>전략 1</t>
  </si>
  <si>
    <t>IT 시스템 안정성 확보</t>
  </si>
  <si>
    <t>시스템 로깅 강화</t>
  </si>
  <si>
    <t>장애 알림 시스템 강화</t>
  </si>
  <si>
    <t>전략 2</t>
  </si>
  <si>
    <t>통합 로그인 구축</t>
  </si>
  <si>
    <t>로그인 방법 다양화</t>
  </si>
  <si>
    <t>Global 로그인 기능 구성</t>
  </si>
  <si>
    <t>전략 3</t>
  </si>
  <si>
    <t>연동 기능 확장</t>
  </si>
  <si>
    <t>서버간 연동 기능 구성</t>
  </si>
  <si>
    <t>전략 4</t>
  </si>
  <si>
    <t>운영 어드민 기능 개선</t>
  </si>
  <si>
    <t>개발자 설정 기능 구성</t>
  </si>
  <si>
    <t>업무 최적화를 위한 어드민 기능 개선</t>
  </si>
  <si>
    <t>전략 5</t>
  </si>
  <si>
    <t>정보보안 전담팀 구성</t>
  </si>
  <si>
    <t>보안 정책 담당자 채용</t>
  </si>
  <si>
    <t>보안 전담 엔지니어 채용</t>
  </si>
  <si>
    <t>전략 6</t>
  </si>
  <si>
    <t>전략 7</t>
  </si>
  <si>
    <t>전략 8</t>
  </si>
  <si>
    <t>전략 9</t>
  </si>
  <si>
    <t>전략 10</t>
  </si>
  <si>
    <r>
      <rPr>
        <rFont val="Malgun Gothic"/>
        <b/>
        <color theme="1"/>
        <sz val="12.0"/>
      </rPr>
      <t>※ 유의사항(</t>
    </r>
    <r>
      <rPr>
        <rFont val="맑은 고딕"/>
        <b/>
        <color rgb="FFFF0000"/>
        <sz val="12.0"/>
      </rPr>
      <t>아래 사항을 반드시 준수하여 작성하여 주시기 바랍니다.</t>
    </r>
    <r>
      <rPr>
        <rFont val="맑은 고딕"/>
        <b/>
        <color theme="1"/>
        <sz val="12.0"/>
      </rPr>
      <t>)</t>
    </r>
  </si>
  <si>
    <r>
      <rPr>
        <rFont val="Malgun Gothic"/>
        <color theme="1"/>
        <sz val="13.0"/>
      </rPr>
      <t xml:space="preserve">1. 목표 및 전략이 5~10행을 초과하는 경우는 </t>
    </r>
    <r>
      <rPr>
        <rFont val="맑은 고딕"/>
        <b/>
        <color theme="1"/>
        <sz val="13.0"/>
        <u/>
      </rPr>
      <t>중점 목표(5개), 전략(10개)만 본 시트에 작성</t>
    </r>
    <r>
      <rPr>
        <rFont val="맑은 고딕"/>
        <color theme="1"/>
        <sz val="13.0"/>
      </rPr>
      <t>하고,</t>
    </r>
    <r>
      <rPr>
        <rFont val="맑은 고딕"/>
        <b/>
        <color theme="1"/>
        <sz val="13.0"/>
      </rPr>
      <t xml:space="preserve"> </t>
    </r>
    <r>
      <rPr>
        <rFont val="맑은 고딕"/>
        <color theme="1"/>
        <sz val="13.0"/>
      </rPr>
      <t>그 외는 별도 파일로 제출</t>
    </r>
  </si>
  <si>
    <t>(예시)</t>
  </si>
  <si>
    <t>(예) 혁신을 주도하는, Creative IT 그룹</t>
  </si>
  <si>
    <t>(예) IT시스템 안정성 확보</t>
  </si>
  <si>
    <t>(예) 무결점 시스템 구현</t>
  </si>
  <si>
    <t>(예) 디지털 금융서비스 강화</t>
  </si>
  <si>
    <t>(예) 노후 IT기기 교체</t>
  </si>
  <si>
    <t>(예) 최적화된 인프라 구축</t>
  </si>
  <si>
    <t>(예) 영업지원 강화</t>
  </si>
  <si>
    <t>(예) 글로벌 인프라 구축</t>
  </si>
  <si>
    <r>
      <rPr>
        <rFont val="Malgun Gothic"/>
        <color theme="1"/>
        <sz val="13.0"/>
      </rPr>
      <t xml:space="preserve">본 (예시)는 이해를 돕기위한 </t>
    </r>
    <r>
      <rPr>
        <rFont val="맑은 고딕"/>
        <b/>
        <i/>
        <color rgb="FFFF0000"/>
        <sz val="13.0"/>
      </rPr>
      <t>예시</t>
    </r>
    <r>
      <rPr>
        <rFont val="맑은 고딕"/>
        <color theme="1"/>
        <sz val="13.0"/>
      </rPr>
      <t>일뿐이며 실제 내용은 각 회사 사정에 맞게 적의 판단하여 작성</t>
    </r>
  </si>
  <si>
    <t>3. '24년도(직전 연도) 추진 실적</t>
  </si>
  <si>
    <t>프로젝트명</t>
  </si>
  <si>
    <t>수행 기간</t>
  </si>
  <si>
    <t>상세 추진 내용</t>
  </si>
  <si>
    <t>이행여부</t>
  </si>
  <si>
    <t>시작년월</t>
  </si>
  <si>
    <t>종료년월</t>
  </si>
  <si>
    <t>검증</t>
  </si>
  <si>
    <t>정보보안</t>
  </si>
  <si>
    <t>보안강화</t>
  </si>
  <si>
    <t>ISO270001 인증 취득 (글로벌)</t>
  </si>
  <si>
    <t>진행중</t>
  </si>
  <si>
    <t>ISMS 인증 취득 (국내)</t>
  </si>
  <si>
    <t>미착수</t>
  </si>
  <si>
    <r>
      <rPr>
        <rFont val="Malgun Gothic"/>
        <b/>
        <color theme="1"/>
        <sz val="12.0"/>
      </rPr>
      <t>※ 유의사항(</t>
    </r>
    <r>
      <rPr>
        <rFont val="맑은 고딕"/>
        <b/>
        <color rgb="FFFF0000"/>
        <sz val="12.0"/>
      </rPr>
      <t>아래 사항을 반드시 준수하여 작성하여 주시기 바랍니다.</t>
    </r>
    <r>
      <rPr>
        <rFont val="맑은 고딕"/>
        <b/>
        <color theme="1"/>
        <sz val="12.0"/>
      </rPr>
      <t>)</t>
    </r>
  </si>
  <si>
    <r>
      <rPr>
        <rFont val="Malgun Gothic"/>
        <color theme="1"/>
        <sz val="13.0"/>
      </rPr>
      <t xml:space="preserve">1. '구분'은 </t>
    </r>
    <r>
      <rPr>
        <rFont val="맑은 고딕"/>
        <b/>
        <color theme="1"/>
        <sz val="13.0"/>
      </rPr>
      <t>정보기술 / 정보보안</t>
    </r>
    <r>
      <rPr>
        <rFont val="맑은 고딕"/>
        <color theme="1"/>
        <sz val="13.0"/>
      </rPr>
      <t xml:space="preserve"> 중 선택</t>
    </r>
  </si>
  <si>
    <r>
      <rPr>
        <rFont val="Malgun Gothic"/>
        <color theme="1"/>
        <sz val="13.0"/>
      </rPr>
      <t>2. '수행기간'의 시작년월과 종료년월은 반드시 "</t>
    </r>
    <r>
      <rPr>
        <rFont val="맑은 고딕"/>
        <b/>
        <color theme="1"/>
        <sz val="13.0"/>
      </rPr>
      <t>OO년OO월</t>
    </r>
    <r>
      <rPr>
        <rFont val="맑은 고딕"/>
        <color theme="1"/>
        <sz val="13.0"/>
      </rPr>
      <t>" 형식으로 작성</t>
    </r>
    <r>
      <rPr>
        <rFont val="맑은 고딕"/>
        <i/>
        <color theme="1"/>
        <sz val="13.0"/>
      </rPr>
      <t>(예시: 25년03월)</t>
    </r>
  </si>
  <si>
    <r>
      <rPr>
        <rFont val="Malgun Gothic"/>
        <color theme="1"/>
        <sz val="13.0"/>
      </rPr>
      <t xml:space="preserve">3. '이행여부'는 </t>
    </r>
    <r>
      <rPr>
        <rFont val="맑은 고딕"/>
        <b/>
        <color theme="1"/>
        <sz val="13.0"/>
      </rPr>
      <t xml:space="preserve">완료 / 미완료 </t>
    </r>
    <r>
      <rPr>
        <rFont val="맑은 고딕"/>
        <color theme="1"/>
        <sz val="13.0"/>
      </rPr>
      <t>중 선택</t>
    </r>
  </si>
  <si>
    <t xml:space="preserve"> 3-1. 미완료의 경우, 상세 추진내용에 사유 또한 함께 작성할 것</t>
  </si>
  <si>
    <r>
      <rPr>
        <rFont val="Malgun Gothic"/>
        <color theme="1"/>
        <sz val="13.0"/>
      </rPr>
      <t xml:space="preserve">4. 추진실적이 30행을 초과하는 경우는 </t>
    </r>
    <r>
      <rPr>
        <rFont val="맑은 고딕"/>
        <b/>
        <color theme="1"/>
        <sz val="13.0"/>
        <u/>
      </rPr>
      <t>주요 실적(30개)만 본 시트에 작성하</t>
    </r>
    <r>
      <rPr>
        <rFont val="맑은 고딕"/>
        <color theme="1"/>
        <sz val="13.0"/>
      </rPr>
      <t>고, 그 외는 별도 파일로 제출</t>
    </r>
  </si>
  <si>
    <t>①구분</t>
  </si>
  <si>
    <t>④프로젝트명</t>
  </si>
  <si>
    <t>⑤수행 기간(예정)</t>
  </si>
  <si>
    <t>⑥상세 추진 내용</t>
  </si>
  <si>
    <t>⑦이행여부</t>
  </si>
  <si>
    <t>정보기술</t>
  </si>
  <si>
    <t>디지털 플랫폼 구축</t>
  </si>
  <si>
    <t>23년01월</t>
  </si>
  <si>
    <t>24년03월</t>
  </si>
  <si>
    <t>혁신적 플랫폼 구축을 통한 디지털라이제이션 달성</t>
  </si>
  <si>
    <r>
      <rPr>
        <rFont val="Malgun Gothic"/>
        <color theme="1"/>
        <sz val="13.0"/>
      </rPr>
      <t xml:space="preserve">본 (예시)는 이해를 돕기위한 </t>
    </r>
    <r>
      <rPr>
        <rFont val="맑은 고딕"/>
        <b/>
        <i/>
        <color rgb="FFFF0000"/>
        <sz val="13.0"/>
      </rPr>
      <t>예시</t>
    </r>
    <r>
      <rPr>
        <rFont val="맑은 고딕"/>
        <color theme="1"/>
        <sz val="13.0"/>
      </rPr>
      <t>일뿐이며 실제 내용은 각 회사 사정에 맞게 적의 판단하여 작성</t>
    </r>
  </si>
  <si>
    <t>4. '25년도 정보기술부문 추진 계획</t>
  </si>
  <si>
    <t>수행 기간(예정)</t>
  </si>
  <si>
    <t>세부실행계획</t>
  </si>
  <si>
    <t>비고</t>
  </si>
  <si>
    <t>관리체계 개선(접근통제)</t>
  </si>
  <si>
    <t>25년03월</t>
  </si>
  <si>
    <t>25년06월</t>
  </si>
  <si>
    <t xml:space="preserve"> 망분리 대책 통제 방안 수립 및 적용, 통합 계정관리 방안 수립, 전산원장 변경 통제 방안 강화</t>
  </si>
  <si>
    <t xml:space="preserve">관리체계 개선(IT 도입, 개발) </t>
  </si>
  <si>
    <t>25년04월</t>
  </si>
  <si>
    <t>25년05월</t>
  </si>
  <si>
    <t xml:space="preserve"> IT투자 및 비용 관리 지침개정, 감리 지침 개정, 프로그램 통제절차 수립 및 이행, 보안성 심의 절차 개선</t>
  </si>
  <si>
    <t>관리체계 개선(운영관리)</t>
  </si>
  <si>
    <t>25년09월</t>
  </si>
  <si>
    <t>보안 솔루션 운영 방안 수립</t>
  </si>
  <si>
    <t>통합 로그 시스템 구축</t>
  </si>
  <si>
    <t>25년07월</t>
  </si>
  <si>
    <t>전자금융기반 로그 보관 기준 수립 및 보관</t>
  </si>
  <si>
    <t>관리 체계 수립 및 운영</t>
  </si>
  <si>
    <t>25년12월</t>
  </si>
  <si>
    <t xml:space="preserve">ISO 27001 취득, SOC2 IT 외 감사 </t>
  </si>
  <si>
    <t>개인정보 및 침해사고 모니터링 강화</t>
  </si>
  <si>
    <t>25년08월</t>
  </si>
  <si>
    <t>개인정보 유출 방지 및 침해사고 대응 모니터링 방안 수립</t>
  </si>
  <si>
    <t>해외 송금 확장 개발</t>
  </si>
  <si>
    <t>선불 직불 전자지급 확장</t>
  </si>
  <si>
    <t>예약 송금 등 서비스 개발</t>
  </si>
  <si>
    <r>
      <rPr>
        <rFont val="Malgun Gothic"/>
        <b/>
        <color theme="1"/>
        <sz val="12.0"/>
      </rPr>
      <t>※ 유의사항(</t>
    </r>
    <r>
      <rPr>
        <rFont val="맑은 고딕"/>
        <b/>
        <color rgb="FFFF0000"/>
        <sz val="12.0"/>
      </rPr>
      <t>아래 사항을 반드시 준수하여 작성하여 주시기 바랍니다.</t>
    </r>
    <r>
      <rPr>
        <rFont val="맑은 고딕"/>
        <b/>
        <color theme="1"/>
        <sz val="12.0"/>
      </rPr>
      <t>)</t>
    </r>
  </si>
  <si>
    <r>
      <rPr>
        <rFont val="Malgun Gothic"/>
        <color theme="1"/>
        <sz val="13.0"/>
      </rPr>
      <t xml:space="preserve">1. '구분'은 </t>
    </r>
    <r>
      <rPr>
        <rFont val="맑은 고딕"/>
        <b/>
        <color theme="1"/>
        <sz val="13.0"/>
      </rPr>
      <t>정보기술 / 정보보안</t>
    </r>
    <r>
      <rPr>
        <rFont val="맑은 고딕"/>
        <color theme="1"/>
        <sz val="13.0"/>
      </rPr>
      <t xml:space="preserve"> 중 선택</t>
    </r>
  </si>
  <si>
    <r>
      <rPr>
        <rFont val="Malgun Gothic"/>
        <color theme="1"/>
        <sz val="13.0"/>
      </rPr>
      <t>2. '수행기간'의 시작년월과 종료년월은 반드시 "</t>
    </r>
    <r>
      <rPr>
        <rFont val="맑은 고딕"/>
        <b/>
        <color theme="1"/>
        <sz val="13.0"/>
      </rPr>
      <t>OO년OO월</t>
    </r>
    <r>
      <rPr>
        <rFont val="맑은 고딕"/>
        <color theme="1"/>
        <sz val="13.0"/>
      </rPr>
      <t>" 형식으로 작성</t>
    </r>
    <r>
      <rPr>
        <rFont val="맑은 고딕"/>
        <i/>
        <color theme="1"/>
        <sz val="13.0"/>
      </rPr>
      <t>(예시: 25년03월)</t>
    </r>
  </si>
  <si>
    <r>
      <rPr>
        <rFont val="Malgun Gothic"/>
        <color theme="1"/>
        <sz val="13.0"/>
      </rPr>
      <t xml:space="preserve">3. 추진실적이 30행을 초과하는 경우는 </t>
    </r>
    <r>
      <rPr>
        <rFont val="맑은 고딕"/>
        <b/>
        <color theme="1"/>
        <sz val="13.0"/>
        <u/>
      </rPr>
      <t>주요 실적(30개)만 본 시트에 작성하</t>
    </r>
    <r>
      <rPr>
        <rFont val="맑은 고딕"/>
        <color theme="1"/>
        <sz val="13.0"/>
      </rPr>
      <t>고, 그 외는 별도 파일로 제출</t>
    </r>
  </si>
  <si>
    <t>③프로젝트명</t>
  </si>
  <si>
    <t>④수행 기간(예정)</t>
  </si>
  <si>
    <t>⑤세부실행계획</t>
  </si>
  <si>
    <t>⑥비고</t>
  </si>
  <si>
    <t>25년01월</t>
  </si>
  <si>
    <t>26년03월</t>
  </si>
  <si>
    <r>
      <rPr>
        <rFont val="Malgun Gothic"/>
        <color theme="1"/>
        <sz val="13.0"/>
      </rPr>
      <t xml:space="preserve">본 (예시)는 이해를 돕기위한 </t>
    </r>
    <r>
      <rPr>
        <rFont val="맑은 고딕"/>
        <b/>
        <i/>
        <color rgb="FFFF0000"/>
        <sz val="13.0"/>
      </rPr>
      <t>예시</t>
    </r>
    <r>
      <rPr>
        <rFont val="맑은 고딕"/>
        <color theme="1"/>
        <sz val="13.0"/>
      </rPr>
      <t>일뿐이며 실제 내용은 각 회사 사정에 맞게 적의 판단하여 작성</t>
    </r>
  </si>
  <si>
    <t>5. 정보기술부문 조직 구성 및 인력 현황</t>
  </si>
  <si>
    <t>1. 조직 구성 및 인력 현황 작성 기준</t>
  </si>
  <si>
    <t>기준일</t>
  </si>
  <si>
    <t>2. 인력현황 : 총임직원, 정보기술부문 및 정보보호부문 현황</t>
  </si>
  <si>
    <t>인원(ⓐ+ⓑ+ⓒ+ⓓ)</t>
  </si>
  <si>
    <t>비율</t>
  </si>
  <si>
    <t>내부인력</t>
  </si>
  <si>
    <t>외주인력</t>
  </si>
  <si>
    <t>정규직ⓐ</t>
  </si>
  <si>
    <t>계약직ⓑ</t>
  </si>
  <si>
    <t>전산 자회사ⓒ</t>
  </si>
  <si>
    <t>인정 상주ⓓ</t>
  </si>
  <si>
    <t>기타</t>
  </si>
  <si>
    <t>총임직원(단위 : 명)</t>
  </si>
  <si>
    <t>정보기술부문(단위 : 명)</t>
  </si>
  <si>
    <t>소수점 입력 가능</t>
  </si>
  <si>
    <t>정보보호부문(단위 : 명)</t>
  </si>
  <si>
    <t>3. 인력현황 : CIO 및 CISO 지정 현황</t>
  </si>
  <si>
    <t>소속</t>
  </si>
  <si>
    <t>직급(직책)</t>
  </si>
  <si>
    <t>임원여부</t>
  </si>
  <si>
    <t>겸직여부</t>
  </si>
  <si>
    <t>CIO현황</t>
  </si>
  <si>
    <t>개발팀</t>
  </si>
  <si>
    <t>CPO/제품 최고책임자</t>
  </si>
  <si>
    <t>CISO현황</t>
  </si>
  <si>
    <t>4. CISO의 임원지정 및 겸직금직 필수여부 판단 근거(전자금융거래법 시행령 제11조의3 관련)</t>
  </si>
  <si>
    <r>
      <rPr>
        <rFont val="Malgun Gothic"/>
        <b/>
        <color theme="1"/>
        <sz val="11.0"/>
      </rPr>
      <t>총자산</t>
    </r>
    <r>
      <rPr>
        <rFont val="맑은 고딕"/>
        <b/>
        <color rgb="FFFF0000"/>
        <sz val="11.0"/>
      </rPr>
      <t>(단위 : 억원)</t>
    </r>
  </si>
  <si>
    <t>상시 종업원 수(단위 : 명)</t>
  </si>
  <si>
    <r>
      <rPr>
        <rFont val="Malgun Gothic"/>
        <b/>
        <color theme="1"/>
        <sz val="12.0"/>
      </rPr>
      <t>※ 유의사항(</t>
    </r>
    <r>
      <rPr>
        <rFont val="맑은 고딕"/>
        <b/>
        <color rgb="FFFF0000"/>
        <sz val="12.0"/>
      </rPr>
      <t>아래 사항을 반드시 준수하여 작성하여 주시기 바랍니다.</t>
    </r>
    <r>
      <rPr>
        <rFont val="맑은 고딕"/>
        <b/>
        <color theme="1"/>
        <sz val="12.0"/>
      </rPr>
      <t>)</t>
    </r>
  </si>
  <si>
    <r>
      <rPr>
        <rFont val="Malgun Gothic"/>
        <color theme="1"/>
        <sz val="13.0"/>
      </rPr>
      <t>1. '기준일'은 반드시 연도·월·일을 "</t>
    </r>
    <r>
      <rPr>
        <rFont val="맑은 고딕"/>
        <b/>
        <color theme="1"/>
        <sz val="13.0"/>
      </rPr>
      <t>YYYY-MM-DD</t>
    </r>
    <r>
      <rPr>
        <rFont val="맑은 고딕"/>
        <color theme="1"/>
        <sz val="13.0"/>
      </rPr>
      <t>" 형식(</t>
    </r>
    <r>
      <rPr>
        <rFont val="맑은 고딕"/>
        <color theme="1"/>
        <sz val="13.0"/>
        <u/>
      </rPr>
      <t>숫자 8자리를 '-'기호로 구분)</t>
    </r>
    <r>
      <rPr>
        <rFont val="맑은 고딕"/>
        <color theme="1"/>
        <sz val="13.0"/>
      </rPr>
      <t>으로 작성</t>
    </r>
    <r>
      <rPr>
        <rFont val="맑은 고딕"/>
        <i/>
        <color theme="1"/>
        <sz val="13.0"/>
      </rPr>
      <t>(예시: 2025-01-01)</t>
    </r>
  </si>
  <si>
    <r>
      <rPr>
        <rFont val="Malgun Gothic"/>
        <color theme="1"/>
        <sz val="13.0"/>
      </rPr>
      <t xml:space="preserve">2. 위 조직도는 이해를 돕기위한 </t>
    </r>
    <r>
      <rPr>
        <rFont val="맑은 고딕"/>
        <b/>
        <i/>
        <color theme="1"/>
        <sz val="13.0"/>
      </rPr>
      <t>예시</t>
    </r>
    <r>
      <rPr>
        <rFont val="맑은 고딕"/>
        <color theme="1"/>
        <sz val="13.0"/>
      </rPr>
      <t xml:space="preserve">일뿐이며, 실제 내용은 각 회사 사정에 맞게 </t>
    </r>
    <r>
      <rPr>
        <rFont val="맑은 고딕"/>
        <b/>
        <color rgb="FFFF0000"/>
        <sz val="13.0"/>
        <u/>
      </rPr>
      <t>스캔본을 별도 파일로 첨부</t>
    </r>
  </si>
  <si>
    <t xml:space="preserve">    * 파일명 : 정보기술부문 인력현황 조직도(회사명)</t>
  </si>
  <si>
    <r>
      <rPr>
        <rFont val="Malgun Gothic"/>
        <color theme="1"/>
        <sz val="13.0"/>
      </rPr>
      <t xml:space="preserve">3. '총임직원'은 </t>
    </r>
    <r>
      <rPr>
        <rFont val="맑은 고딕"/>
        <b/>
        <color theme="1"/>
        <sz val="13.0"/>
      </rPr>
      <t>회사 전체 임직원 수</t>
    </r>
    <r>
      <rPr>
        <rFont val="맑은 고딕"/>
        <color theme="1"/>
        <sz val="13.0"/>
      </rPr>
      <t>를 작성</t>
    </r>
  </si>
  <si>
    <t>4. 'CIO현황'과 'CISO현황'의 '임원여부' 및 '겸직여부'는  ○ / X 중 선택하고, '겸직여부'는 CISO의 CIO 겸직여부로 판단하며, 작성에 관한 사항은 전자금융거래법 제21조의2 등을 참조</t>
  </si>
  <si>
    <t>5. '총자산' 및 '상시 종업원 수'는 직전 사업연도 말을 기준으로 하며, 작성에 관한 사항은 전자금융거래법 시행령 제11조의3 등을 참조</t>
  </si>
  <si>
    <r>
      <rPr>
        <rFont val="Malgun Gothic"/>
        <color theme="1"/>
        <sz val="13.0"/>
      </rPr>
      <t xml:space="preserve">6. </t>
    </r>
    <r>
      <rPr>
        <rFont val="맑은 고딕"/>
        <b/>
        <color theme="1"/>
        <sz val="13.0"/>
      </rPr>
      <t>전자금융업무보고서(</t>
    </r>
    <r>
      <rPr>
        <rFont val="맑은 고딕"/>
        <b/>
        <color theme="1"/>
        <sz val="13.0"/>
        <u/>
      </rPr>
      <t>IT017 - 정보기술 및 정보보호부문 인력현황 참조</t>
    </r>
    <r>
      <rPr>
        <rFont val="맑은 고딕"/>
        <b/>
        <color theme="1"/>
        <sz val="13.0"/>
      </rPr>
      <t>) 작성 기준과 동일하게 작성</t>
    </r>
  </si>
  <si>
    <t xml:space="preserve"> 6-1. 정규직ⓐ = IT017 정규직(①)</t>
  </si>
  <si>
    <t xml:space="preserve"> 6-2. 계약직ⓑ = IT017 계약직(②)</t>
  </si>
  <si>
    <t xml:space="preserve"> 6-3. 전산 자회사ⓒ = IT017 전산자회사 상주인력 (⑧=③+④)</t>
  </si>
  <si>
    <t xml:space="preserve"> 6-4. 인정 상주ⓓ = IT017 인정 상주 외주인력(⑨)</t>
  </si>
  <si>
    <t>6. 정보기술부문의 직전 및 당해 연도 예산</t>
  </si>
  <si>
    <t>직전 연도 예산 집행액
(단위 : 천원)</t>
  </si>
  <si>
    <t>당해 연도 예산 편성액
(단위 : 천원)</t>
  </si>
  <si>
    <t>①총예산</t>
  </si>
  <si>
    <t>②정보기술 관련 예산</t>
  </si>
  <si>
    <t>③
정보기술
관련 예산
상세내역</t>
  </si>
  <si>
    <t>정보기술관련 인건비</t>
  </si>
  <si>
    <t>정보처리시스템 구입비 및 임차료</t>
  </si>
  <si>
    <t>정보처리시스템 유지보수비</t>
  </si>
  <si>
    <t>정보기술 서비스 이용료</t>
  </si>
  <si>
    <t>정보기술 외주 용역비</t>
  </si>
  <si>
    <t>정보기술 컨설팅 비용</t>
  </si>
  <si>
    <t>정보기술 교육, 훈련비</t>
  </si>
  <si>
    <t>통신회선 이용료</t>
  </si>
  <si>
    <t>④정보보호 관련 예산</t>
  </si>
  <si>
    <t>⑤
정보보호
관련 예산
상세내역</t>
  </si>
  <si>
    <t>정보보호관련 인건비</t>
  </si>
  <si>
    <t>정보보호시스템 구입비 및 임차료</t>
  </si>
  <si>
    <t>정보보호시스템 유지보수비</t>
  </si>
  <si>
    <t>정보보호서비스 이용료</t>
  </si>
  <si>
    <t>정보보호 관련 외주 용역비</t>
  </si>
  <si>
    <t>정보보호 관련 컨설팅 비용</t>
  </si>
  <si>
    <t>정보보호 관련 교육, 훈련비</t>
  </si>
  <si>
    <t>정보보호 관련 통신회선 이용료</t>
  </si>
  <si>
    <t>정보보호 관련 예산 비율</t>
  </si>
  <si>
    <r>
      <rPr>
        <rFont val="Malgun Gothic"/>
        <b/>
        <color theme="1"/>
        <sz val="12.0"/>
      </rPr>
      <t>※ 유의사항(</t>
    </r>
    <r>
      <rPr>
        <rFont val="맑은 고딕"/>
        <b/>
        <color rgb="FFFF0000"/>
        <sz val="12.0"/>
      </rPr>
      <t>아래 사항을 반드시 준수하여 작성하여 주시기 바랍니다.</t>
    </r>
    <r>
      <rPr>
        <rFont val="맑은 고딕"/>
        <b/>
        <color theme="1"/>
        <sz val="12.0"/>
      </rPr>
      <t>)</t>
    </r>
  </si>
  <si>
    <t>1. '③정보기술 관련 예산 상세내역' 및 '⑤정보보호 관련 예산 상세내역'을 반드시 작성 요망(총액만 작성하지 말것)</t>
  </si>
  <si>
    <r>
      <rPr>
        <rFont val="Malgun Gothic"/>
        <color theme="1"/>
        <sz val="13.0"/>
      </rPr>
      <t xml:space="preserve">2. </t>
    </r>
    <r>
      <rPr>
        <rFont val="맑은 고딕"/>
        <b/>
        <color rgb="FFFF0000"/>
        <sz val="13.0"/>
        <u/>
      </rPr>
      <t>금액 단위(천원)를 준수</t>
    </r>
    <r>
      <rPr>
        <rFont val="맑은 고딕"/>
        <color theme="1"/>
        <sz val="13.0"/>
      </rPr>
      <t>하여 작성 요망</t>
    </r>
  </si>
  <si>
    <r>
      <rPr>
        <rFont val="Malgun Gothic"/>
        <color theme="1"/>
        <sz val="13.0"/>
      </rPr>
      <t xml:space="preserve">3. </t>
    </r>
    <r>
      <rPr>
        <rFont val="맑은 고딕"/>
        <b/>
        <color theme="1"/>
        <sz val="13.0"/>
      </rPr>
      <t>전자금융업무보고서(</t>
    </r>
    <r>
      <rPr>
        <rFont val="맑은 고딕"/>
        <b/>
        <color theme="1"/>
        <sz val="13.0"/>
        <u/>
      </rPr>
      <t>IT018 - 정보기술 및 정보보호부문 예산현황 참조</t>
    </r>
    <r>
      <rPr>
        <rFont val="맑은 고딕"/>
        <b/>
        <color theme="1"/>
        <sz val="13.0"/>
      </rPr>
      <t>) 작성 기준과 동일하게 작성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</si>
</sst>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_ "/>
    <numFmt numFmtId="165" formatCode="yyyy-mm-dd"/>
    <numFmt numFmtId="166" formatCode="#,##0.0_ "/>
    <numFmt numFmtId="167" formatCode="0.0%"/>
    <numFmt numFmtId="168" formatCode="_-* #,##0_-;\-* #,##0_-;_-* &quot;-&quot;_-;_-@"/>
  </numFmts>
  <fonts count="25">
    <font>
      <sz val="11.0"/>
      <color theme="1"/>
      <name val="Calibri"/>
      <scheme val="minor"/>
    </font>
    <font>
      <b/>
      <sz val="16.0"/>
      <color theme="1"/>
      <name val="Malgun Gothic"/>
    </font>
    <font>
      <sz val="11.0"/>
      <color theme="1"/>
      <name val="Malgun Gothic"/>
    </font>
    <font>
      <b/>
      <sz val="14.0"/>
      <color theme="1"/>
      <name val="Malgun Gothic"/>
    </font>
    <font>
      <b/>
      <sz val="13.0"/>
      <color theme="1"/>
      <name val="Malgun Gothic"/>
    </font>
    <font>
      <sz val="13.0"/>
      <color theme="1"/>
      <name val="Malgun Gothic"/>
    </font>
    <font>
      <i/>
      <sz val="13.0"/>
      <color rgb="FF757070"/>
      <name val="Malgun Gothic"/>
    </font>
    <font>
      <b/>
      <sz val="12.0"/>
      <color theme="1"/>
      <name val="Malgun Gothic"/>
    </font>
    <font>
      <sz val="9.0"/>
      <color theme="1"/>
      <name val="Malgun Gothic"/>
    </font>
    <font>
      <sz val="12.0"/>
      <color theme="1"/>
      <name val="Malgun Gothic"/>
    </font>
    <font>
      <b/>
      <i/>
      <sz val="9.0"/>
      <color rgb="FF757070"/>
      <name val="Malgun Gothic"/>
    </font>
    <font>
      <i/>
      <sz val="11.0"/>
      <color rgb="FF757070"/>
      <name val="Malgun Gothic"/>
    </font>
    <font>
      <b/>
      <sz val="13.0"/>
      <color rgb="FFFF0000"/>
      <name val="Malgun Gothic"/>
    </font>
    <font>
      <b/>
      <sz val="11.0"/>
      <color theme="1"/>
      <name val="Malgun Gothic"/>
    </font>
    <font>
      <sz val="11.0"/>
      <color theme="1"/>
      <name val="Arial"/>
    </font>
    <font>
      <sz val="11.0"/>
      <color theme="1"/>
      <name val="Calibri"/>
    </font>
    <font>
      <sz val="11.0"/>
      <color rgb="FF757070"/>
      <name val="Malgun Gothic"/>
    </font>
    <font>
      <sz val="11.0"/>
      <color rgb="FFFF0000"/>
      <name val="Malgun Gothic"/>
    </font>
    <font/>
    <font>
      <color theme="1"/>
      <name val="Calibri"/>
      <scheme val="minor"/>
    </font>
    <font>
      <sz val="11.0"/>
      <color rgb="FF7F7F7F"/>
      <name val="Malgun Gothic"/>
    </font>
    <font>
      <i/>
      <sz val="11.0"/>
      <color rgb="FF7F7F7F"/>
      <name val="Malgun Gothic"/>
    </font>
    <font>
      <sz val="11.0"/>
      <color rgb="FF3A3838"/>
      <name val="Malgun Gothic"/>
    </font>
    <font>
      <b/>
      <sz val="8.0"/>
      <color rgb="FFFF0000"/>
      <name val="Malgun Gothic"/>
    </font>
    <font>
      <b/>
      <sz val="11.0"/>
      <color rgb="FFFF0000"/>
      <name val="Malgun Gothic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rgb="FF8EAADB"/>
        <bgColor rgb="FF8EAADB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  <fill>
      <patternFill patternType="solid">
        <fgColor rgb="FFA8D08D"/>
        <bgColor rgb="FFA8D08D"/>
      </patternFill>
    </fill>
    <fill>
      <patternFill patternType="solid">
        <fgColor rgb="FFFEF2CB"/>
        <bgColor rgb="FFFEF2CB"/>
      </patternFill>
    </fill>
  </fills>
  <borders count="20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2" fillId="2" fontId="2" numFmtId="0" xfId="0" applyAlignment="1" applyBorder="1" applyFont="1">
      <alignment vertical="center"/>
    </xf>
    <xf borderId="3" fillId="2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6" fillId="3" fontId="2" numFmtId="0" xfId="0" applyAlignment="1" applyBorder="1" applyFont="1">
      <alignment vertical="center"/>
    </xf>
    <xf borderId="7" fillId="3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8" fillId="3" fontId="4" numFmtId="0" xfId="0" applyAlignment="1" applyBorder="1" applyFont="1">
      <alignment horizontal="center" vertical="center"/>
    </xf>
    <xf borderId="8" fillId="4" fontId="5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8" fillId="5" fontId="6" numFmtId="164" xfId="0" applyAlignment="1" applyBorder="1" applyFill="1" applyFont="1" applyNumberFormat="1">
      <alignment horizontal="center" vertical="center"/>
    </xf>
    <xf borderId="9" fillId="2" fontId="7" numFmtId="0" xfId="0" applyAlignment="1" applyBorder="1" applyFont="1">
      <alignment vertical="center"/>
    </xf>
    <xf borderId="9" fillId="2" fontId="2" numFmtId="0" xfId="0" applyAlignment="1" applyBorder="1" applyFont="1">
      <alignment vertical="center"/>
    </xf>
    <xf borderId="9" fillId="2" fontId="5" numFmtId="0" xfId="0" applyAlignment="1" applyBorder="1" applyFont="1">
      <alignment vertical="center"/>
    </xf>
    <xf borderId="8" fillId="3" fontId="7" numFmtId="0" xfId="0" applyAlignment="1" applyBorder="1" applyFont="1">
      <alignment horizontal="left" vertical="center"/>
    </xf>
    <xf borderId="8" fillId="0" fontId="2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8" fillId="0" fontId="9" numFmtId="165" xfId="0" applyAlignment="1" applyBorder="1" applyFont="1" applyNumberFormat="1">
      <alignment horizontal="center" vertical="center"/>
    </xf>
    <xf borderId="0" fillId="0" fontId="10" numFmtId="165" xfId="0" applyAlignment="1" applyFont="1" applyNumberFormat="1">
      <alignment vertical="center"/>
    </xf>
    <xf borderId="0" fillId="0" fontId="2" numFmtId="0" xfId="0" applyAlignment="1" applyFont="1">
      <alignment horizontal="right" vertical="center"/>
    </xf>
    <xf borderId="0" fillId="0" fontId="10" numFmtId="0" xfId="0" applyAlignment="1" applyFont="1">
      <alignment vertical="center"/>
    </xf>
    <xf borderId="8" fillId="4" fontId="9" numFmtId="0" xfId="0" applyAlignment="1" applyBorder="1" applyFont="1">
      <alignment horizontal="center" readingOrder="0" vertical="center"/>
    </xf>
    <xf borderId="8" fillId="3" fontId="7" numFmtId="0" xfId="0" applyAlignment="1" applyBorder="1" applyFont="1">
      <alignment horizontal="left" shrinkToFit="0" vertical="center" wrapText="1"/>
    </xf>
    <xf borderId="8" fillId="0" fontId="9" numFmtId="165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shrinkToFit="0" vertical="center" wrapText="1"/>
    </xf>
    <xf borderId="9" fillId="2" fontId="1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8" fillId="6" fontId="13" numFmtId="0" xfId="0" applyAlignment="1" applyBorder="1" applyFill="1" applyFont="1">
      <alignment horizontal="center" vertical="center"/>
    </xf>
    <xf borderId="8" fillId="0" fontId="2" numFmtId="0" xfId="0" applyAlignment="1" applyBorder="1" applyFont="1">
      <alignment vertical="center"/>
    </xf>
    <xf borderId="8" fillId="0" fontId="14" numFmtId="0" xfId="0" applyAlignment="1" applyBorder="1" applyFont="1">
      <alignment vertical="center"/>
    </xf>
    <xf borderId="8" fillId="0" fontId="1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9" fillId="7" fontId="3" numFmtId="0" xfId="0" applyAlignment="1" applyBorder="1" applyFill="1" applyFont="1">
      <alignment vertical="center"/>
    </xf>
    <xf borderId="9" fillId="7" fontId="2" numFmtId="0" xfId="0" applyAlignment="1" applyBorder="1" applyFont="1">
      <alignment vertical="center"/>
    </xf>
    <xf borderId="9" fillId="7" fontId="4" numFmtId="0" xfId="0" applyAlignment="1" applyBorder="1" applyFont="1">
      <alignment vertical="center"/>
    </xf>
    <xf borderId="8" fillId="7" fontId="13" numFmtId="0" xfId="0" applyAlignment="1" applyBorder="1" applyFont="1">
      <alignment horizontal="center" vertical="center"/>
    </xf>
    <xf borderId="8" fillId="7" fontId="2" numFmtId="0" xfId="0" applyAlignment="1" applyBorder="1" applyFont="1">
      <alignment horizontal="center" vertical="center"/>
    </xf>
    <xf borderId="8" fillId="7" fontId="16" numFmtId="0" xfId="0" applyAlignment="1" applyBorder="1" applyFont="1">
      <alignment shrinkToFit="0" vertical="center" wrapText="1"/>
    </xf>
    <xf borderId="8" fillId="7" fontId="16" numFmtId="0" xfId="0" applyAlignment="1" applyBorder="1" applyFont="1">
      <alignment vertical="center"/>
    </xf>
    <xf borderId="8" fillId="7" fontId="2" numFmtId="0" xfId="0" applyAlignment="1" applyBorder="1" applyFont="1">
      <alignment vertical="center"/>
    </xf>
    <xf borderId="9" fillId="7" fontId="5" numFmtId="0" xfId="0" applyAlignment="1" applyBorder="1" applyFont="1">
      <alignment vertical="center"/>
    </xf>
    <xf borderId="2" fillId="2" fontId="17" numFmtId="0" xfId="0" applyAlignment="1" applyBorder="1" applyFont="1">
      <alignment vertical="center"/>
    </xf>
    <xf borderId="11" fillId="3" fontId="7" numFmtId="0" xfId="0" applyAlignment="1" applyBorder="1" applyFont="1">
      <alignment horizontal="center" vertical="center"/>
    </xf>
    <xf borderId="12" fillId="3" fontId="13" numFmtId="0" xfId="0" applyAlignment="1" applyBorder="1" applyFont="1">
      <alignment horizontal="center" vertical="center"/>
    </xf>
    <xf borderId="13" fillId="0" fontId="18" numFmtId="0" xfId="0" applyAlignment="1" applyBorder="1" applyFont="1">
      <alignment vertical="center"/>
    </xf>
    <xf borderId="14" fillId="0" fontId="18" numFmtId="0" xfId="0" applyAlignment="1" applyBorder="1" applyFont="1">
      <alignment vertical="center"/>
    </xf>
    <xf borderId="8" fillId="3" fontId="7" numFmtId="0" xfId="0" applyAlignment="1" applyBorder="1" applyFont="1">
      <alignment horizontal="center" vertical="center"/>
    </xf>
    <xf borderId="0" fillId="0" fontId="19" numFmtId="0" xfId="0" applyAlignment="1" applyFont="1">
      <alignment vertical="center"/>
    </xf>
    <xf borderId="8" fillId="8" fontId="2" numFmtId="0" xfId="0" applyAlignment="1" applyBorder="1" applyFill="1" applyFont="1">
      <alignment horizontal="center" shrinkToFit="0" vertical="center" wrapText="1"/>
    </xf>
    <xf borderId="8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8" fontId="20" numFmtId="0" xfId="0" applyAlignment="1" applyBorder="1" applyFont="1">
      <alignment horizontal="center" shrinkToFit="0" vertical="center" wrapText="1"/>
    </xf>
    <xf borderId="8" fillId="0" fontId="20" numFmtId="0" xfId="0" applyAlignment="1" applyBorder="1" applyFont="1">
      <alignment shrinkToFit="0" vertical="center" wrapText="1"/>
    </xf>
    <xf borderId="8" fillId="0" fontId="20" numFmtId="165" xfId="0" applyAlignment="1" applyBorder="1" applyFont="1" applyNumberFormat="1">
      <alignment horizontal="center" shrinkToFit="0" vertical="center" wrapText="1"/>
    </xf>
    <xf borderId="8" fillId="0" fontId="20" numFmtId="0" xfId="0" applyAlignment="1" applyBorder="1" applyFont="1">
      <alignment horizontal="center" shrinkToFit="0" vertical="center" wrapText="1"/>
    </xf>
    <xf borderId="8" fillId="8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8" fillId="0" fontId="21" numFmtId="0" xfId="0" applyAlignment="1" applyBorder="1" applyFont="1">
      <alignment shrinkToFit="0" vertical="center" wrapText="1"/>
    </xf>
    <xf borderId="8" fillId="0" fontId="21" numFmtId="165" xfId="0" applyAlignment="1" applyBorder="1" applyFont="1" applyNumberFormat="1">
      <alignment horizontal="center" shrinkToFit="0" vertical="center" wrapText="1"/>
    </xf>
    <xf borderId="8" fillId="0" fontId="21" numFmtId="0" xfId="0" applyAlignment="1" applyBorder="1" applyFont="1">
      <alignment horizontal="center" shrinkToFit="0" vertical="center" wrapText="1"/>
    </xf>
    <xf borderId="8" fillId="8" fontId="2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8" fillId="0" fontId="2" numFmtId="165" xfId="0" applyAlignment="1" applyBorder="1" applyFont="1" applyNumberFormat="1">
      <alignment horizontal="center" vertical="center"/>
    </xf>
    <xf borderId="11" fillId="3" fontId="13" numFmtId="0" xfId="0" applyAlignment="1" applyBorder="1" applyFont="1">
      <alignment horizontal="center" vertical="center"/>
    </xf>
    <xf borderId="12" fillId="9" fontId="13" numFmtId="0" xfId="0" applyAlignment="1" applyBorder="1" applyFill="1" applyFont="1">
      <alignment horizontal="center" vertical="center"/>
    </xf>
    <xf borderId="15" fillId="3" fontId="13" numFmtId="0" xfId="0" applyAlignment="1" applyBorder="1" applyFont="1">
      <alignment horizontal="center" vertical="center"/>
    </xf>
    <xf borderId="16" fillId="0" fontId="18" numFmtId="0" xfId="0" applyAlignment="1" applyBorder="1" applyFont="1">
      <alignment vertical="center"/>
    </xf>
    <xf borderId="17" fillId="0" fontId="18" numFmtId="0" xfId="0" applyAlignment="1" applyBorder="1" applyFont="1">
      <alignment vertical="center"/>
    </xf>
    <xf borderId="8" fillId="3" fontId="13" numFmtId="0" xfId="0" applyAlignment="1" applyBorder="1" applyFont="1">
      <alignment horizontal="center" vertical="center"/>
    </xf>
    <xf borderId="8" fillId="9" fontId="13" numFmtId="0" xfId="0" applyAlignment="1" applyBorder="1" applyFont="1">
      <alignment horizontal="center" vertical="center"/>
    </xf>
    <xf borderId="8" fillId="9" fontId="13" numFmtId="0" xfId="0" applyAlignment="1" applyBorder="1" applyFont="1">
      <alignment horizontal="left" vertical="center"/>
    </xf>
    <xf borderId="8" fillId="0" fontId="2" numFmtId="166" xfId="0" applyAlignment="1" applyBorder="1" applyFont="1" applyNumberFormat="1">
      <alignment horizontal="right" vertical="center"/>
    </xf>
    <xf borderId="8" fillId="5" fontId="2" numFmtId="164" xfId="0" applyAlignment="1" applyBorder="1" applyFont="1" applyNumberFormat="1">
      <alignment horizontal="right" vertical="center"/>
    </xf>
    <xf borderId="8" fillId="5" fontId="11" numFmtId="164" xfId="0" applyAlignment="1" applyBorder="1" applyFont="1" applyNumberFormat="1">
      <alignment horizontal="center" vertical="center"/>
    </xf>
    <xf borderId="8" fillId="3" fontId="13" numFmtId="0" xfId="0" applyAlignment="1" applyBorder="1" applyFont="1">
      <alignment horizontal="left" vertical="center"/>
    </xf>
    <xf borderId="8" fillId="10" fontId="2" numFmtId="166" xfId="0" applyAlignment="1" applyBorder="1" applyFill="1" applyFont="1" applyNumberFormat="1">
      <alignment vertical="center"/>
    </xf>
    <xf borderId="8" fillId="10" fontId="2" numFmtId="167" xfId="0" applyAlignment="1" applyBorder="1" applyFont="1" applyNumberFormat="1">
      <alignment vertical="center"/>
    </xf>
    <xf borderId="8" fillId="0" fontId="22" numFmtId="164" xfId="0" applyAlignment="1" applyBorder="1" applyFont="1" applyNumberFormat="1">
      <alignment horizontal="center" vertical="center"/>
    </xf>
    <xf borderId="8" fillId="10" fontId="2" numFmtId="166" xfId="0" applyAlignment="1" applyBorder="1" applyFont="1" applyNumberFormat="1">
      <alignment readingOrder="0" vertical="center"/>
    </xf>
    <xf borderId="8" fillId="0" fontId="2" numFmtId="166" xfId="0" applyAlignment="1" applyBorder="1" applyFont="1" applyNumberFormat="1">
      <alignment horizontal="right" readingOrder="0" vertical="center"/>
    </xf>
    <xf borderId="8" fillId="0" fontId="2" numFmtId="164" xfId="0" applyAlignment="1" applyBorder="1" applyFont="1" applyNumberFormat="1">
      <alignment horizontal="center" vertical="center"/>
    </xf>
    <xf borderId="8" fillId="8" fontId="2" numFmtId="0" xfId="0" applyAlignment="1" applyBorder="1" applyFont="1">
      <alignment horizontal="center" vertical="center"/>
    </xf>
    <xf borderId="8" fillId="0" fontId="11" numFmtId="164" xfId="0" applyAlignment="1" applyBorder="1" applyFont="1" applyNumberFormat="1">
      <alignment horizontal="center" vertical="center"/>
    </xf>
    <xf borderId="8" fillId="0" fontId="2" numFmtId="164" xfId="0" applyAlignment="1" applyBorder="1" applyFont="1" applyNumberFormat="1">
      <alignment vertical="center"/>
    </xf>
    <xf borderId="2" fillId="2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3" numFmtId="0" xfId="0" applyAlignment="1" applyFont="1">
      <alignment horizontal="right" vertical="center"/>
    </xf>
    <xf quotePrefix="1" borderId="8" fillId="3" fontId="24" numFmtId="0" xfId="0" applyAlignment="1" applyBorder="1" applyFont="1">
      <alignment horizontal="center" shrinkToFit="0" vertical="center" wrapText="1"/>
    </xf>
    <xf borderId="18" fillId="3" fontId="24" numFmtId="0" xfId="0" applyAlignment="1" applyBorder="1" applyFont="1">
      <alignment horizontal="center" shrinkToFit="0" vertical="center" wrapText="1"/>
    </xf>
    <xf borderId="8" fillId="0" fontId="2" numFmtId="168" xfId="0" applyAlignment="1" applyBorder="1" applyFont="1" applyNumberFormat="1">
      <alignment horizontal="center" vertical="center"/>
    </xf>
    <xf borderId="8" fillId="10" fontId="16" numFmtId="168" xfId="0" applyAlignment="1" applyBorder="1" applyFont="1" applyNumberFormat="1">
      <alignment horizontal="center" vertical="center"/>
    </xf>
    <xf borderId="11" fillId="3" fontId="13" numFmtId="0" xfId="0" applyAlignment="1" applyBorder="1" applyFont="1">
      <alignment horizontal="center" shrinkToFit="0" vertical="center" wrapText="1"/>
    </xf>
    <xf borderId="8" fillId="0" fontId="2" numFmtId="164" xfId="0" applyAlignment="1" applyBorder="1" applyFont="1" applyNumberFormat="1">
      <alignment horizontal="right" readingOrder="0" vertical="center"/>
    </xf>
    <xf borderId="8" fillId="0" fontId="2" numFmtId="164" xfId="0" applyAlignment="1" applyBorder="1" applyFont="1" applyNumberFormat="1">
      <alignment horizontal="right" vertical="center"/>
    </xf>
    <xf borderId="19" fillId="0" fontId="18" numFmtId="0" xfId="0" applyAlignment="1" applyBorder="1" applyFont="1">
      <alignment vertical="center"/>
    </xf>
    <xf borderId="8" fillId="0" fontId="2" numFmtId="168" xfId="0" applyAlignment="1" applyBorder="1" applyFont="1" applyNumberFormat="1">
      <alignment horizontal="center" readingOrder="0" vertical="center"/>
    </xf>
    <xf borderId="8" fillId="10" fontId="11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externalLink" Target="externalLinks/externalLink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5</xdr:row>
      <xdr:rowOff>0</xdr:rowOff>
    </xdr:from>
    <xdr:ext cx="3981450" cy="5105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504825</xdr:colOff>
      <xdr:row>7</xdr:row>
      <xdr:rowOff>114300</xdr:rowOff>
    </xdr:from>
    <xdr:ext cx="8886825" cy="34099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/DESKTOP/19&#45380;%20&#51221;&#48372;&#44592;&#49696;&#48512;&#47928;&#44228;&#54925;&#49436;/19&#45380;%20&#51221;&#48372;&#44592;&#49696;&#48512;&#47928;(&#44033;%20&#54016;%20&#48372;&#44256;&#49436;)/19&#45380;_&#51221;&#48372;&#44592;&#49696;&#48512;&#47928;&#44228;&#54925;&#49436;_&#51473;&#49548;&#49436;&#48124;&#44160;&#49324;&#54016;_(&#52712;&#54633;FN)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/Users/FSS_NT371B5L/Desktop/&#44160;&#49324;&#44592;&#54925;&#54016;%20&#50629;&#47924;/19&#45380;%20&#51221;&#48372;&#44592;&#49696;&#48512;&#47928;&#44228;&#54925;&#49436;/19&#45380;%20&#51221;&#48372;&#44592;&#49696;&#48512;&#47928;(&#48372;&#44256;&#49436;&#50857;)/done/19&#45380;_&#51221;&#48372;&#44592;&#49696;&#48512;&#47928;&#44228;&#54925;&#49436;_&#51473;&#49548;&#49436;&#48124;&#44160;&#49324;&#54016;_&#51089;&#50629;&#50857;(&#52380;&#50980;&#51221;_&#51089;&#50629;&#51473;5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적성성 판단"/>
      <sheetName val="1목표"/>
      <sheetName val="2실적"/>
      <sheetName val="3계획"/>
      <sheetName val="4인력"/>
      <sheetName val="5예산"/>
      <sheetName val="6기타"/>
      <sheetName val="점수 변환"/>
      <sheetName val="점수표"/>
      <sheetName val="전금업자목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적성성 판단"/>
      <sheetName val="1목표"/>
      <sheetName val="2실적"/>
      <sheetName val="3계획"/>
      <sheetName val="4인력"/>
      <sheetName val="5예산"/>
      <sheetName val="6기타"/>
      <sheetName val="점수 변환"/>
      <sheetName val="전금업자목록"/>
      <sheetName val="연락처"/>
      <sheetName val="점수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6.43"/>
    <col customWidth="1" min="3" max="3" width="8.86"/>
    <col customWidth="1" min="4" max="4" width="6.0"/>
    <col customWidth="1" min="5" max="8" width="8.86"/>
    <col customWidth="1" min="9" max="15" width="20.71"/>
    <col customWidth="1" min="16" max="16" width="34.29"/>
    <col customWidth="1" hidden="1" min="17" max="17" width="8.86"/>
    <col customWidth="1" min="18" max="28" width="9.0"/>
  </cols>
  <sheetData>
    <row r="1" ht="16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</row>
    <row r="2" ht="16.5" customHeight="1"/>
    <row r="3" ht="16.5" customHeight="1">
      <c r="B3" s="6" t="s">
        <v>0</v>
      </c>
      <c r="C3" s="7"/>
      <c r="D3" s="8"/>
    </row>
    <row r="4" ht="16.5" customHeight="1"/>
    <row r="5" ht="16.5" customHeight="1"/>
    <row r="6" ht="16.5" customHeight="1">
      <c r="I6" s="9" t="s">
        <v>1</v>
      </c>
      <c r="J6" s="10"/>
      <c r="K6" s="10"/>
      <c r="L6" s="10"/>
      <c r="M6" s="10"/>
      <c r="N6" s="10"/>
      <c r="O6" s="10"/>
      <c r="P6" s="10"/>
    </row>
    <row r="7" ht="16.5" customHeight="1">
      <c r="I7" s="11" t="s">
        <v>2</v>
      </c>
      <c r="J7" s="10"/>
      <c r="K7" s="10"/>
      <c r="L7" s="10"/>
      <c r="M7" s="10"/>
      <c r="N7" s="10"/>
      <c r="O7" s="10"/>
      <c r="P7" s="10"/>
    </row>
    <row r="8" ht="16.5" customHeight="1">
      <c r="I8" s="12" t="s">
        <v>3</v>
      </c>
      <c r="J8" s="10"/>
      <c r="K8" s="10"/>
      <c r="L8" s="10"/>
      <c r="M8" s="10"/>
      <c r="N8" s="10"/>
      <c r="O8" s="10"/>
      <c r="P8" s="10"/>
    </row>
    <row r="9" ht="16.5" customHeight="1">
      <c r="I9" s="10"/>
      <c r="J9" s="10"/>
      <c r="K9" s="10"/>
      <c r="L9" s="10"/>
      <c r="M9" s="10"/>
      <c r="N9" s="10"/>
      <c r="O9" s="10"/>
      <c r="P9" s="10"/>
    </row>
    <row r="10" ht="16.5" customHeight="1">
      <c r="I10" s="9"/>
      <c r="J10" s="10"/>
      <c r="K10" s="10"/>
      <c r="L10" s="10"/>
      <c r="M10" s="10"/>
      <c r="N10" s="10"/>
      <c r="O10" s="10"/>
      <c r="P10" s="10"/>
    </row>
    <row r="11" ht="16.5" customHeight="1">
      <c r="I11" s="10"/>
      <c r="J11" s="10"/>
      <c r="K11" s="10"/>
      <c r="L11" s="10"/>
      <c r="M11" s="10"/>
      <c r="N11" s="10"/>
      <c r="O11" s="10"/>
      <c r="P11" s="10"/>
    </row>
    <row r="12" ht="16.5" customHeight="1">
      <c r="I12" s="10"/>
      <c r="J12" s="10"/>
      <c r="K12" s="10"/>
      <c r="L12" s="10"/>
      <c r="M12" s="10"/>
      <c r="N12" s="10"/>
      <c r="O12" s="10"/>
      <c r="P12" s="10"/>
    </row>
    <row r="13" ht="16.5" customHeight="1">
      <c r="I13" s="9" t="s">
        <v>4</v>
      </c>
      <c r="J13" s="10"/>
      <c r="K13" s="10"/>
      <c r="L13" s="10"/>
      <c r="M13" s="10"/>
      <c r="N13" s="10"/>
      <c r="O13" s="10"/>
      <c r="P13" s="10"/>
    </row>
    <row r="14" ht="16.5" customHeight="1">
      <c r="I14" s="11" t="s">
        <v>5</v>
      </c>
      <c r="J14" s="11" t="s">
        <v>6</v>
      </c>
      <c r="K14" s="11" t="s">
        <v>7</v>
      </c>
      <c r="L14" s="11" t="s">
        <v>8</v>
      </c>
      <c r="M14" s="11" t="s">
        <v>9</v>
      </c>
      <c r="N14" s="11" t="s">
        <v>10</v>
      </c>
      <c r="O14" s="11" t="s">
        <v>11</v>
      </c>
      <c r="P14" s="11" t="s">
        <v>12</v>
      </c>
    </row>
    <row r="15" ht="16.5" customHeight="1">
      <c r="I15" s="11" t="s">
        <v>13</v>
      </c>
      <c r="J15" s="13" t="s">
        <v>14</v>
      </c>
      <c r="K15" s="13" t="s">
        <v>15</v>
      </c>
      <c r="L15" s="13" t="s">
        <v>16</v>
      </c>
      <c r="M15" s="13" t="s">
        <v>17</v>
      </c>
      <c r="N15" s="12" t="s">
        <v>3</v>
      </c>
      <c r="O15" s="14"/>
      <c r="P15" s="14"/>
    </row>
    <row r="16" ht="16.5" customHeight="1">
      <c r="I16" s="11" t="s">
        <v>18</v>
      </c>
      <c r="J16" s="13" t="s">
        <v>14</v>
      </c>
      <c r="K16" s="13" t="s">
        <v>19</v>
      </c>
      <c r="L16" s="13" t="s">
        <v>20</v>
      </c>
      <c r="M16" s="13" t="s">
        <v>21</v>
      </c>
      <c r="N16" s="12" t="s">
        <v>3</v>
      </c>
      <c r="O16" s="13" t="s">
        <v>22</v>
      </c>
      <c r="P16" s="13" t="s">
        <v>23</v>
      </c>
    </row>
    <row r="17" ht="16.5" customHeight="1">
      <c r="I17" s="11" t="s">
        <v>24</v>
      </c>
      <c r="J17" s="13" t="s">
        <v>14</v>
      </c>
      <c r="K17" s="13" t="s">
        <v>25</v>
      </c>
      <c r="L17" s="13" t="s">
        <v>26</v>
      </c>
      <c r="M17" s="13" t="s">
        <v>27</v>
      </c>
      <c r="N17" s="12" t="s">
        <v>3</v>
      </c>
      <c r="O17" s="13" t="s">
        <v>22</v>
      </c>
      <c r="P17" s="13" t="s">
        <v>28</v>
      </c>
    </row>
    <row r="18" ht="16.5" customHeight="1">
      <c r="I18" s="10"/>
      <c r="J18" s="10"/>
      <c r="K18" s="10"/>
      <c r="L18" s="10"/>
      <c r="M18" s="10"/>
      <c r="N18" s="10"/>
      <c r="O18" s="10"/>
      <c r="P18" s="10"/>
    </row>
    <row r="19" ht="16.5" customHeight="1">
      <c r="I19" s="10"/>
      <c r="J19" s="10"/>
      <c r="K19" s="10"/>
      <c r="L19" s="10"/>
      <c r="M19" s="10"/>
      <c r="N19" s="10"/>
      <c r="O19" s="10"/>
      <c r="P19" s="10"/>
    </row>
    <row r="20" ht="16.5" customHeight="1">
      <c r="I20" s="10"/>
      <c r="J20" s="10"/>
      <c r="K20" s="10"/>
      <c r="L20" s="10"/>
      <c r="M20" s="10"/>
      <c r="N20" s="10"/>
      <c r="O20" s="10"/>
      <c r="P20" s="10"/>
    </row>
    <row r="21" ht="16.5" customHeight="1"/>
    <row r="22" ht="16.5" customHeight="1">
      <c r="I22" s="15" t="s">
        <v>29</v>
      </c>
      <c r="J22" s="16"/>
      <c r="K22" s="16"/>
      <c r="L22" s="16"/>
      <c r="M22" s="16"/>
      <c r="N22" s="16"/>
      <c r="O22" s="16"/>
      <c r="P22" s="16"/>
    </row>
    <row r="23" ht="16.5" customHeight="1">
      <c r="I23" s="17" t="s">
        <v>30</v>
      </c>
      <c r="J23" s="16"/>
      <c r="K23" s="16"/>
      <c r="L23" s="16"/>
      <c r="M23" s="16"/>
      <c r="N23" s="16"/>
      <c r="O23" s="16"/>
      <c r="P23" s="16"/>
    </row>
    <row r="24" ht="16.5" customHeight="1">
      <c r="I24" s="17" t="s">
        <v>31</v>
      </c>
      <c r="J24" s="16"/>
      <c r="K24" s="16"/>
      <c r="L24" s="16"/>
      <c r="M24" s="16"/>
      <c r="N24" s="16"/>
      <c r="O24" s="16"/>
      <c r="P24" s="16"/>
    </row>
    <row r="25" ht="16.5" customHeight="1">
      <c r="I25" s="17" t="s">
        <v>32</v>
      </c>
      <c r="J25" s="16"/>
      <c r="K25" s="16"/>
      <c r="L25" s="16"/>
      <c r="M25" s="16"/>
      <c r="N25" s="16"/>
      <c r="O25" s="16"/>
      <c r="P25" s="16"/>
    </row>
    <row r="26" ht="16.5" customHeight="1">
      <c r="I26" s="17" t="s">
        <v>33</v>
      </c>
      <c r="J26" s="16"/>
      <c r="K26" s="16"/>
      <c r="L26" s="16"/>
      <c r="M26" s="16"/>
      <c r="N26" s="16"/>
      <c r="O26" s="16"/>
      <c r="P26" s="16"/>
    </row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howInputMessage="1" showErrorMessage="1" prompt="(예) O" sqref="I8">
      <formula1>"O,X"</formula1>
    </dataValidation>
    <dataValidation type="list" allowBlank="1" showErrorMessage="1" sqref="N15:N17">
      <formula1>"O,X"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0.71"/>
    <col customWidth="1" min="3" max="3" width="40.71"/>
    <col customWidth="1" min="4" max="4" width="91.14"/>
    <col customWidth="1" min="5" max="26" width="8.86"/>
  </cols>
  <sheetData>
    <row r="1" ht="16.5" customHeight="1">
      <c r="A1" s="1" t="s">
        <v>34</v>
      </c>
      <c r="B1" s="3"/>
      <c r="C1" s="3"/>
      <c r="D1" s="4"/>
    </row>
    <row r="2" ht="19.5" customHeight="1"/>
    <row r="3" ht="19.5" customHeight="1">
      <c r="B3" s="18" t="s">
        <v>35</v>
      </c>
      <c r="C3" s="19" t="s">
        <v>14</v>
      </c>
      <c r="D3" s="20"/>
    </row>
    <row r="4" ht="19.5" customHeight="1">
      <c r="B4" s="18" t="s">
        <v>36</v>
      </c>
      <c r="C4" s="21">
        <v>45744.0</v>
      </c>
      <c r="D4" s="22"/>
    </row>
    <row r="5" ht="19.5" customHeight="1">
      <c r="A5" s="23" t="s">
        <v>37</v>
      </c>
      <c r="B5" s="18" t="s">
        <v>38</v>
      </c>
      <c r="C5" s="21">
        <v>45658.0</v>
      </c>
      <c r="D5" s="22"/>
    </row>
    <row r="6" ht="19.5" customHeight="1">
      <c r="A6" s="23" t="s">
        <v>37</v>
      </c>
      <c r="B6" s="18" t="s">
        <v>39</v>
      </c>
      <c r="C6" s="21">
        <v>46022.0</v>
      </c>
      <c r="D6" s="24"/>
    </row>
    <row r="7" ht="19.5" customHeight="1">
      <c r="B7" s="18" t="s">
        <v>40</v>
      </c>
      <c r="C7" s="25">
        <v>12.0</v>
      </c>
      <c r="D7" s="24"/>
    </row>
    <row r="8" ht="19.5" customHeight="1">
      <c r="A8" s="23" t="s">
        <v>37</v>
      </c>
      <c r="B8" s="26" t="s">
        <v>41</v>
      </c>
      <c r="C8" s="27">
        <v>45743.0</v>
      </c>
      <c r="D8" s="24"/>
    </row>
    <row r="9" ht="19.5" customHeight="1">
      <c r="C9" s="28"/>
      <c r="D9" s="20"/>
    </row>
    <row r="10" ht="19.5" customHeight="1">
      <c r="C10" s="28"/>
      <c r="D10" s="20"/>
    </row>
    <row r="11" ht="19.5" customHeight="1"/>
    <row r="12" ht="19.5" customHeight="1">
      <c r="B12" s="15" t="s">
        <v>42</v>
      </c>
      <c r="C12" s="16"/>
      <c r="D12" s="16"/>
    </row>
    <row r="13" ht="19.5" customHeight="1">
      <c r="B13" s="29" t="s">
        <v>43</v>
      </c>
      <c r="C13" s="16"/>
      <c r="D13" s="16"/>
    </row>
    <row r="14" ht="19.5" customHeight="1">
      <c r="B14" s="17" t="s">
        <v>44</v>
      </c>
      <c r="C14" s="16"/>
      <c r="D14" s="16"/>
    </row>
    <row r="15" ht="19.5" customHeight="1">
      <c r="B15" s="17" t="s">
        <v>45</v>
      </c>
      <c r="C15" s="16"/>
      <c r="D15" s="16"/>
    </row>
    <row r="16" ht="16.5" customHeight="1">
      <c r="B16" s="17" t="s">
        <v>46</v>
      </c>
      <c r="C16" s="16"/>
      <c r="D16" s="16"/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date" allowBlank="1" showInputMessage="1" showErrorMessage="1" prompt="(양식) YYYY-MM-DD_x000a_(예) 2024-01-01" sqref="C5">
      <formula1>45292.0</formula1>
      <formula2>45657.0</formula2>
    </dataValidation>
    <dataValidation type="date" allowBlank="1" showInputMessage="1" prompt="1월~12월 -  1월: 01, 12월 : 12" sqref="C8">
      <formula1>45474.0</formula1>
      <formula2>46022.0</formula2>
    </dataValidation>
    <dataValidation type="list" allowBlank="1" showInputMessage="1" prompt="1월~12월 -  1월: 01, 12월 : 12" sqref="C7">
      <formula1>"01,02,03,04,05,06,07,08,09,10,11,12"</formula1>
    </dataValidation>
    <dataValidation type="date" allowBlank="1" showInputMessage="1" showErrorMessage="1" prompt="(양식) YYYY-MM-DD_x000a_(예) 2022-01-01" sqref="C6">
      <formula1>45292.0</formula1>
      <formula2>45657.0</formula2>
    </dataValidation>
    <dataValidation type="date" allowBlank="1" showInputMessage="1" showErrorMessage="1" prompt="(양식) YYYY-MM-DD_x000a_(예) 2025-01-01" sqref="C4">
      <formula1>45658.0</formula1>
      <formula2>46022.0</formula2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5.71"/>
    <col customWidth="1" min="3" max="7" width="35.71"/>
    <col customWidth="1" min="8" max="26" width="8.86"/>
  </cols>
  <sheetData>
    <row r="1" ht="16.5" customHeight="1">
      <c r="A1" s="1" t="s">
        <v>47</v>
      </c>
      <c r="B1" s="3"/>
      <c r="C1" s="3"/>
      <c r="D1" s="3"/>
      <c r="E1" s="3"/>
      <c r="F1" s="3"/>
      <c r="G1" s="4"/>
      <c r="H1" s="30"/>
    </row>
    <row r="2" ht="19.5" customHeight="1"/>
    <row r="3" ht="19.5" customHeight="1">
      <c r="B3" s="9" t="s">
        <v>48</v>
      </c>
    </row>
    <row r="4" ht="19.5" customHeight="1">
      <c r="B4" s="31" t="s">
        <v>5</v>
      </c>
      <c r="C4" s="31" t="s">
        <v>49</v>
      </c>
    </row>
    <row r="5" ht="19.5" customHeight="1">
      <c r="B5" s="19" t="s">
        <v>50</v>
      </c>
      <c r="C5" s="32" t="s">
        <v>51</v>
      </c>
    </row>
    <row r="6" ht="19.5" customHeight="1">
      <c r="B6" s="19" t="s">
        <v>52</v>
      </c>
      <c r="C6" s="32" t="s">
        <v>53</v>
      </c>
    </row>
    <row r="7" ht="19.5" customHeight="1">
      <c r="B7" s="19" t="s">
        <v>54</v>
      </c>
      <c r="C7" s="32" t="s">
        <v>55</v>
      </c>
    </row>
    <row r="8" ht="19.5" customHeight="1">
      <c r="B8" s="19" t="s">
        <v>56</v>
      </c>
      <c r="C8" s="32" t="s">
        <v>57</v>
      </c>
    </row>
    <row r="9" ht="19.5" customHeight="1">
      <c r="B9" s="19" t="s">
        <v>58</v>
      </c>
      <c r="C9" s="32"/>
    </row>
    <row r="10" ht="19.5" customHeight="1"/>
    <row r="11" ht="19.5" customHeight="1"/>
    <row r="12" ht="19.5" customHeight="1">
      <c r="B12" s="9" t="s">
        <v>59</v>
      </c>
    </row>
    <row r="13" ht="19.5" customHeight="1">
      <c r="B13" s="31" t="s">
        <v>5</v>
      </c>
      <c r="C13" s="31" t="s">
        <v>60</v>
      </c>
      <c r="D13" s="31" t="s">
        <v>61</v>
      </c>
      <c r="E13" s="31" t="s">
        <v>62</v>
      </c>
      <c r="F13" s="31" t="s">
        <v>63</v>
      </c>
      <c r="G13" s="31" t="s">
        <v>64</v>
      </c>
    </row>
    <row r="14" ht="19.5" customHeight="1">
      <c r="B14" s="19" t="s">
        <v>65</v>
      </c>
      <c r="C14" s="33" t="s">
        <v>66</v>
      </c>
      <c r="D14" s="32" t="s">
        <v>67</v>
      </c>
      <c r="E14" s="32" t="s">
        <v>68</v>
      </c>
      <c r="F14" s="32"/>
      <c r="G14" s="32"/>
    </row>
    <row r="15" ht="19.5" customHeight="1">
      <c r="B15" s="19" t="s">
        <v>69</v>
      </c>
      <c r="C15" s="33" t="s">
        <v>70</v>
      </c>
      <c r="D15" s="32" t="s">
        <v>71</v>
      </c>
      <c r="E15" s="32" t="s">
        <v>72</v>
      </c>
      <c r="F15" s="32"/>
      <c r="G15" s="32"/>
    </row>
    <row r="16" ht="19.5" customHeight="1">
      <c r="B16" s="19" t="s">
        <v>73</v>
      </c>
      <c r="C16" s="33" t="s">
        <v>74</v>
      </c>
      <c r="D16" s="32" t="s">
        <v>75</v>
      </c>
      <c r="E16" s="34"/>
      <c r="F16" s="32"/>
      <c r="G16" s="32"/>
    </row>
    <row r="17" ht="19.5" customHeight="1">
      <c r="B17" s="19" t="s">
        <v>76</v>
      </c>
      <c r="C17" s="33" t="s">
        <v>77</v>
      </c>
      <c r="D17" s="32" t="s">
        <v>78</v>
      </c>
      <c r="E17" s="32" t="s">
        <v>79</v>
      </c>
      <c r="F17" s="32"/>
      <c r="G17" s="32"/>
    </row>
    <row r="18" ht="19.5" customHeight="1">
      <c r="B18" s="19" t="s">
        <v>80</v>
      </c>
      <c r="C18" s="32" t="s">
        <v>81</v>
      </c>
      <c r="D18" s="32" t="s">
        <v>82</v>
      </c>
      <c r="E18" s="32" t="s">
        <v>83</v>
      </c>
      <c r="F18" s="32"/>
      <c r="G18" s="32"/>
    </row>
    <row r="19" ht="19.5" customHeight="1">
      <c r="B19" s="19" t="s">
        <v>84</v>
      </c>
      <c r="C19" s="32"/>
      <c r="D19" s="32"/>
      <c r="E19" s="32"/>
      <c r="F19" s="32"/>
      <c r="G19" s="32"/>
    </row>
    <row r="20" ht="19.5" customHeight="1">
      <c r="B20" s="19" t="s">
        <v>85</v>
      </c>
      <c r="C20" s="32"/>
      <c r="D20" s="32"/>
      <c r="E20" s="32"/>
      <c r="F20" s="32"/>
      <c r="G20" s="32"/>
    </row>
    <row r="21" ht="19.5" customHeight="1">
      <c r="B21" s="19" t="s">
        <v>86</v>
      </c>
      <c r="C21" s="32"/>
      <c r="D21" s="32"/>
      <c r="E21" s="32"/>
      <c r="F21" s="32"/>
      <c r="G21" s="32"/>
    </row>
    <row r="22" ht="19.5" customHeight="1">
      <c r="B22" s="19" t="s">
        <v>87</v>
      </c>
      <c r="C22" s="32"/>
      <c r="D22" s="32"/>
      <c r="E22" s="32"/>
      <c r="F22" s="32"/>
      <c r="G22" s="32"/>
    </row>
    <row r="23" ht="19.5" customHeight="1">
      <c r="B23" s="19" t="s">
        <v>88</v>
      </c>
      <c r="C23" s="32"/>
      <c r="D23" s="32"/>
      <c r="E23" s="32"/>
      <c r="F23" s="32"/>
      <c r="G23" s="32"/>
    </row>
    <row r="24" ht="19.5" customHeight="1">
      <c r="B24" s="35"/>
      <c r="C24" s="35"/>
      <c r="D24" s="35"/>
      <c r="E24" s="35"/>
      <c r="F24" s="35"/>
      <c r="G24" s="35"/>
    </row>
    <row r="25" ht="19.5" customHeight="1"/>
    <row r="26" ht="19.5" customHeight="1">
      <c r="B26" s="15" t="s">
        <v>89</v>
      </c>
      <c r="C26" s="16"/>
      <c r="D26" s="16"/>
      <c r="E26" s="16"/>
      <c r="F26" s="16"/>
      <c r="G26" s="16"/>
    </row>
    <row r="27" ht="19.5" customHeight="1">
      <c r="B27" s="17" t="s">
        <v>90</v>
      </c>
      <c r="C27" s="16"/>
      <c r="D27" s="16"/>
      <c r="E27" s="16"/>
      <c r="F27" s="16"/>
      <c r="G27" s="16"/>
    </row>
    <row r="28" ht="16.5" customHeight="1"/>
    <row r="29" ht="16.5" customHeight="1">
      <c r="B29" s="36" t="s">
        <v>91</v>
      </c>
      <c r="C29" s="37"/>
      <c r="D29" s="37"/>
      <c r="E29" s="37"/>
      <c r="F29" s="37"/>
      <c r="G29" s="37"/>
    </row>
    <row r="30" ht="16.5" customHeight="1">
      <c r="B30" s="37"/>
      <c r="C30" s="37"/>
      <c r="D30" s="37"/>
      <c r="E30" s="37"/>
      <c r="F30" s="37"/>
      <c r="G30" s="37"/>
    </row>
    <row r="31" ht="16.5" customHeight="1">
      <c r="B31" s="38" t="s">
        <v>48</v>
      </c>
      <c r="C31" s="37"/>
      <c r="D31" s="37"/>
      <c r="E31" s="37"/>
      <c r="F31" s="37"/>
      <c r="G31" s="37"/>
    </row>
    <row r="32" ht="16.5" customHeight="1">
      <c r="B32" s="39" t="s">
        <v>5</v>
      </c>
      <c r="C32" s="39" t="s">
        <v>49</v>
      </c>
      <c r="D32" s="37"/>
      <c r="E32" s="37"/>
      <c r="F32" s="37"/>
      <c r="G32" s="37"/>
    </row>
    <row r="33" ht="16.5" customHeight="1">
      <c r="B33" s="40" t="s">
        <v>50</v>
      </c>
      <c r="C33" s="41" t="s">
        <v>92</v>
      </c>
      <c r="D33" s="37"/>
      <c r="E33" s="37"/>
      <c r="F33" s="37"/>
      <c r="G33" s="37"/>
    </row>
    <row r="34" ht="16.5" customHeight="1">
      <c r="B34" s="37"/>
      <c r="C34" s="37"/>
      <c r="D34" s="37"/>
      <c r="E34" s="37"/>
      <c r="F34" s="37"/>
      <c r="G34" s="37"/>
    </row>
    <row r="35" ht="16.5" customHeight="1">
      <c r="B35" s="38" t="s">
        <v>59</v>
      </c>
      <c r="C35" s="37"/>
      <c r="D35" s="37"/>
      <c r="E35" s="37"/>
      <c r="F35" s="37"/>
      <c r="G35" s="37"/>
    </row>
    <row r="36" ht="16.5" customHeight="1">
      <c r="B36" s="39" t="s">
        <v>5</v>
      </c>
      <c r="C36" s="39" t="s">
        <v>60</v>
      </c>
      <c r="D36" s="39" t="s">
        <v>61</v>
      </c>
      <c r="E36" s="39" t="s">
        <v>62</v>
      </c>
      <c r="F36" s="39" t="s">
        <v>63</v>
      </c>
      <c r="G36" s="39" t="s">
        <v>64</v>
      </c>
    </row>
    <row r="37" ht="16.5" customHeight="1">
      <c r="B37" s="40" t="s">
        <v>65</v>
      </c>
      <c r="C37" s="42" t="s">
        <v>93</v>
      </c>
      <c r="D37" s="42" t="s">
        <v>94</v>
      </c>
      <c r="E37" s="42" t="s">
        <v>95</v>
      </c>
      <c r="F37" s="42" t="s">
        <v>96</v>
      </c>
      <c r="G37" s="43"/>
    </row>
    <row r="38" ht="16.5" customHeight="1">
      <c r="B38" s="40" t="s">
        <v>69</v>
      </c>
      <c r="C38" s="42" t="s">
        <v>97</v>
      </c>
      <c r="D38" s="42" t="s">
        <v>98</v>
      </c>
      <c r="E38" s="42" t="s">
        <v>99</v>
      </c>
      <c r="F38" s="42"/>
      <c r="G38" s="43"/>
    </row>
    <row r="39" ht="16.5" customHeight="1">
      <c r="B39" s="37"/>
      <c r="C39" s="37"/>
      <c r="D39" s="37"/>
      <c r="E39" s="37"/>
      <c r="F39" s="37"/>
      <c r="G39" s="37"/>
    </row>
    <row r="40" ht="16.5" customHeight="1">
      <c r="B40" s="44" t="s">
        <v>100</v>
      </c>
      <c r="C40" s="44"/>
      <c r="D40" s="37"/>
      <c r="E40" s="37"/>
      <c r="F40" s="37"/>
      <c r="G40" s="37"/>
    </row>
    <row r="41" ht="16.5" customHeight="1">
      <c r="B41" s="37"/>
      <c r="C41" s="37"/>
      <c r="D41" s="37"/>
      <c r="E41" s="37"/>
      <c r="F41" s="37"/>
      <c r="G41" s="37"/>
    </row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3" width="30.71"/>
    <col customWidth="1" min="4" max="5" width="15.71"/>
    <col customWidth="1" min="6" max="6" width="50.71"/>
    <col customWidth="1" min="7" max="7" width="12.71"/>
    <col customWidth="1" hidden="1" min="8" max="8" width="9.0"/>
    <col customWidth="1" min="9" max="26" width="8.86"/>
  </cols>
  <sheetData>
    <row r="1" ht="16.5" customHeight="1">
      <c r="A1" s="1" t="s">
        <v>101</v>
      </c>
      <c r="B1" s="45"/>
      <c r="C1" s="3"/>
      <c r="D1" s="3"/>
      <c r="E1" s="3"/>
      <c r="F1" s="3"/>
      <c r="G1" s="4"/>
    </row>
    <row r="2" ht="19.5" customHeight="1"/>
    <row r="3" ht="19.5" customHeight="1">
      <c r="B3" s="46" t="s">
        <v>5</v>
      </c>
      <c r="C3" s="46" t="s">
        <v>102</v>
      </c>
      <c r="D3" s="47" t="s">
        <v>103</v>
      </c>
      <c r="E3" s="48"/>
      <c r="F3" s="46" t="s">
        <v>104</v>
      </c>
      <c r="G3" s="46" t="s">
        <v>105</v>
      </c>
    </row>
    <row r="4" ht="19.5" customHeight="1">
      <c r="B4" s="49"/>
      <c r="C4" s="49"/>
      <c r="D4" s="50" t="s">
        <v>106</v>
      </c>
      <c r="E4" s="50" t="s">
        <v>107</v>
      </c>
      <c r="F4" s="49"/>
      <c r="G4" s="49"/>
      <c r="H4" s="51" t="s">
        <v>108</v>
      </c>
    </row>
    <row r="5" ht="19.5" customHeight="1">
      <c r="B5" s="52" t="s">
        <v>109</v>
      </c>
      <c r="C5" s="53" t="s">
        <v>110</v>
      </c>
      <c r="D5" s="54">
        <v>6.01</v>
      </c>
      <c r="E5" s="54">
        <v>12.31</v>
      </c>
      <c r="F5" s="53" t="s">
        <v>111</v>
      </c>
      <c r="G5" s="52" t="s">
        <v>112</v>
      </c>
      <c r="H5" s="51">
        <f t="shared" ref="H5:H34" si="1">IF(COUNTA($B5:$G5)=8,1,0)</f>
        <v>0</v>
      </c>
    </row>
    <row r="6" ht="19.5" customHeight="1">
      <c r="B6" s="52" t="s">
        <v>109</v>
      </c>
      <c r="C6" s="53" t="s">
        <v>110</v>
      </c>
      <c r="D6" s="54">
        <v>6.01</v>
      </c>
      <c r="E6" s="54">
        <v>12.31</v>
      </c>
      <c r="F6" s="53" t="s">
        <v>113</v>
      </c>
      <c r="G6" s="52" t="s">
        <v>114</v>
      </c>
      <c r="H6" s="51">
        <f t="shared" si="1"/>
        <v>0</v>
      </c>
    </row>
    <row r="7" ht="19.5" customHeight="1">
      <c r="B7" s="52"/>
      <c r="C7" s="53"/>
      <c r="D7" s="54"/>
      <c r="E7" s="54"/>
      <c r="F7" s="53"/>
      <c r="G7" s="52"/>
      <c r="H7" s="51">
        <f t="shared" si="1"/>
        <v>0</v>
      </c>
    </row>
    <row r="8" ht="19.5" customHeight="1">
      <c r="B8" s="52"/>
      <c r="C8" s="53"/>
      <c r="D8" s="54"/>
      <c r="E8" s="54"/>
      <c r="F8" s="53"/>
      <c r="G8" s="52"/>
      <c r="H8" s="51">
        <f t="shared" si="1"/>
        <v>0</v>
      </c>
    </row>
    <row r="9" ht="19.5" customHeight="1">
      <c r="B9" s="52"/>
      <c r="C9" s="53"/>
      <c r="D9" s="54"/>
      <c r="E9" s="54"/>
      <c r="F9" s="53"/>
      <c r="G9" s="52"/>
      <c r="H9" s="51">
        <f t="shared" si="1"/>
        <v>0</v>
      </c>
    </row>
    <row r="10" ht="19.5" customHeight="1">
      <c r="B10" s="52"/>
      <c r="C10" s="53"/>
      <c r="D10" s="54"/>
      <c r="E10" s="54"/>
      <c r="F10" s="53"/>
      <c r="G10" s="52"/>
      <c r="H10" s="51">
        <f t="shared" si="1"/>
        <v>0</v>
      </c>
    </row>
    <row r="11" ht="19.5" customHeight="1">
      <c r="B11" s="52"/>
      <c r="C11" s="53"/>
      <c r="D11" s="54"/>
      <c r="E11" s="54"/>
      <c r="F11" s="53"/>
      <c r="G11" s="52"/>
      <c r="H11" s="51">
        <f t="shared" si="1"/>
        <v>0</v>
      </c>
    </row>
    <row r="12" ht="19.5" customHeight="1">
      <c r="B12" s="52"/>
      <c r="C12" s="53"/>
      <c r="D12" s="54"/>
      <c r="E12" s="54"/>
      <c r="F12" s="53"/>
      <c r="G12" s="52"/>
      <c r="H12" s="51">
        <f t="shared" si="1"/>
        <v>0</v>
      </c>
    </row>
    <row r="13" ht="19.5" customHeight="1">
      <c r="B13" s="52"/>
      <c r="C13" s="53"/>
      <c r="D13" s="54"/>
      <c r="E13" s="54"/>
      <c r="F13" s="53"/>
      <c r="G13" s="52"/>
      <c r="H13" s="51">
        <f t="shared" si="1"/>
        <v>0</v>
      </c>
    </row>
    <row r="14" ht="19.5" customHeight="1">
      <c r="B14" s="52"/>
      <c r="C14" s="53"/>
      <c r="D14" s="54"/>
      <c r="E14" s="54"/>
      <c r="F14" s="53"/>
      <c r="G14" s="52"/>
      <c r="H14" s="51">
        <f t="shared" si="1"/>
        <v>0</v>
      </c>
    </row>
    <row r="15" ht="19.5" customHeight="1">
      <c r="B15" s="52"/>
      <c r="C15" s="53"/>
      <c r="D15" s="54"/>
      <c r="E15" s="54"/>
      <c r="F15" s="53"/>
      <c r="G15" s="52"/>
      <c r="H15" s="51">
        <f t="shared" si="1"/>
        <v>0</v>
      </c>
    </row>
    <row r="16" ht="19.5" customHeight="1">
      <c r="B16" s="52"/>
      <c r="C16" s="53"/>
      <c r="D16" s="54"/>
      <c r="E16" s="54"/>
      <c r="F16" s="53"/>
      <c r="G16" s="52"/>
      <c r="H16" s="51">
        <f t="shared" si="1"/>
        <v>0</v>
      </c>
    </row>
    <row r="17" ht="19.5" customHeight="1">
      <c r="B17" s="52"/>
      <c r="C17" s="53"/>
      <c r="D17" s="54"/>
      <c r="E17" s="54"/>
      <c r="F17" s="53"/>
      <c r="G17" s="52"/>
      <c r="H17" s="51">
        <f t="shared" si="1"/>
        <v>0</v>
      </c>
    </row>
    <row r="18" ht="19.5" customHeight="1">
      <c r="B18" s="52"/>
      <c r="C18" s="53"/>
      <c r="D18" s="54"/>
      <c r="E18" s="54"/>
      <c r="F18" s="53"/>
      <c r="G18" s="52"/>
      <c r="H18" s="51">
        <f t="shared" si="1"/>
        <v>0</v>
      </c>
    </row>
    <row r="19" ht="19.5" customHeight="1">
      <c r="B19" s="52"/>
      <c r="C19" s="53"/>
      <c r="D19" s="54"/>
      <c r="E19" s="54"/>
      <c r="F19" s="53"/>
      <c r="G19" s="52"/>
      <c r="H19" s="51">
        <f t="shared" si="1"/>
        <v>0</v>
      </c>
    </row>
    <row r="20" ht="19.5" customHeight="1">
      <c r="B20" s="52"/>
      <c r="C20" s="53"/>
      <c r="D20" s="54"/>
      <c r="E20" s="54"/>
      <c r="F20" s="53"/>
      <c r="G20" s="52"/>
      <c r="H20" s="51">
        <f t="shared" si="1"/>
        <v>0</v>
      </c>
    </row>
    <row r="21" ht="19.5" customHeight="1">
      <c r="B21" s="52"/>
      <c r="C21" s="53"/>
      <c r="D21" s="54"/>
      <c r="E21" s="54"/>
      <c r="F21" s="53"/>
      <c r="G21" s="52"/>
      <c r="H21" s="51">
        <f t="shared" si="1"/>
        <v>0</v>
      </c>
    </row>
    <row r="22" ht="19.5" customHeight="1">
      <c r="B22" s="52"/>
      <c r="C22" s="53"/>
      <c r="D22" s="54"/>
      <c r="E22" s="54"/>
      <c r="F22" s="53"/>
      <c r="G22" s="52"/>
      <c r="H22" s="51">
        <f t="shared" si="1"/>
        <v>0</v>
      </c>
    </row>
    <row r="23" ht="19.5" customHeight="1">
      <c r="B23" s="52"/>
      <c r="C23" s="53"/>
      <c r="D23" s="54"/>
      <c r="E23" s="54"/>
      <c r="F23" s="53"/>
      <c r="G23" s="52"/>
      <c r="H23" s="51">
        <f t="shared" si="1"/>
        <v>0</v>
      </c>
    </row>
    <row r="24" ht="19.5" customHeight="1">
      <c r="B24" s="52"/>
      <c r="C24" s="53"/>
      <c r="D24" s="54"/>
      <c r="E24" s="54"/>
      <c r="F24" s="53"/>
      <c r="G24" s="52"/>
      <c r="H24" s="51">
        <f t="shared" si="1"/>
        <v>0</v>
      </c>
    </row>
    <row r="25" ht="19.5" customHeight="1">
      <c r="B25" s="52"/>
      <c r="C25" s="53"/>
      <c r="D25" s="54"/>
      <c r="E25" s="54"/>
      <c r="F25" s="53"/>
      <c r="G25" s="52"/>
      <c r="H25" s="51">
        <f t="shared" si="1"/>
        <v>0</v>
      </c>
    </row>
    <row r="26" ht="19.5" customHeight="1">
      <c r="B26" s="52"/>
      <c r="C26" s="53"/>
      <c r="D26" s="54"/>
      <c r="E26" s="54"/>
      <c r="F26" s="53"/>
      <c r="G26" s="52"/>
      <c r="H26" s="51">
        <f t="shared" si="1"/>
        <v>0</v>
      </c>
    </row>
    <row r="27" ht="19.5" customHeight="1">
      <c r="B27" s="52"/>
      <c r="C27" s="53"/>
      <c r="D27" s="54"/>
      <c r="E27" s="54"/>
      <c r="F27" s="53"/>
      <c r="G27" s="52"/>
      <c r="H27" s="51">
        <f t="shared" si="1"/>
        <v>0</v>
      </c>
    </row>
    <row r="28" ht="19.5" customHeight="1">
      <c r="B28" s="52"/>
      <c r="C28" s="53"/>
      <c r="D28" s="54"/>
      <c r="E28" s="54"/>
      <c r="F28" s="53"/>
      <c r="G28" s="52"/>
      <c r="H28" s="51">
        <f t="shared" si="1"/>
        <v>0</v>
      </c>
    </row>
    <row r="29" ht="19.5" customHeight="1">
      <c r="B29" s="52"/>
      <c r="C29" s="53"/>
      <c r="D29" s="54"/>
      <c r="E29" s="54"/>
      <c r="F29" s="53"/>
      <c r="G29" s="52"/>
      <c r="H29" s="51">
        <f t="shared" si="1"/>
        <v>0</v>
      </c>
    </row>
    <row r="30" ht="19.5" customHeight="1">
      <c r="B30" s="52"/>
      <c r="C30" s="53"/>
      <c r="D30" s="54"/>
      <c r="E30" s="54"/>
      <c r="F30" s="53"/>
      <c r="G30" s="52"/>
      <c r="H30" s="51">
        <f t="shared" si="1"/>
        <v>0</v>
      </c>
    </row>
    <row r="31" ht="19.5" customHeight="1">
      <c r="B31" s="52"/>
      <c r="C31" s="53"/>
      <c r="D31" s="54"/>
      <c r="E31" s="54"/>
      <c r="F31" s="53"/>
      <c r="G31" s="52"/>
      <c r="H31" s="51">
        <f t="shared" si="1"/>
        <v>0</v>
      </c>
    </row>
    <row r="32" ht="19.5" customHeight="1">
      <c r="B32" s="52"/>
      <c r="C32" s="53"/>
      <c r="D32" s="54"/>
      <c r="E32" s="54"/>
      <c r="F32" s="53"/>
      <c r="G32" s="52"/>
      <c r="H32" s="51">
        <f t="shared" si="1"/>
        <v>0</v>
      </c>
    </row>
    <row r="33" ht="19.5" customHeight="1">
      <c r="B33" s="52"/>
      <c r="C33" s="53"/>
      <c r="D33" s="54"/>
      <c r="E33" s="54"/>
      <c r="F33" s="53"/>
      <c r="G33" s="52"/>
      <c r="H33" s="51">
        <f t="shared" si="1"/>
        <v>0</v>
      </c>
    </row>
    <row r="34" ht="19.5" customHeight="1">
      <c r="B34" s="52"/>
      <c r="C34" s="53"/>
      <c r="D34" s="54"/>
      <c r="E34" s="54"/>
      <c r="F34" s="53"/>
      <c r="G34" s="52"/>
      <c r="H34" s="51">
        <f t="shared" si="1"/>
        <v>0</v>
      </c>
    </row>
    <row r="35" ht="19.5" customHeight="1">
      <c r="B35" s="35"/>
      <c r="C35" s="35"/>
      <c r="D35" s="35"/>
      <c r="E35" s="35"/>
      <c r="F35" s="35"/>
      <c r="G35" s="35"/>
    </row>
    <row r="36" ht="19.5" customHeight="1">
      <c r="B36" s="35"/>
      <c r="C36" s="35"/>
      <c r="D36" s="35"/>
      <c r="E36" s="35"/>
      <c r="F36" s="35"/>
      <c r="G36" s="35"/>
    </row>
    <row r="37" ht="19.5" customHeight="1">
      <c r="B37" s="15" t="s">
        <v>115</v>
      </c>
      <c r="C37" s="16"/>
      <c r="D37" s="16"/>
      <c r="E37" s="16"/>
      <c r="F37" s="16"/>
      <c r="G37" s="16"/>
    </row>
    <row r="38" ht="19.5" customHeight="1">
      <c r="B38" s="17" t="s">
        <v>116</v>
      </c>
      <c r="C38" s="16"/>
      <c r="D38" s="16"/>
      <c r="E38" s="16"/>
      <c r="F38" s="16"/>
      <c r="G38" s="16"/>
    </row>
    <row r="39" ht="19.5" customHeight="1">
      <c r="B39" s="17" t="s">
        <v>117</v>
      </c>
      <c r="C39" s="16"/>
      <c r="D39" s="16"/>
      <c r="E39" s="16"/>
      <c r="F39" s="16"/>
      <c r="G39" s="16"/>
    </row>
    <row r="40" ht="19.5" customHeight="1">
      <c r="B40" s="17" t="s">
        <v>118</v>
      </c>
      <c r="C40" s="16"/>
      <c r="D40" s="16"/>
      <c r="E40" s="16"/>
      <c r="F40" s="16"/>
      <c r="G40" s="16"/>
    </row>
    <row r="41" ht="19.5" customHeight="1">
      <c r="B41" s="17" t="s">
        <v>119</v>
      </c>
      <c r="C41" s="16"/>
      <c r="D41" s="16"/>
      <c r="E41" s="16"/>
      <c r="F41" s="16"/>
      <c r="G41" s="16"/>
    </row>
    <row r="42" ht="19.5" customHeight="1">
      <c r="B42" s="17" t="s">
        <v>120</v>
      </c>
      <c r="C42" s="16"/>
      <c r="D42" s="16"/>
      <c r="E42" s="16"/>
      <c r="F42" s="16"/>
      <c r="G42" s="16"/>
    </row>
    <row r="43" ht="16.5" customHeight="1"/>
    <row r="44" ht="16.5" customHeight="1">
      <c r="B44" s="36" t="s">
        <v>91</v>
      </c>
      <c r="C44" s="37"/>
      <c r="D44" s="37"/>
      <c r="E44" s="37"/>
      <c r="F44" s="37"/>
      <c r="G44" s="37"/>
    </row>
    <row r="45" ht="16.5" customHeight="1">
      <c r="B45" s="37"/>
      <c r="C45" s="37"/>
      <c r="D45" s="37"/>
      <c r="E45" s="37"/>
      <c r="F45" s="37"/>
      <c r="G45" s="37"/>
    </row>
    <row r="46" ht="16.5" customHeight="1">
      <c r="B46" s="46" t="s">
        <v>121</v>
      </c>
      <c r="C46" s="46" t="s">
        <v>122</v>
      </c>
      <c r="D46" s="47" t="s">
        <v>123</v>
      </c>
      <c r="E46" s="48"/>
      <c r="F46" s="46" t="s">
        <v>124</v>
      </c>
      <c r="G46" s="46" t="s">
        <v>125</v>
      </c>
    </row>
    <row r="47" ht="16.5" customHeight="1">
      <c r="B47" s="49"/>
      <c r="C47" s="49"/>
      <c r="D47" s="50" t="s">
        <v>106</v>
      </c>
      <c r="E47" s="50" t="s">
        <v>107</v>
      </c>
      <c r="F47" s="49"/>
      <c r="G47" s="49"/>
    </row>
    <row r="48" ht="16.5" customHeight="1">
      <c r="B48" s="55" t="s">
        <v>126</v>
      </c>
      <c r="C48" s="56" t="s">
        <v>127</v>
      </c>
      <c r="D48" s="57" t="s">
        <v>128</v>
      </c>
      <c r="E48" s="58" t="s">
        <v>129</v>
      </c>
      <c r="F48" s="56" t="s">
        <v>130</v>
      </c>
      <c r="G48" s="55" t="s">
        <v>112</v>
      </c>
    </row>
    <row r="49" ht="16.5" customHeight="1">
      <c r="B49" s="55" t="s">
        <v>109</v>
      </c>
      <c r="C49" s="56"/>
      <c r="D49" s="57"/>
      <c r="E49" s="58"/>
      <c r="F49" s="56"/>
      <c r="G49" s="55"/>
    </row>
    <row r="50" ht="16.5" customHeight="1">
      <c r="B50" s="37"/>
      <c r="C50" s="37"/>
      <c r="D50" s="37"/>
      <c r="E50" s="37"/>
      <c r="F50" s="37"/>
      <c r="G50" s="37"/>
    </row>
    <row r="51" ht="16.5" customHeight="1">
      <c r="B51" s="44" t="s">
        <v>131</v>
      </c>
      <c r="C51" s="37"/>
      <c r="D51" s="37"/>
      <c r="E51" s="37"/>
      <c r="F51" s="37"/>
      <c r="G51" s="37"/>
    </row>
    <row r="52" ht="16.5" customHeight="1">
      <c r="B52" s="37"/>
      <c r="C52" s="37"/>
      <c r="D52" s="37"/>
      <c r="E52" s="37"/>
      <c r="F52" s="37"/>
      <c r="G52" s="37"/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0">
    <mergeCell ref="D46:E46"/>
    <mergeCell ref="F46:F47"/>
    <mergeCell ref="B3:B4"/>
    <mergeCell ref="C3:C4"/>
    <mergeCell ref="D3:E3"/>
    <mergeCell ref="F3:F4"/>
    <mergeCell ref="G3:G4"/>
    <mergeCell ref="B46:B47"/>
    <mergeCell ref="C46:C47"/>
    <mergeCell ref="G46:G47"/>
  </mergeCells>
  <dataValidations>
    <dataValidation type="list" allowBlank="1" showErrorMessage="1" sqref="B5:B34 B48:B49">
      <formula1>"정보기술,정보보안"</formula1>
    </dataValidation>
    <dataValidation type="list" allowBlank="1" showErrorMessage="1" sqref="G5:G34 G48:G49">
      <formula1>"완료,진행중,미착수,폐기"</formula1>
    </dataValidation>
  </dataValidations>
  <printOptions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3" width="30.71"/>
    <col customWidth="1" min="4" max="5" width="15.71"/>
    <col customWidth="1" min="6" max="6" width="50.71"/>
    <col customWidth="1" min="7" max="7" width="25.71"/>
    <col customWidth="1" hidden="1" min="8" max="8" width="9.0"/>
    <col customWidth="1" min="9" max="26" width="8.86"/>
  </cols>
  <sheetData>
    <row r="1" ht="16.5" customHeight="1">
      <c r="A1" s="1" t="s">
        <v>132</v>
      </c>
      <c r="B1" s="3"/>
      <c r="C1" s="3"/>
      <c r="D1" s="3"/>
      <c r="E1" s="3"/>
      <c r="F1" s="3"/>
      <c r="G1" s="3"/>
    </row>
    <row r="2" ht="19.5" customHeight="1"/>
    <row r="3" ht="19.5" customHeight="1">
      <c r="B3" s="46" t="s">
        <v>5</v>
      </c>
      <c r="C3" s="46" t="s">
        <v>102</v>
      </c>
      <c r="D3" s="47" t="s">
        <v>133</v>
      </c>
      <c r="E3" s="48"/>
      <c r="F3" s="46" t="s">
        <v>134</v>
      </c>
      <c r="G3" s="46" t="s">
        <v>135</v>
      </c>
    </row>
    <row r="4" ht="19.5" customHeight="1">
      <c r="B4" s="49"/>
      <c r="C4" s="49"/>
      <c r="D4" s="50" t="s">
        <v>106</v>
      </c>
      <c r="E4" s="50" t="s">
        <v>107</v>
      </c>
      <c r="F4" s="49"/>
      <c r="G4" s="49"/>
      <c r="H4" s="51" t="s">
        <v>108</v>
      </c>
    </row>
    <row r="5" ht="60.0" customHeight="1">
      <c r="B5" s="52" t="s">
        <v>109</v>
      </c>
      <c r="C5" s="53" t="s">
        <v>136</v>
      </c>
      <c r="D5" s="53" t="s">
        <v>137</v>
      </c>
      <c r="E5" s="53" t="s">
        <v>138</v>
      </c>
      <c r="F5" s="53" t="s">
        <v>139</v>
      </c>
      <c r="G5" s="52"/>
      <c r="H5" s="51">
        <f t="shared" ref="H5:H34" si="1">IF(COUNTA(B5:G5)&gt;=6,1,0)</f>
        <v>0</v>
      </c>
    </row>
    <row r="6">
      <c r="B6" s="52" t="s">
        <v>109</v>
      </c>
      <c r="C6" s="53" t="s">
        <v>140</v>
      </c>
      <c r="D6" s="53" t="s">
        <v>141</v>
      </c>
      <c r="E6" s="53" t="s">
        <v>142</v>
      </c>
      <c r="F6" s="53" t="s">
        <v>143</v>
      </c>
      <c r="G6" s="52"/>
      <c r="H6" s="51">
        <f t="shared" si="1"/>
        <v>0</v>
      </c>
    </row>
    <row r="7" ht="33.0" customHeight="1">
      <c r="B7" s="52" t="s">
        <v>109</v>
      </c>
      <c r="C7" s="53" t="s">
        <v>144</v>
      </c>
      <c r="D7" s="53" t="s">
        <v>142</v>
      </c>
      <c r="E7" s="53" t="s">
        <v>145</v>
      </c>
      <c r="F7" s="53" t="s">
        <v>146</v>
      </c>
      <c r="G7" s="52"/>
      <c r="H7" s="51">
        <f t="shared" si="1"/>
        <v>0</v>
      </c>
    </row>
    <row r="8" ht="19.5" customHeight="1">
      <c r="B8" s="52" t="s">
        <v>109</v>
      </c>
      <c r="C8" s="53" t="s">
        <v>147</v>
      </c>
      <c r="D8" s="53" t="s">
        <v>141</v>
      </c>
      <c r="E8" s="53" t="s">
        <v>148</v>
      </c>
      <c r="F8" s="53" t="s">
        <v>149</v>
      </c>
      <c r="G8" s="52"/>
      <c r="H8" s="51">
        <f t="shared" si="1"/>
        <v>0</v>
      </c>
    </row>
    <row r="9" ht="19.5" customHeight="1">
      <c r="B9" s="52" t="s">
        <v>109</v>
      </c>
      <c r="C9" s="35" t="s">
        <v>150</v>
      </c>
      <c r="D9" s="53" t="s">
        <v>142</v>
      </c>
      <c r="E9" s="53" t="s">
        <v>151</v>
      </c>
      <c r="F9" s="53" t="s">
        <v>152</v>
      </c>
      <c r="G9" s="52"/>
      <c r="H9" s="51">
        <f t="shared" si="1"/>
        <v>0</v>
      </c>
    </row>
    <row r="10" ht="48.75" customHeight="1">
      <c r="B10" s="52" t="s">
        <v>109</v>
      </c>
      <c r="C10" s="53" t="s">
        <v>153</v>
      </c>
      <c r="D10" s="53" t="s">
        <v>138</v>
      </c>
      <c r="E10" s="53" t="s">
        <v>154</v>
      </c>
      <c r="F10" s="53" t="s">
        <v>155</v>
      </c>
      <c r="G10" s="52"/>
      <c r="H10" s="51">
        <f t="shared" si="1"/>
        <v>0</v>
      </c>
    </row>
    <row r="11" ht="19.5" customHeight="1">
      <c r="B11" s="59" t="s">
        <v>126</v>
      </c>
      <c r="C11" s="60" t="s">
        <v>51</v>
      </c>
      <c r="D11" s="53" t="s">
        <v>137</v>
      </c>
      <c r="E11" s="53" t="s">
        <v>151</v>
      </c>
      <c r="F11" s="60" t="s">
        <v>156</v>
      </c>
      <c r="G11" s="52"/>
      <c r="H11" s="51">
        <f t="shared" si="1"/>
        <v>0</v>
      </c>
    </row>
    <row r="12" ht="19.5" customHeight="1">
      <c r="B12" s="59" t="s">
        <v>126</v>
      </c>
      <c r="C12" s="60" t="s">
        <v>157</v>
      </c>
      <c r="D12" s="53" t="s">
        <v>137</v>
      </c>
      <c r="E12" s="53" t="s">
        <v>151</v>
      </c>
      <c r="F12" s="60" t="s">
        <v>158</v>
      </c>
      <c r="G12" s="52"/>
      <c r="H12" s="51">
        <f t="shared" si="1"/>
        <v>0</v>
      </c>
    </row>
    <row r="13" ht="19.5" customHeight="1">
      <c r="B13" s="52"/>
      <c r="C13" s="53"/>
      <c r="D13" s="53"/>
      <c r="E13" s="53"/>
      <c r="F13" s="53"/>
      <c r="G13" s="52"/>
      <c r="H13" s="51">
        <f t="shared" si="1"/>
        <v>0</v>
      </c>
    </row>
    <row r="14" ht="19.5" customHeight="1">
      <c r="B14" s="52"/>
      <c r="C14" s="53"/>
      <c r="D14" s="53"/>
      <c r="E14" s="53"/>
      <c r="F14" s="53"/>
      <c r="G14" s="52"/>
      <c r="H14" s="51">
        <f t="shared" si="1"/>
        <v>0</v>
      </c>
    </row>
    <row r="15" ht="19.5" customHeight="1">
      <c r="B15" s="52"/>
      <c r="C15" s="53"/>
      <c r="D15" s="53"/>
      <c r="E15" s="53"/>
      <c r="F15" s="53"/>
      <c r="G15" s="52"/>
      <c r="H15" s="51">
        <f t="shared" si="1"/>
        <v>0</v>
      </c>
    </row>
    <row r="16" ht="19.5" customHeight="1">
      <c r="B16" s="52"/>
      <c r="C16" s="53"/>
      <c r="D16" s="53"/>
      <c r="E16" s="53"/>
      <c r="F16" s="53"/>
      <c r="G16" s="52"/>
      <c r="H16" s="51">
        <f t="shared" si="1"/>
        <v>0</v>
      </c>
    </row>
    <row r="17" ht="19.5" customHeight="1">
      <c r="B17" s="52"/>
      <c r="C17" s="53"/>
      <c r="D17" s="53"/>
      <c r="E17" s="53"/>
      <c r="F17" s="53"/>
      <c r="G17" s="52"/>
      <c r="H17" s="51">
        <f t="shared" si="1"/>
        <v>0</v>
      </c>
    </row>
    <row r="18" ht="19.5" customHeight="1">
      <c r="B18" s="52"/>
      <c r="C18" s="53"/>
      <c r="D18" s="53"/>
      <c r="E18" s="53"/>
      <c r="F18" s="53"/>
      <c r="G18" s="52"/>
      <c r="H18" s="51">
        <f t="shared" si="1"/>
        <v>0</v>
      </c>
    </row>
    <row r="19" ht="19.5" customHeight="1">
      <c r="B19" s="52"/>
      <c r="C19" s="53"/>
      <c r="D19" s="53"/>
      <c r="E19" s="53"/>
      <c r="F19" s="53"/>
      <c r="G19" s="52"/>
      <c r="H19" s="51">
        <f t="shared" si="1"/>
        <v>0</v>
      </c>
    </row>
    <row r="20" ht="19.5" customHeight="1">
      <c r="B20" s="52"/>
      <c r="C20" s="53"/>
      <c r="D20" s="53"/>
      <c r="E20" s="53"/>
      <c r="F20" s="53"/>
      <c r="G20" s="52"/>
      <c r="H20" s="51">
        <f t="shared" si="1"/>
        <v>0</v>
      </c>
    </row>
    <row r="21" ht="19.5" customHeight="1">
      <c r="B21" s="52"/>
      <c r="C21" s="53"/>
      <c r="D21" s="53"/>
      <c r="E21" s="53"/>
      <c r="F21" s="53"/>
      <c r="G21" s="52"/>
      <c r="H21" s="51">
        <f t="shared" si="1"/>
        <v>0</v>
      </c>
    </row>
    <row r="22" ht="19.5" customHeight="1">
      <c r="B22" s="52"/>
      <c r="C22" s="53"/>
      <c r="D22" s="53"/>
      <c r="E22" s="53"/>
      <c r="F22" s="53"/>
      <c r="G22" s="52"/>
      <c r="H22" s="51">
        <f t="shared" si="1"/>
        <v>0</v>
      </c>
    </row>
    <row r="23" ht="19.5" customHeight="1">
      <c r="B23" s="52"/>
      <c r="C23" s="53"/>
      <c r="D23" s="53"/>
      <c r="E23" s="53"/>
      <c r="F23" s="53"/>
      <c r="G23" s="52"/>
      <c r="H23" s="51">
        <f t="shared" si="1"/>
        <v>0</v>
      </c>
    </row>
    <row r="24" ht="19.5" customHeight="1">
      <c r="B24" s="52"/>
      <c r="C24" s="53"/>
      <c r="D24" s="53"/>
      <c r="E24" s="53"/>
      <c r="F24" s="53"/>
      <c r="G24" s="52"/>
      <c r="H24" s="51">
        <f t="shared" si="1"/>
        <v>0</v>
      </c>
    </row>
    <row r="25" ht="19.5" customHeight="1">
      <c r="B25" s="52"/>
      <c r="C25" s="53"/>
      <c r="D25" s="53"/>
      <c r="E25" s="53"/>
      <c r="F25" s="53"/>
      <c r="G25" s="52"/>
      <c r="H25" s="51">
        <f t="shared" si="1"/>
        <v>0</v>
      </c>
    </row>
    <row r="26" ht="19.5" customHeight="1">
      <c r="B26" s="52"/>
      <c r="C26" s="53"/>
      <c r="D26" s="53"/>
      <c r="E26" s="53"/>
      <c r="F26" s="53"/>
      <c r="G26" s="52"/>
      <c r="H26" s="51">
        <f t="shared" si="1"/>
        <v>0</v>
      </c>
    </row>
    <row r="27" ht="19.5" customHeight="1">
      <c r="B27" s="52"/>
      <c r="C27" s="53"/>
      <c r="D27" s="53"/>
      <c r="E27" s="53"/>
      <c r="F27" s="53"/>
      <c r="G27" s="52"/>
      <c r="H27" s="51">
        <f t="shared" si="1"/>
        <v>0</v>
      </c>
    </row>
    <row r="28" ht="19.5" customHeight="1">
      <c r="B28" s="52"/>
      <c r="C28" s="53"/>
      <c r="D28" s="53"/>
      <c r="E28" s="53"/>
      <c r="F28" s="53"/>
      <c r="G28" s="52"/>
      <c r="H28" s="51">
        <f t="shared" si="1"/>
        <v>0</v>
      </c>
    </row>
    <row r="29" ht="19.5" customHeight="1">
      <c r="B29" s="52"/>
      <c r="C29" s="53"/>
      <c r="D29" s="53"/>
      <c r="E29" s="53"/>
      <c r="F29" s="53"/>
      <c r="G29" s="52"/>
      <c r="H29" s="51">
        <f t="shared" si="1"/>
        <v>0</v>
      </c>
    </row>
    <row r="30" ht="19.5" customHeight="1">
      <c r="B30" s="52"/>
      <c r="C30" s="53"/>
      <c r="D30" s="53"/>
      <c r="E30" s="53"/>
      <c r="F30" s="53"/>
      <c r="G30" s="52"/>
      <c r="H30" s="51">
        <f t="shared" si="1"/>
        <v>0</v>
      </c>
    </row>
    <row r="31" ht="19.5" customHeight="1">
      <c r="B31" s="52"/>
      <c r="C31" s="53"/>
      <c r="D31" s="53"/>
      <c r="E31" s="53"/>
      <c r="F31" s="53"/>
      <c r="G31" s="52"/>
      <c r="H31" s="51">
        <f t="shared" si="1"/>
        <v>0</v>
      </c>
    </row>
    <row r="32" ht="19.5" customHeight="1">
      <c r="B32" s="52"/>
      <c r="C32" s="53"/>
      <c r="D32" s="53"/>
      <c r="E32" s="53"/>
      <c r="F32" s="53"/>
      <c r="G32" s="52"/>
      <c r="H32" s="51">
        <f t="shared" si="1"/>
        <v>0</v>
      </c>
    </row>
    <row r="33" ht="19.5" customHeight="1">
      <c r="B33" s="52"/>
      <c r="C33" s="53"/>
      <c r="D33" s="53"/>
      <c r="E33" s="53"/>
      <c r="F33" s="53"/>
      <c r="G33" s="52"/>
      <c r="H33" s="51">
        <f t="shared" si="1"/>
        <v>0</v>
      </c>
    </row>
    <row r="34" ht="19.5" customHeight="1">
      <c r="B34" s="52"/>
      <c r="C34" s="53"/>
      <c r="D34" s="53"/>
      <c r="E34" s="53"/>
      <c r="F34" s="53"/>
      <c r="G34" s="52"/>
      <c r="H34" s="51">
        <f t="shared" si="1"/>
        <v>0</v>
      </c>
    </row>
    <row r="35" ht="19.5" customHeight="1">
      <c r="B35" s="35"/>
      <c r="C35" s="35"/>
      <c r="D35" s="35"/>
      <c r="E35" s="35"/>
      <c r="F35" s="35"/>
      <c r="G35" s="35"/>
    </row>
    <row r="36" ht="19.5" customHeight="1">
      <c r="B36" s="35"/>
      <c r="C36" s="35"/>
      <c r="D36" s="35"/>
      <c r="E36" s="35"/>
      <c r="F36" s="35"/>
      <c r="G36" s="35"/>
    </row>
    <row r="37" ht="19.5" customHeight="1">
      <c r="B37" s="15" t="s">
        <v>159</v>
      </c>
      <c r="C37" s="16"/>
      <c r="D37" s="16"/>
      <c r="E37" s="16"/>
      <c r="F37" s="16"/>
      <c r="G37" s="16"/>
    </row>
    <row r="38" ht="19.5" customHeight="1">
      <c r="B38" s="17" t="s">
        <v>160</v>
      </c>
      <c r="C38" s="16"/>
      <c r="D38" s="16"/>
      <c r="E38" s="16"/>
      <c r="F38" s="16"/>
      <c r="G38" s="16"/>
    </row>
    <row r="39" ht="19.5" customHeight="1">
      <c r="B39" s="17" t="s">
        <v>161</v>
      </c>
      <c r="C39" s="16"/>
      <c r="D39" s="16"/>
      <c r="E39" s="16"/>
      <c r="F39" s="16"/>
      <c r="G39" s="16"/>
    </row>
    <row r="40" ht="19.5" customHeight="1">
      <c r="B40" s="17" t="s">
        <v>162</v>
      </c>
      <c r="C40" s="16"/>
      <c r="D40" s="16"/>
      <c r="E40" s="16"/>
      <c r="F40" s="16"/>
      <c r="G40" s="16"/>
    </row>
    <row r="41" ht="16.5" customHeight="1"/>
    <row r="42" ht="16.5" customHeight="1">
      <c r="B42" s="36" t="s">
        <v>91</v>
      </c>
      <c r="C42" s="37"/>
      <c r="D42" s="37"/>
      <c r="E42" s="37"/>
      <c r="F42" s="37"/>
      <c r="G42" s="37"/>
    </row>
    <row r="43" ht="16.5" customHeight="1">
      <c r="B43" s="37"/>
      <c r="C43" s="37"/>
      <c r="D43" s="37"/>
      <c r="E43" s="37"/>
      <c r="F43" s="37"/>
      <c r="G43" s="37"/>
    </row>
    <row r="44" ht="16.5" customHeight="1">
      <c r="B44" s="46" t="s">
        <v>121</v>
      </c>
      <c r="C44" s="46" t="s">
        <v>163</v>
      </c>
      <c r="D44" s="47" t="s">
        <v>164</v>
      </c>
      <c r="E44" s="48"/>
      <c r="F44" s="46" t="s">
        <v>165</v>
      </c>
      <c r="G44" s="46" t="s">
        <v>166</v>
      </c>
    </row>
    <row r="45" ht="16.5" customHeight="1">
      <c r="B45" s="49"/>
      <c r="C45" s="49"/>
      <c r="D45" s="50" t="s">
        <v>106</v>
      </c>
      <c r="E45" s="50" t="s">
        <v>107</v>
      </c>
      <c r="F45" s="49"/>
      <c r="G45" s="49"/>
    </row>
    <row r="46" ht="16.5" customHeight="1">
      <c r="A46" s="35"/>
      <c r="B46" s="55" t="s">
        <v>126</v>
      </c>
      <c r="C46" s="56" t="s">
        <v>127</v>
      </c>
      <c r="D46" s="57" t="s">
        <v>167</v>
      </c>
      <c r="E46" s="58" t="s">
        <v>168</v>
      </c>
      <c r="F46" s="56" t="s">
        <v>130</v>
      </c>
      <c r="G46" s="55" t="s">
        <v>112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6.5" customHeight="1">
      <c r="B47" s="55" t="s">
        <v>109</v>
      </c>
      <c r="C47" s="61"/>
      <c r="D47" s="62"/>
      <c r="E47" s="63"/>
      <c r="F47" s="61"/>
      <c r="G47" s="64"/>
    </row>
    <row r="48" ht="16.5" customHeight="1">
      <c r="B48" s="37"/>
      <c r="C48" s="37"/>
      <c r="D48" s="37"/>
      <c r="E48" s="37"/>
      <c r="F48" s="37"/>
      <c r="G48" s="37"/>
    </row>
    <row r="49" ht="16.5" customHeight="1">
      <c r="B49" s="44" t="s">
        <v>169</v>
      </c>
      <c r="C49" s="37"/>
      <c r="D49" s="37"/>
      <c r="E49" s="37"/>
      <c r="F49" s="37"/>
      <c r="G49" s="37"/>
    </row>
    <row r="50" ht="16.5" customHeight="1">
      <c r="B50" s="37"/>
      <c r="C50" s="37"/>
      <c r="D50" s="37"/>
      <c r="E50" s="37"/>
      <c r="F50" s="37"/>
      <c r="G50" s="37"/>
    </row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0">
    <mergeCell ref="D44:E44"/>
    <mergeCell ref="F44:F45"/>
    <mergeCell ref="B3:B4"/>
    <mergeCell ref="C3:C4"/>
    <mergeCell ref="D3:E3"/>
    <mergeCell ref="F3:F4"/>
    <mergeCell ref="G3:G4"/>
    <mergeCell ref="B44:B45"/>
    <mergeCell ref="C44:C45"/>
    <mergeCell ref="G44:G45"/>
  </mergeCells>
  <dataValidations>
    <dataValidation type="list" allowBlank="1" showErrorMessage="1" sqref="G5:G34 G46:G47">
      <formula1>"완료,진행중,미착수"</formula1>
    </dataValidation>
    <dataValidation type="list" allowBlank="1" showErrorMessage="1" sqref="G35">
      <formula1>"법규준수,보안강화,인프라개선,영업지원,운영안정성,신규사업지원,신기술도입,역량강화,기타"</formula1>
    </dataValidation>
    <dataValidation type="list" allowBlank="1" showErrorMessage="1" sqref="B5:B34 B46:B47">
      <formula1>"정보기술,정보보안"</formula1>
    </dataValidation>
  </dataValidations>
  <printOptions/>
  <pageMargins bottom="0.75" footer="0.0" header="0.0" left="0.25" right="0.25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10" width="25.71"/>
    <col customWidth="1" min="11" max="11" width="13.14"/>
    <col customWidth="1" min="12" max="12" width="13.0"/>
    <col customWidth="1" min="13" max="13" width="12.14"/>
    <col customWidth="1" min="14" max="26" width="8.86"/>
  </cols>
  <sheetData>
    <row r="1" ht="16.5" customHeight="1">
      <c r="A1" s="1" t="s">
        <v>170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30"/>
    </row>
    <row r="2" ht="19.5" customHeight="1"/>
    <row r="3" ht="19.5" customHeight="1">
      <c r="B3" s="9" t="s">
        <v>171</v>
      </c>
      <c r="F3" s="9"/>
    </row>
    <row r="4" ht="19.5" customHeight="1">
      <c r="B4" s="11" t="s">
        <v>172</v>
      </c>
      <c r="C4" s="11" t="s">
        <v>2</v>
      </c>
      <c r="D4" s="65"/>
    </row>
    <row r="5" ht="19.5" customHeight="1">
      <c r="B5" s="66">
        <v>45722.0</v>
      </c>
      <c r="C5" s="12" t="s">
        <v>3</v>
      </c>
      <c r="D5" s="10"/>
    </row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>
      <c r="B24" s="9" t="s">
        <v>173</v>
      </c>
    </row>
    <row r="25" ht="19.5" customHeight="1">
      <c r="B25" s="67" t="s">
        <v>5</v>
      </c>
      <c r="C25" s="67" t="s">
        <v>174</v>
      </c>
      <c r="D25" s="67" t="s">
        <v>175</v>
      </c>
      <c r="E25" s="68" t="s">
        <v>176</v>
      </c>
      <c r="F25" s="48"/>
      <c r="G25" s="69" t="s">
        <v>177</v>
      </c>
      <c r="H25" s="70"/>
      <c r="I25" s="71"/>
      <c r="J25" s="67" t="s">
        <v>135</v>
      </c>
    </row>
    <row r="26" ht="19.5" customHeight="1">
      <c r="B26" s="49"/>
      <c r="C26" s="49"/>
      <c r="D26" s="49"/>
      <c r="E26" s="72" t="s">
        <v>178</v>
      </c>
      <c r="F26" s="72" t="s">
        <v>179</v>
      </c>
      <c r="G26" s="73" t="s">
        <v>180</v>
      </c>
      <c r="H26" s="73" t="s">
        <v>181</v>
      </c>
      <c r="I26" s="73" t="s">
        <v>182</v>
      </c>
      <c r="J26" s="49"/>
    </row>
    <row r="27" ht="19.5" customHeight="1">
      <c r="B27" s="74" t="s">
        <v>183</v>
      </c>
      <c r="C27" s="75">
        <v>74.0</v>
      </c>
      <c r="D27" s="76"/>
      <c r="E27" s="76"/>
      <c r="F27" s="76"/>
      <c r="G27" s="76"/>
      <c r="H27" s="76"/>
      <c r="I27" s="76"/>
      <c r="J27" s="77"/>
    </row>
    <row r="28" ht="19.5" customHeight="1">
      <c r="B28" s="78" t="s">
        <v>184</v>
      </c>
      <c r="C28" s="79">
        <f>SUM(E28:I28)</f>
        <v>27</v>
      </c>
      <c r="D28" s="80">
        <f t="shared" ref="D28:D29" si="1">C28/C27</f>
        <v>0.3648648649</v>
      </c>
      <c r="E28" s="75">
        <v>27.0</v>
      </c>
      <c r="F28" s="75"/>
      <c r="G28" s="75"/>
      <c r="H28" s="75"/>
      <c r="I28" s="75"/>
      <c r="J28" s="81" t="s">
        <v>185</v>
      </c>
    </row>
    <row r="29" ht="19.5" customHeight="1">
      <c r="B29" s="78" t="s">
        <v>186</v>
      </c>
      <c r="C29" s="82">
        <v>3.0</v>
      </c>
      <c r="D29" s="80">
        <f t="shared" si="1"/>
        <v>0.1111111111</v>
      </c>
      <c r="E29" s="83">
        <v>3.0</v>
      </c>
      <c r="F29" s="75"/>
      <c r="G29" s="75"/>
      <c r="H29" s="75"/>
      <c r="I29" s="75"/>
      <c r="J29" s="81" t="s">
        <v>185</v>
      </c>
    </row>
    <row r="30" ht="19.5" customHeight="1"/>
    <row r="31" ht="19.5" customHeight="1">
      <c r="B31" s="9" t="s">
        <v>187</v>
      </c>
    </row>
    <row r="32" ht="19.5" customHeight="1">
      <c r="B32" s="72" t="s">
        <v>5</v>
      </c>
      <c r="C32" s="72" t="s">
        <v>9</v>
      </c>
      <c r="D32" s="72" t="s">
        <v>188</v>
      </c>
      <c r="E32" s="72" t="s">
        <v>189</v>
      </c>
      <c r="F32" s="72" t="s">
        <v>190</v>
      </c>
      <c r="G32" s="72" t="s">
        <v>191</v>
      </c>
      <c r="H32" s="72" t="s">
        <v>135</v>
      </c>
    </row>
    <row r="33" ht="19.5" customHeight="1">
      <c r="B33" s="78" t="s">
        <v>192</v>
      </c>
      <c r="C33" s="84" t="s">
        <v>21</v>
      </c>
      <c r="D33" s="84" t="s">
        <v>193</v>
      </c>
      <c r="E33" s="84" t="s">
        <v>194</v>
      </c>
      <c r="F33" s="85" t="s">
        <v>3</v>
      </c>
      <c r="G33" s="77"/>
      <c r="H33" s="86"/>
    </row>
    <row r="34" ht="19.5" customHeight="1">
      <c r="B34" s="78" t="s">
        <v>195</v>
      </c>
      <c r="C34" s="84" t="s">
        <v>21</v>
      </c>
      <c r="D34" s="84" t="s">
        <v>193</v>
      </c>
      <c r="E34" s="84" t="s">
        <v>194</v>
      </c>
      <c r="F34" s="85" t="s">
        <v>3</v>
      </c>
      <c r="G34" s="85" t="s">
        <v>3</v>
      </c>
      <c r="H34" s="86"/>
    </row>
    <row r="35" ht="19.5" customHeight="1"/>
    <row r="36" ht="19.5" customHeight="1">
      <c r="B36" s="9" t="s">
        <v>196</v>
      </c>
    </row>
    <row r="37" ht="19.5" customHeight="1">
      <c r="B37" s="72" t="s">
        <v>197</v>
      </c>
      <c r="C37" s="72" t="s">
        <v>198</v>
      </c>
      <c r="D37" s="72" t="s">
        <v>135</v>
      </c>
    </row>
    <row r="38" ht="19.5" customHeight="1">
      <c r="B38" s="87"/>
      <c r="C38" s="87">
        <v>74.0</v>
      </c>
      <c r="D38" s="81" t="s">
        <v>185</v>
      </c>
    </row>
    <row r="39" ht="19.5" customHeight="1"/>
    <row r="40" ht="19.5" customHeight="1"/>
    <row r="41" ht="19.5" customHeight="1">
      <c r="B41" s="15" t="s">
        <v>199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ht="19.5" customHeight="1">
      <c r="B42" s="17" t="s">
        <v>200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ht="19.5" customHeight="1">
      <c r="B43" s="17" t="s">
        <v>201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ht="16.5" customHeight="1">
      <c r="B44" s="17" t="s">
        <v>202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ht="16.5" customHeight="1">
      <c r="B45" s="17" t="s">
        <v>203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ht="16.5" customHeight="1">
      <c r="B46" s="17" t="s">
        <v>204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ht="16.5" customHeight="1">
      <c r="B47" s="17" t="s">
        <v>205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ht="16.5" customHeight="1">
      <c r="B48" s="17" t="s">
        <v>206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ht="16.5" customHeight="1">
      <c r="B49" s="17" t="s">
        <v>207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ht="16.5" customHeight="1">
      <c r="B50" s="17" t="s">
        <v>208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ht="16.5" customHeight="1">
      <c r="B51" s="17" t="s">
        <v>209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ht="16.5" customHeight="1">
      <c r="B52" s="17" t="s">
        <v>210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">
    <mergeCell ref="B25:B26"/>
    <mergeCell ref="C25:C26"/>
    <mergeCell ref="D25:D26"/>
    <mergeCell ref="E25:F25"/>
    <mergeCell ref="G25:I25"/>
    <mergeCell ref="J25:J26"/>
  </mergeCells>
  <dataValidations>
    <dataValidation type="decimal" operator="greaterThanOrEqual" allowBlank="1" showInputMessage="1" showErrorMessage="1" prompt="숫자만 입력" sqref="C27">
      <formula1>0.0</formula1>
    </dataValidation>
    <dataValidation type="list" allowBlank="1" showInputMessage="1" showErrorMessage="1" prompt="(예) O" sqref="C5:D5">
      <formula1>"O,X"</formula1>
    </dataValidation>
    <dataValidation type="decimal" operator="greaterThan" allowBlank="1" showErrorMessage="1" sqref="E28:I29">
      <formula1>0.0</formula1>
    </dataValidation>
    <dataValidation type="decimal" operator="greaterThan" allowBlank="1" showInputMessage="1" showErrorMessage="1" prompt="(예) 1,000" sqref="C38">
      <formula1>0.0</formula1>
    </dataValidation>
    <dataValidation type="list" allowBlank="1" showErrorMessage="1" sqref="F33 F34:G34">
      <formula1>"O,X"</formula1>
    </dataValidation>
    <dataValidation type="date" allowBlank="1" showInputMessage="1" showErrorMessage="1" prompt="(예) - YYYY-MM-DD" sqref="B5">
      <formula1>45474.0</formula1>
      <formula2>46022.0</formula2>
    </dataValidation>
    <dataValidation type="decimal" operator="greaterThan" allowBlank="1" showInputMessage="1" showErrorMessage="1" prompt="(예) 500,000" sqref="B38">
      <formula1>0.0</formula1>
    </dataValidation>
  </dataValidations>
  <printOptions/>
  <pageMargins bottom="0.75" footer="0.0" header="0.0" left="0.25" right="0.25" top="0.75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71"/>
    <col customWidth="1" min="3" max="3" width="35.71"/>
    <col customWidth="1" min="4" max="5" width="30.71"/>
    <col customWidth="1" hidden="1" min="6" max="6" width="5.71"/>
    <col customWidth="1" min="7" max="26" width="8.86"/>
  </cols>
  <sheetData>
    <row r="1" ht="16.5" customHeight="1">
      <c r="A1" s="1" t="s">
        <v>211</v>
      </c>
      <c r="B1" s="88"/>
      <c r="C1" s="88"/>
      <c r="D1" s="88"/>
      <c r="E1" s="88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19.5" customHeight="1">
      <c r="A2" s="90"/>
      <c r="B2" s="89"/>
      <c r="C2" s="89"/>
      <c r="D2" s="89"/>
      <c r="E2" s="91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6.5" customHeight="1">
      <c r="B3" s="47" t="s">
        <v>5</v>
      </c>
      <c r="C3" s="48"/>
      <c r="D3" s="92" t="s">
        <v>212</v>
      </c>
      <c r="E3" s="92" t="s">
        <v>213</v>
      </c>
      <c r="F3" s="93" t="s">
        <v>108</v>
      </c>
    </row>
    <row r="4" ht="19.5" customHeight="1">
      <c r="B4" s="47" t="s">
        <v>214</v>
      </c>
      <c r="C4" s="48"/>
      <c r="D4" s="94"/>
      <c r="E4" s="94"/>
      <c r="F4" s="51">
        <f t="shared" ref="F4:F24" si="2">IF(COUNTA($D4:$E4)&gt;=3,1,0)</f>
        <v>0</v>
      </c>
    </row>
    <row r="5" ht="19.5" customHeight="1">
      <c r="B5" s="47" t="s">
        <v>215</v>
      </c>
      <c r="C5" s="48"/>
      <c r="D5" s="95">
        <f t="shared" ref="D5:E5" si="1">SUM(D$6:D$14)</f>
        <v>1883477</v>
      </c>
      <c r="E5" s="95">
        <f t="shared" si="1"/>
        <v>2448520.1</v>
      </c>
      <c r="F5" s="51">
        <f t="shared" si="2"/>
        <v>0</v>
      </c>
    </row>
    <row r="6" ht="19.5" customHeight="1">
      <c r="B6" s="96" t="s">
        <v>216</v>
      </c>
      <c r="C6" s="32" t="s">
        <v>217</v>
      </c>
      <c r="D6" s="97">
        <v>1587447.0</v>
      </c>
      <c r="E6" s="98">
        <f t="shared" ref="E6:E13" si="3">D6*1.3</f>
        <v>2063681.1</v>
      </c>
      <c r="F6" s="51">
        <f t="shared" si="2"/>
        <v>0</v>
      </c>
    </row>
    <row r="7" ht="19.5" customHeight="1">
      <c r="B7" s="99"/>
      <c r="C7" s="32" t="s">
        <v>218</v>
      </c>
      <c r="D7" s="97">
        <v>179791.0</v>
      </c>
      <c r="E7" s="98">
        <f t="shared" si="3"/>
        <v>233728.3</v>
      </c>
      <c r="F7" s="51">
        <f t="shared" si="2"/>
        <v>0</v>
      </c>
    </row>
    <row r="8" ht="19.5" customHeight="1">
      <c r="B8" s="99"/>
      <c r="C8" s="32" t="s">
        <v>219</v>
      </c>
      <c r="D8" s="97">
        <v>21289.0</v>
      </c>
      <c r="E8" s="98">
        <f t="shared" si="3"/>
        <v>27675.7</v>
      </c>
      <c r="F8" s="51">
        <f t="shared" si="2"/>
        <v>0</v>
      </c>
    </row>
    <row r="9" ht="19.5" customHeight="1">
      <c r="B9" s="99"/>
      <c r="C9" s="32" t="s">
        <v>220</v>
      </c>
      <c r="D9" s="97">
        <v>60356.0</v>
      </c>
      <c r="E9" s="98">
        <f t="shared" si="3"/>
        <v>78462.8</v>
      </c>
      <c r="F9" s="51">
        <f t="shared" si="2"/>
        <v>0</v>
      </c>
    </row>
    <row r="10" ht="19.5" customHeight="1">
      <c r="B10" s="99"/>
      <c r="C10" s="32" t="s">
        <v>221</v>
      </c>
      <c r="D10" s="97">
        <v>9120.0</v>
      </c>
      <c r="E10" s="98">
        <f t="shared" si="3"/>
        <v>11856</v>
      </c>
      <c r="F10" s="51">
        <f t="shared" si="2"/>
        <v>0</v>
      </c>
    </row>
    <row r="11" ht="19.5" customHeight="1">
      <c r="B11" s="99"/>
      <c r="C11" s="32" t="s">
        <v>222</v>
      </c>
      <c r="D11" s="97">
        <v>6000.0</v>
      </c>
      <c r="E11" s="98">
        <f t="shared" si="3"/>
        <v>7800</v>
      </c>
      <c r="F11" s="51">
        <f t="shared" si="2"/>
        <v>0</v>
      </c>
    </row>
    <row r="12" ht="19.5" customHeight="1">
      <c r="B12" s="99"/>
      <c r="C12" s="32" t="s">
        <v>223</v>
      </c>
      <c r="D12" s="97">
        <v>1350.0</v>
      </c>
      <c r="E12" s="98">
        <f t="shared" si="3"/>
        <v>1755</v>
      </c>
      <c r="F12" s="51">
        <f t="shared" si="2"/>
        <v>0</v>
      </c>
    </row>
    <row r="13" ht="19.5" customHeight="1">
      <c r="B13" s="99"/>
      <c r="C13" s="32" t="s">
        <v>224</v>
      </c>
      <c r="D13" s="97">
        <v>18124.0</v>
      </c>
      <c r="E13" s="98">
        <f t="shared" si="3"/>
        <v>23561.2</v>
      </c>
      <c r="F13" s="51">
        <f t="shared" si="2"/>
        <v>0</v>
      </c>
    </row>
    <row r="14" ht="19.5" customHeight="1">
      <c r="B14" s="49"/>
      <c r="C14" s="32" t="s">
        <v>182</v>
      </c>
      <c r="D14" s="94"/>
      <c r="E14" s="94"/>
      <c r="F14" s="51">
        <f t="shared" si="2"/>
        <v>0</v>
      </c>
    </row>
    <row r="15" ht="19.5" customHeight="1">
      <c r="B15" s="47" t="s">
        <v>225</v>
      </c>
      <c r="C15" s="48"/>
      <c r="D15" s="95">
        <f t="shared" ref="D15:E15" si="4">SUM(D$16:D$24)</f>
        <v>235365</v>
      </c>
      <c r="E15" s="95">
        <f t="shared" si="4"/>
        <v>305974.5</v>
      </c>
      <c r="F15" s="51">
        <f t="shared" si="2"/>
        <v>0</v>
      </c>
    </row>
    <row r="16" ht="19.5" customHeight="1">
      <c r="B16" s="96" t="s">
        <v>226</v>
      </c>
      <c r="C16" s="32" t="s">
        <v>227</v>
      </c>
      <c r="D16" s="97">
        <v>207581.0</v>
      </c>
      <c r="E16" s="98">
        <f t="shared" ref="E16:E23" si="5">D16*1.3</f>
        <v>269855.3</v>
      </c>
      <c r="F16" s="51">
        <f t="shared" si="2"/>
        <v>0</v>
      </c>
    </row>
    <row r="17" ht="19.5" customHeight="1">
      <c r="B17" s="99"/>
      <c r="C17" s="32" t="s">
        <v>228</v>
      </c>
      <c r="D17" s="97">
        <v>2542.0</v>
      </c>
      <c r="E17" s="98">
        <f t="shared" si="5"/>
        <v>3304.6</v>
      </c>
      <c r="F17" s="51">
        <f t="shared" si="2"/>
        <v>0</v>
      </c>
    </row>
    <row r="18" ht="19.5" customHeight="1">
      <c r="B18" s="99"/>
      <c r="C18" s="32" t="s">
        <v>229</v>
      </c>
      <c r="D18" s="97">
        <v>454.0</v>
      </c>
      <c r="E18" s="98">
        <f t="shared" si="5"/>
        <v>590.2</v>
      </c>
      <c r="F18" s="51">
        <f t="shared" si="2"/>
        <v>0</v>
      </c>
    </row>
    <row r="19" ht="19.5" customHeight="1">
      <c r="B19" s="99"/>
      <c r="C19" s="32" t="s">
        <v>230</v>
      </c>
      <c r="D19" s="97">
        <v>7854.0</v>
      </c>
      <c r="E19" s="98">
        <f t="shared" si="5"/>
        <v>10210.2</v>
      </c>
      <c r="F19" s="51">
        <f t="shared" si="2"/>
        <v>0</v>
      </c>
    </row>
    <row r="20" ht="19.5" customHeight="1">
      <c r="B20" s="99"/>
      <c r="C20" s="32" t="s">
        <v>231</v>
      </c>
      <c r="D20" s="97">
        <v>9120.0</v>
      </c>
      <c r="E20" s="98">
        <f t="shared" si="5"/>
        <v>11856</v>
      </c>
      <c r="F20" s="51">
        <f t="shared" si="2"/>
        <v>0</v>
      </c>
    </row>
    <row r="21" ht="19.5" customHeight="1">
      <c r="B21" s="99"/>
      <c r="C21" s="32" t="s">
        <v>232</v>
      </c>
      <c r="D21" s="100">
        <v>6000.0</v>
      </c>
      <c r="E21" s="98">
        <f t="shared" si="5"/>
        <v>7800</v>
      </c>
      <c r="F21" s="51">
        <f t="shared" si="2"/>
        <v>0</v>
      </c>
    </row>
    <row r="22" ht="19.5" customHeight="1">
      <c r="B22" s="99"/>
      <c r="C22" s="32" t="s">
        <v>233</v>
      </c>
      <c r="D22" s="100">
        <v>675.0</v>
      </c>
      <c r="E22" s="98">
        <f t="shared" si="5"/>
        <v>877.5</v>
      </c>
      <c r="F22" s="51">
        <f t="shared" si="2"/>
        <v>0</v>
      </c>
    </row>
    <row r="23" ht="19.5" customHeight="1">
      <c r="B23" s="99"/>
      <c r="C23" s="32" t="s">
        <v>234</v>
      </c>
      <c r="D23" s="100">
        <v>1139.0</v>
      </c>
      <c r="E23" s="98">
        <f t="shared" si="5"/>
        <v>1480.7</v>
      </c>
      <c r="F23" s="51">
        <f t="shared" si="2"/>
        <v>0</v>
      </c>
    </row>
    <row r="24" ht="19.5" customHeight="1">
      <c r="B24" s="49"/>
      <c r="C24" s="32" t="s">
        <v>182</v>
      </c>
      <c r="D24" s="94"/>
      <c r="E24" s="94"/>
      <c r="F24" s="51">
        <f t="shared" si="2"/>
        <v>0</v>
      </c>
    </row>
    <row r="25" ht="19.5" hidden="1" customHeight="1">
      <c r="B25" s="47" t="s">
        <v>235</v>
      </c>
      <c r="C25" s="48"/>
      <c r="D25" s="77"/>
      <c r="E25" s="101">
        <f>E$15/E$5</f>
        <v>0.1249630338</v>
      </c>
    </row>
    <row r="26" ht="19.5" customHeight="1"/>
    <row r="27" ht="19.5" customHeight="1">
      <c r="B27" s="15" t="s">
        <v>236</v>
      </c>
      <c r="C27" s="16"/>
      <c r="D27" s="16"/>
      <c r="E27" s="16"/>
    </row>
    <row r="28" ht="19.5" customHeight="1">
      <c r="B28" s="17" t="s">
        <v>237</v>
      </c>
      <c r="C28" s="16"/>
      <c r="D28" s="16"/>
      <c r="E28" s="16"/>
    </row>
    <row r="29" ht="19.5" customHeight="1">
      <c r="B29" s="17" t="s">
        <v>238</v>
      </c>
      <c r="C29" s="16"/>
      <c r="D29" s="16"/>
      <c r="E29" s="16"/>
    </row>
    <row r="30" ht="16.5" customHeight="1">
      <c r="B30" s="17" t="s">
        <v>239</v>
      </c>
      <c r="C30" s="16"/>
      <c r="D30" s="16"/>
      <c r="E30" s="16"/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">
    <mergeCell ref="B3:C3"/>
    <mergeCell ref="B4:C4"/>
    <mergeCell ref="B5:C5"/>
    <mergeCell ref="B6:B14"/>
    <mergeCell ref="B15:C15"/>
    <mergeCell ref="B16:B24"/>
    <mergeCell ref="B25:C25"/>
  </mergeCells>
  <printOptions/>
  <pageMargins bottom="0.75" footer="0.0" header="0.0" left="0.25" right="0.25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2019-12-16T02:30:54Z</dcterms:created>
  <dc:creator>FSS_NT371B5L</dc:creator>
</cp:coreProperties>
</file>