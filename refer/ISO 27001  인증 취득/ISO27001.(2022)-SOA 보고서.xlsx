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표지" sheetId="1" r:id="rId4"/>
    <sheet state="visible" name="1. 개정이력" sheetId="2" r:id="rId5"/>
    <sheet state="visible" name="2. ISO 27001 요구사항" sheetId="3" r:id="rId6"/>
    <sheet state="visible" name="3. ISO 27001 부속서 A(통제항목)" sheetId="4" r:id="rId7"/>
    <sheet state="hidden" name="수준분석 점검결과(1차 230725, 2차 230804)" sheetId="5" r:id="rId8"/>
    <sheet state="hidden" name="GAP분석 보고서 (2안)" sheetId="6" r:id="rId9"/>
    <sheet state="hidden" name="GAP분석 보고서 (202307311405)" sheetId="7" r:id="rId10"/>
  </sheets>
  <definedNames>
    <definedName name="ㅇㅇㅇㅇㅇㅇㅇㅇㅇㅇㅇㅇㅇ">#REF!</definedName>
    <definedName name="dd">#REF!</definedName>
    <definedName name="__123Graph_B">#REF!</definedName>
    <definedName name="영업외">#REF!</definedName>
    <definedName name="ㄱㄷㅅ히ㅏ">#REF!</definedName>
    <definedName name="opo">#REF!</definedName>
    <definedName name="김춘진">#REF!</definedName>
    <definedName name="상품원가">#REF!</definedName>
    <definedName name="ㄱㄱㄱㄱㄱㄱㄱㄱㄱㄱㄱㄱㄱㄱㄱㄱㄱㄱㄱㄱㄱㄱㄱㄱㄱㄱ">#REF!</definedName>
    <definedName name="환경분석청주">#REF!</definedName>
    <definedName name="우">#REF!</definedName>
    <definedName name="이종환">#REF!</definedName>
    <definedName name="마">#REF!</definedName>
    <definedName name="재료">#REF!</definedName>
    <definedName localSheetId="3" name="_MatInverse_In">#REF!</definedName>
    <definedName name="yyy">#REF!</definedName>
    <definedName name="ㄷㄹㄹㄹㄹㄹㅇㅇㅇㅇㅇㅇㅇㅇ">#REF!</definedName>
    <definedName localSheetId="5" name="_Key2">#REF!</definedName>
    <definedName name="ㅡㅡㅡ">#REF!</definedName>
    <definedName name="ㄷㄹㄹㄹㄹㄹㄹㄹㄹㄹㄹㄹㄹㄹㄹ">#REF!</definedName>
    <definedName name="ㄹㄴㅇㄹㄴㅇㄹㄴㄱㄴㅇ">#REF!</definedName>
    <definedName localSheetId="6" name="__123Graph_A">#REF!</definedName>
    <definedName localSheetId="3" name="_Toc93876399">'3. ISO 27001 부속서 A(통제항목)'!$K$14</definedName>
    <definedName localSheetId="6" name="_Key2">#REF!</definedName>
    <definedName localSheetId="3" name="__123Graph_B">#REF!</definedName>
    <definedName name="JIM">#REF!</definedName>
    <definedName name="ㅕㅛ">#REF!</definedName>
    <definedName name="김권두">#REF!</definedName>
    <definedName name="_Fill">#REF!</definedName>
    <definedName localSheetId="5" name="CF요인">#REF!</definedName>
    <definedName name="저장2">#REF!</definedName>
    <definedName localSheetId="5" name="_Fill">#REF!</definedName>
    <definedName name="저장1">#REF!</definedName>
    <definedName localSheetId="3" name="_Sort">#REF!</definedName>
    <definedName name="ㄱㄱㄱㅎㅎㅎㅎㅎㅎㅎㅎㅎㅎㅎㅎㅎ">#REF!</definedName>
    <definedName name="aaaaaaaaaaaaaaaaa">#REF!</definedName>
    <definedName name="ㄴㅇ">#REF!</definedName>
    <definedName name="어">#REF!</definedName>
    <definedName name="나">#REF!</definedName>
    <definedName name="캐쉬">#REF!</definedName>
    <definedName name="나나">#REF!</definedName>
    <definedName name="d">#REF!</definedName>
    <definedName name="하">#REF!</definedName>
    <definedName name="전국현황">#REF!</definedName>
    <definedName name="ddssd">#REF!</definedName>
    <definedName name="ㄱㄱㄱㄱ">#REF!</definedName>
    <definedName name="ㅇㅁㅇㄴㄴㄴㄴㄴㄴㄴㄴ">#REF!</definedName>
    <definedName name="ㄴㅇㄹㄴㅇㄴㅇㄹ">#REF!</definedName>
    <definedName name="ocf">#REF!</definedName>
    <definedName name="ㅇㅇㅇㅇㅇㅇ">#REF!</definedName>
    <definedName name="ㅠㅠㅠ">#REF!</definedName>
    <definedName name="이">#REF!</definedName>
    <definedName name="ㅇㅁㅇㄹㅇㅁㅇ">#REF!</definedName>
    <definedName name="상품수불">#REF!</definedName>
    <definedName name="_Key1">#REF!</definedName>
    <definedName name="임정은">#REF!</definedName>
    <definedName name="다">#REF!</definedName>
    <definedName name="돌">#REF!</definedName>
    <definedName name="ㅇㄴㅇㅇㅇㅁㅇ">#REF!</definedName>
    <definedName name="누">#REF!</definedName>
    <definedName localSheetId="3" name="CF요인">#REF!</definedName>
    <definedName name="효섭">#REF!</definedName>
    <definedName name="ㅇㅁㄴㅇㅁㄴ">#REF!</definedName>
    <definedName name="jeld">#REF!</definedName>
    <definedName localSheetId="3" name="ocf">#REF!</definedName>
    <definedName name="ㄴㅇㅇㅇㅇㅇㅇㅇㅇㅇㅇㅇㅇㅇㅇㅇㅇㅇㅇ">#REF!</definedName>
    <definedName localSheetId="3" name="_MatInverse_Out">#REF!</definedName>
    <definedName name="영업현금">#REF!</definedName>
    <definedName name="출판">#REF!</definedName>
    <definedName localSheetId="6" name="__123Graph_B">#REF!</definedName>
    <definedName localSheetId="5" name="_Key1">#REF!</definedName>
    <definedName name="ㅓ여ㅗㅓㄹ헗">#REF!</definedName>
    <definedName localSheetId="6" name="CF요인">#REF!</definedName>
    <definedName localSheetId="3" name="ㄴㅇ">#REF!</definedName>
    <definedName name="aa">#REF!</definedName>
    <definedName name="저장">#REF!</definedName>
    <definedName name="상품">#REF!</definedName>
    <definedName name="세전익익">#REF!</definedName>
    <definedName name="곽윤식">#REF!</definedName>
    <definedName name="up">#REF!</definedName>
    <definedName localSheetId="5" name="_Sort">#REF!</definedName>
    <definedName localSheetId="6" name="_Fill">#REF!</definedName>
    <definedName name="dasddddddddddddd">#REF!</definedName>
    <definedName name="네">#REF!</definedName>
    <definedName name="ㅁㄷㅁㄻㅁㅁㅁㅁㅁㅁㅁㅁㅁㅁㅁㅁㅁㅁㅁㅁㅁㅁㅁ">#REF!</definedName>
    <definedName localSheetId="5" name="_MatInverse_In">#REF!</definedName>
    <definedName name="tree수정">#REF!</definedName>
    <definedName localSheetId="5" name="ocf">#REF!</definedName>
    <definedName name="김권수">#REF!</definedName>
    <definedName name="타">#REF!</definedName>
    <definedName name="영업이익">#REF!</definedName>
    <definedName name="환경소주2">#REF!</definedName>
    <definedName name="포장ocf">#REF!</definedName>
    <definedName name="저장품수불">#REF!</definedName>
    <definedName name="ttttt">#REF!</definedName>
    <definedName name="ㅐㅐㅐ">#REF!</definedName>
    <definedName name="ㄷㄷㄷㄷㄷㄷㄷㄷㄷㄷㄷㄷㄷㄷㄷㄷㄷㄷㄷㄷㄷㄷㄷㄷㄷㄷㄷ">#REF!</definedName>
    <definedName localSheetId="3" name="_Toc92445732">#REF!</definedName>
    <definedName name="ㅇㄴㅁㅁㅁㅇ">#REF!</definedName>
    <definedName name="영업외수">#REF!</definedName>
    <definedName name="_MatInverse_Out">#REF!</definedName>
    <definedName name="ㅇㅇㅇㅇ">#REF!</definedName>
    <definedName name="_MatInverse_In">#REF!</definedName>
    <definedName name="김도형">#REF!</definedName>
    <definedName name="차">#REF!</definedName>
    <definedName name="매출3">#REF!</definedName>
    <definedName localSheetId="3" name="영업외">#REF!</definedName>
    <definedName name="유형">#REF!</definedName>
    <definedName name="갔">#REF!</definedName>
    <definedName name="wrn.CASH.">#REF!</definedName>
    <definedName name="가가">#REF!</definedName>
    <definedName name="계수">#REF!</definedName>
    <definedName localSheetId="5" name="_Toc92445732">'GAP분석 보고서 (2안)'!$K$118</definedName>
    <definedName name="포장2월ocf">#REF!</definedName>
    <definedName localSheetId="3" name="_Key2">#REF!</definedName>
    <definedName localSheetId="6" name="병">#REF!</definedName>
    <definedName name="던">#REF!</definedName>
    <definedName name="직접재료">#REF!</definedName>
    <definedName localSheetId="3" name="__123Graph_A">#REF!</definedName>
    <definedName localSheetId="6" name="_Sort">#REF!</definedName>
    <definedName name="Aging">#REF!</definedName>
    <definedName name="선택">#REF!</definedName>
    <definedName name="사1">#REF!</definedName>
    <definedName name="재공포함">#REF!</definedName>
    <definedName name="손익변경">#REF!</definedName>
    <definedName localSheetId="6" name="영업외수">#REF!</definedName>
    <definedName localSheetId="5" name="_MatInverse_Out">#REF!</definedName>
    <definedName name="ㅇㅇㅇ">#REF!</definedName>
    <definedName name="파">#REF!</definedName>
    <definedName localSheetId="6" name="영업외">#REF!</definedName>
    <definedName name="스킨">#REF!</definedName>
    <definedName name="ㅁㅁㅁㅁㅁㅁㅁㅁㅁㅁㅁㅁㅁㅁ">#REF!</definedName>
    <definedName localSheetId="6" name="_MatInverse_Out">#REF!</definedName>
    <definedName name="원계획대비">#REF!</definedName>
    <definedName name="ljh">#REF!</definedName>
    <definedName localSheetId="6" name="_Toc92445732">'GAP분석 보고서 (202307311405)'!$W$118</definedName>
    <definedName localSheetId="5" name="영업외">#REF!</definedName>
    <definedName localSheetId="6" name="ocf">#REF!</definedName>
    <definedName name="제조">#REF!</definedName>
    <definedName name="ㅎㅎㅎㅎㅎㅎㅎㅎㅎㅎㅎㅎㅎ">#REF!</definedName>
    <definedName name="병">#REF!</definedName>
    <definedName name="강">#REF!</definedName>
    <definedName name="CF요인">#REF!</definedName>
    <definedName name="김현영">#REF!</definedName>
    <definedName name="__123Graph_D">#REF!</definedName>
    <definedName localSheetId="6" name="_Key1">#REF!</definedName>
    <definedName name="ㅇㄴㅁㄴㅁㅁㅁㅁㅁㅁㅁ">#REF!</definedName>
    <definedName name="영업">#REF!</definedName>
    <definedName localSheetId="5" name="병">#REF!</definedName>
    <definedName name="dddddddddddddddddddddddd">#REF!</definedName>
    <definedName localSheetId="3" name="병">#REF!</definedName>
    <definedName name="ㄷㄹ햐">#REF!</definedName>
    <definedName localSheetId="5" name="영업외수">#REF!</definedName>
    <definedName name="남">#REF!</definedName>
    <definedName name="노재현">#REF!</definedName>
    <definedName name="제">#REF!</definedName>
    <definedName localSheetId="3" name="__123Graph_D">#REF!</definedName>
    <definedName name="ㄴㄴㅇㄴㅁㄴㅁㄴ">#REF!</definedName>
    <definedName name="이대호">#REF!</definedName>
    <definedName name="wrn.97.">#REF!</definedName>
    <definedName name="ㅈㅈㅈㅈㅈㅈㅈㅈㅈㅈㅈㅈㅇㅇㅇㅇㅇㅇㅇㅇ">#REF!</definedName>
    <definedName name="왔">#REF!</definedName>
    <definedName localSheetId="5" name="__123Graph_B">#REF!</definedName>
    <definedName localSheetId="5" name="__123Graph_A">#REF!</definedName>
    <definedName name="_Sort">#REF!</definedName>
    <definedName name="전자CF">#REF!</definedName>
    <definedName name="아">#REF!</definedName>
    <definedName name="_Key2">#REF!</definedName>
    <definedName localSheetId="6" name="_MatInverse_In">#REF!</definedName>
    <definedName name="ㅎㅎㄹㄷㅁㅁㅁㅁㅁㅁㅁㅁㅁㅁㅁㅁ">#REF!</definedName>
    <definedName name="_MatMult_B">#REF!</definedName>
    <definedName name="ㅓㅏ허ㅏ호">#REF!</definedName>
    <definedName name="ㅈㅈㅈㅈㅈㅈㅈㅈㅈㅈㅈㅈㅈㅈㅈㅈㅈㅈㅈㅈㅈㅈㅈ">#REF!</definedName>
    <definedName localSheetId="5" name="__123Graph_D">#REF!</definedName>
    <definedName name="비">#REF!</definedName>
    <definedName name="수불">#REF!</definedName>
    <definedName localSheetId="6" name="__123Graph_D">#REF!</definedName>
    <definedName name="lee">#REF!</definedName>
    <definedName name="기준일">#REF!</definedName>
    <definedName name="라">#REF!</definedName>
    <definedName name="주">#REF!</definedName>
    <definedName localSheetId="3" name="_Key1">#REF!</definedName>
    <definedName name="바">#REF!</definedName>
    <definedName name="계정명세서">#REF!</definedName>
    <definedName name="자">#REF!</definedName>
    <definedName name="DAS">#REF!</definedName>
    <definedName name="니">#REF!</definedName>
    <definedName name="운영">#REF!</definedName>
    <definedName name="사">#REF!</definedName>
    <definedName name="허ㅣㅓㅏㅛㅕ">#REF!</definedName>
    <definedName name="dadfadad">#REF!</definedName>
    <definedName name="ㅇㅁㅇㄻㅇㄴ">#REF!</definedName>
    <definedName name="ㅓ혀하료ㅕㅏ">#REF!</definedName>
    <definedName name="제조원가">#REF!</definedName>
    <definedName name="김">#REF!</definedName>
    <definedName name="지급븝">#REF!</definedName>
    <definedName name="__123Graph_A">#REF!</definedName>
    <definedName name="ㅕ해">#REF!</definedName>
    <definedName localSheetId="5" name="ㄴㅇ">#REF!</definedName>
    <definedName localSheetId="3" name="영업외수">#REF!</definedName>
    <definedName name="카">#REF!</definedName>
    <definedName localSheetId="3" name="_Fill">#REF!</definedName>
    <definedName name="자재">#REF!</definedName>
    <definedName name="이슈">#REF!</definedName>
    <definedName localSheetId="6" name="ㄴㅇ">#REF!</definedName>
    <definedName name="오">#REF!</definedName>
    <definedName name="리">#REF!</definedName>
    <definedName name="ㅂㅂㅂㅂㅂㅂ">#REF!</definedName>
    <definedName name="랑">#REF!</definedName>
    <definedName hidden="1" localSheetId="2" name="_xlnm._FilterDatabase">'2. ISO 27001 요구사항'!$B$4:$K$4</definedName>
    <definedName hidden="1" localSheetId="5" name="_xlnm._FilterDatabase">'GAP분석 보고서 (2안)'!$B$7:$O$178</definedName>
    <definedName hidden="1" localSheetId="6" name="_xlnm._FilterDatabase">'GAP분석 보고서 (202307311405)'!$B$7:$AH$178</definedName>
  </definedNames>
  <calcPr/>
  <extLst>
    <ext uri="GoogleSheetsCustomDataVersion2">
      <go:sheetsCustomData xmlns:go="http://customooxmlschemas.google.com/" r:id="rId11" roundtripDataChecksum="kMfBbzttatY5upOw+3FlowJQW7/Sa7i7IOlNxEbrBe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J149">
      <text>
        <t xml:space="preserve">1. forticlient에서 mdm, 엑소스피어 설치 정책을 설정한 화면
2. 방화벽에서 tag 설정한 정책
======</t>
      </text>
    </comment>
  </commentList>
</comments>
</file>

<file path=xl/sharedStrings.xml><?xml version="1.0" encoding="utf-8"?>
<sst xmlns="http://schemas.openxmlformats.org/spreadsheetml/2006/main" count="7450" uniqueCount="2825">
  <si>
    <t>전자결제 이력</t>
  </si>
  <si>
    <t>no</t>
  </si>
  <si>
    <t>개정 내용 요약</t>
  </si>
  <si>
    <t>버전</t>
  </si>
  <si>
    <t>개정일자</t>
  </si>
  <si>
    <t>담당자</t>
  </si>
  <si>
    <t>ISO27001 요구사항 분석 및 점검 결</t>
  </si>
  <si>
    <t>2025.10.20</t>
  </si>
  <si>
    <t>이윤혁</t>
  </si>
  <si>
    <t>ISO 27001:2022 요구사항</t>
  </si>
  <si>
    <t>No</t>
  </si>
  <si>
    <t>관리과정</t>
  </si>
  <si>
    <t>세부관리
과정</t>
  </si>
  <si>
    <t>관리과정 상세내용</t>
  </si>
  <si>
    <t>평가</t>
  </si>
  <si>
    <t>운영내용</t>
  </si>
  <si>
    <t>기록(증적)</t>
  </si>
  <si>
    <t>관련문서(정책/지침)</t>
  </si>
  <si>
    <t>4</t>
  </si>
  <si>
    <t>조직의 상황</t>
  </si>
  <si>
    <t>조직 및 조직의 상황 이해</t>
  </si>
  <si>
    <t xml:space="preserve">조직은 정보보호의 목표 및 의도된 결과를 달성하는 데 있어서 영향을 미치는 내 • 외부의 이슈를 결정하여야 한다. </t>
  </si>
  <si>
    <t>Y</t>
  </si>
  <si>
    <t>ㅇ 정보보호관리체계에 영향을 미치는 대내외 이슈를 식별하여 필요 시 정보보호 정책 및 지침문서 내 반영하고 있음</t>
  </si>
  <si>
    <t>- 규제기관의 공문/CPC 요청 관리</t>
  </si>
  <si>
    <t>이해관계자의 요구 및 기대사항의 이해</t>
  </si>
  <si>
    <t>조직은 다음을 결정하여야 한다.
 - 정보보호관리체계와 관련이 있는 이해관계자
 - 정보보안과 관련이 있는 이해관계자의 요구사항
 - 정보보호관리체계를 통하여 해당 요구사항을 관리</t>
  </si>
  <si>
    <t>ㅇ 정보보호조직 지침에 따라 이해 관계자 및 요구사항을 관리 하기 위한 조직을 수립하고 운영하고 있음</t>
  </si>
  <si>
    <t>- SG02_정보보안조직지침</t>
  </si>
  <si>
    <t>정보보호관리체계의
 범위설정</t>
  </si>
  <si>
    <t>조직은 정보보호관리체계의 범위를 수립하기 위하여 적용 가능성과 경계를 결정할 때 다음을 고려해야 한다.
 - 조직 및 조직의 상황에서의 내•외부 이슈
 - 이해관계자의 요구 및 기대에서의 요구사항
 - 해당 조직이 수행하는 활동과 다른 조직이 수행하는 활동간의 인터페이스와 의존도</t>
  </si>
  <si>
    <t xml:space="preserve">ㅇ 요구사항을 고려하여 정보보호 관리체계 범위를 수립하고 있음
</t>
  </si>
  <si>
    <t>- 모인_정보보호경영시스템_범위정의서</t>
  </si>
  <si>
    <t>정보보호관리체계</t>
  </si>
  <si>
    <t xml:space="preserve">조직은 정보보호관리체계를 필요한 프로세스와 상호 작용을 포함하여, 수립, 구현, 유지 및 지속적으로 개선하여야 한다. </t>
  </si>
  <si>
    <t>ㅇ 매년 정보보호 관리체계 점검 후 금감원 보고</t>
  </si>
  <si>
    <t>4.1 증적 동일</t>
  </si>
  <si>
    <t>5</t>
  </si>
  <si>
    <t>리더십</t>
  </si>
  <si>
    <t>리더십 및
의무(서약)</t>
  </si>
  <si>
    <t>최고 경영진은 정보보안 관리체계에 관하여 다음과 같이 리더십과 서약을 하여야 한다.
 - 수립된 정보보안 정책과 목적이 조직의 전략적 방향과 일치함을 보장
 - 정보보호관리체계의 요구사항이 조직의 프로세스와 통합됨을 보장
 - 정보보호관리체계를 위해 필요한 자원을 이용 할 수 있음을 보장
 - 정보보호관리체계의 요구사항을 준수하는 것과 효율적인 정보보안 관리의 중요성을 전달
 - 정보보호관리체계의 의도된 결과를 달성하는 것을 보장
 - 조직의 인원들이 정보보호관리체계의 효율성에 기여할 수 있도록 감독 및 지원
 - 지속적인 개선을 촉진
 - 책임 영역에 적용되는 리더십을 실증하기 위해 타 관련된 관리 역할의 지원</t>
  </si>
  <si>
    <t>ㅇ 요구사항을 포함하여 리더쉽과 서약을 위해 정보보안 선언문 작성함</t>
  </si>
  <si>
    <t>- 정보보안 선언문</t>
  </si>
  <si>
    <t>정책</t>
  </si>
  <si>
    <t>최고 경영진은 다음의 특성을 가진 정보보안 정책을 수립하여야 한다.
 - 조직의 목적에 적합하여야 한다.
 - 정보보안 목적을 달성하기 위한 계획 및 프레임워크를 제공하여야 한다.
 - 정보 보안 요구사항을 만족하는 서약을 포함하여야 한다.
 - 정보보호관리체계의 지속적인 개선에 대한 서약을 포함하여야 한다.
정보보안 정책은 아래를 만족하여야 한다.
 - 문서화된 정보로 이용 가능하여야 한다.
 - 조직 내에서 배포되어야 한다.
 - 이해관계자에게 적절하게 적용되어야 한다.</t>
  </si>
  <si>
    <t>ㅇ 요구사항을 포함하여 정보보호 규정 지침을 수립함</t>
  </si>
  <si>
    <t>- 정보보호 관련 규정 및 지침</t>
  </si>
  <si>
    <t>조직의 역할, 
책임 및 권한</t>
  </si>
  <si>
    <t>최고 경영진은 정보보안과 관련 있는 역할의 책임과 권한을 조직 내에서 할당하여야 한다.
 - 정보보호관리체계가 본 규격의 요구사항을 따르는 것을 보장
 - 정보보호관리체계의 성과를 최고 경영진에게 보고</t>
  </si>
  <si>
    <t>ㅇ 최고 경영진은 정보보안 관련 역할의 책임과 권한을 조직 내 할당하고 정보보화관리체계 성과를 최고 경영진에에 보고하고 있음</t>
  </si>
  <si>
    <t>4.4 증적 동일</t>
  </si>
  <si>
    <t>6</t>
  </si>
  <si>
    <t>계획</t>
  </si>
  <si>
    <t>위험 및 
기회에 
대한 
처리 
방안</t>
  </si>
  <si>
    <t>6.1.1 
일반</t>
  </si>
  <si>
    <t>정보보호관리체계를 계획할 때, 조직은 내/외부와 관련된 이슈 및 이해당사자들의 요구사항 고려하여야 하고, 위험 및 기회를 파악해야 한다. 이는 다음 사항을 달성하기 위해 필요하다.
 - 정보보호관리체계가 의도한 결과를 얻을 수 있다는 것을 보장
 - 의도하지 않은 결과의 방지 및 축소
 - 지속적인 개선을 달성
조직은 위험과 기회를 처리하기 위한 방안을  계획하여야 한다.
 1) 위 방안들을 정보보호관리체계의 프로세스 내에서 통합 및 실행 
 2) 위 방안들의 효율성을 평가</t>
  </si>
  <si>
    <t>ㅇ 위험 및 기회를 파악하여 정보보호 관리체계를 계획 수립하고 있으며 위험평가를 위한 규정 지침 및 프로세스를 수립하고 있음</t>
  </si>
  <si>
    <t>- 위험관리 결과서
- 위험관리 계획서</t>
  </si>
  <si>
    <t>- SG12_자산분석 및 위험관리 지침</t>
  </si>
  <si>
    <t>6.1.2 
정보보안 
위험평가</t>
  </si>
  <si>
    <t>정보보안 위험평가 프로세스를 정의하고 적용하여야 한다.
 - 다음을 포함한 정보보안 위험기준을 수립 및 유지
   1) 위험 수용 기준
   2) 정보보안 위험평가를 수행하는 기준 
 - 반복된 정보보안 위험평가가 지속적이고 유효하며 비교할만한 결과를 보장
 - 정보보안 위험을 식별
   1) 정보보호관리체계의 범위에서 정보의 기밀성, 무결성, 가용성의 손실과 관련된 위험을 식별하기 위하여 정보보안 위험평가 프로세스를 적용
   2) 위험의 책임자를 식별
 - 정보보안 위험을 분석
   1) 식별된 위험이 구체화되면 발생할 수 있는 잠재적인 결과를 평가 
   2) 식별된 위험의 발생 가능성을 평가
   3) 위험의 정도를 결정
 - 정보보안 위험을 평가
   1) 위험 분석의 결과를 수립된 위험 기준과 비교
   2) 위험의 조치를 위하여, 분석된 위험의 우선순위를 산정
정보보안 위험평가 프로세스에 관한 문서화된 정보를 유지해야 한다.</t>
  </si>
  <si>
    <t>ㅇ 요구사항을 포함하여 위험 평가 프로세스를 정의하고 적용하고 있음</t>
  </si>
  <si>
    <t>6.1.3 
정보보안 
위험조치</t>
  </si>
  <si>
    <t>정보보안 위험조치 프로세스를 규정 및 적용하고 문서화된 정보를 유지해야 한다.
 - 위험평가 결과를 고려하여 적절한 정보보안 위험조치를 선택
 - 선택된 위험조치 위하여 필요한 모든 통제 방안을 결정
 - 결정된 통제 방안이, 필수 통제 방안이 빠지지 않았다는 것을 확인
 - 통제 방안의 구현 현황, 제외 명분을 포함한 적용 보고서를 작성
 - 정보보안 위험조치 계획을 작성
 - 정보보안 위험조치 계획과 잔존하는 정보보안 위험에 대한 수용을 위험 책임자가 승인</t>
  </si>
  <si>
    <t>ㅇ 위험평가 수행 수 위험 조치를 위한 계획을 수립함</t>
  </si>
  <si>
    <t>정보보안 목적 및 
그 달성을 위한 계획</t>
  </si>
  <si>
    <t>정보보안 목표를 적절한 기능 및 수준으로 수립하여야 하고 다음의 요건을 가져야 한다.
 - 정보보안 정책과 일치하여야 한다.
 - 측정가능 하여야 한다.
 - 정보보안 요구사항과 위험 평가 및 위험 조치 결과를 고려하여야 한다.
 - 모니터링 되어야 한다.
 - 적절히 갱신되어야 한다.
 - 문서화된 정보로 제공되어야 한다.
조직은 정보보안 목표를 문서화된 정보로 유지하여야 한다.
정보보안 목표 달성을 위한 계획을 수립할 때, 다음을 결정하여야 한다.
 - 무엇을 해야 할 것인지
 - 어떠한 자원이 필요한지
 - 누구에게 책임이 있는지
 - 언제 완료될 지
 - 결과가 어떻게 평가될 것인지</t>
  </si>
  <si>
    <t>ㅇ 매년 정보기술 부분 계획을 수립하여 금감원 보고를 수행하고 있음</t>
  </si>
  <si>
    <t>- 2025년 정보보호 기술 부분 계회 수립 관련 정보보호 위원회 회의록</t>
  </si>
  <si>
    <t>변경 계획</t>
  </si>
  <si>
    <t>조직은 정보보호관리체계의 변경 필요성을 판단한 경우 계획적으로 변경을 수행하여야 한다.</t>
  </si>
  <si>
    <t>ㅇ 정보보호 관리체계 변경 필요 시 계획을 변경을 수행 함</t>
  </si>
  <si>
    <t>6.1 증적 동일</t>
  </si>
  <si>
    <t>7</t>
  </si>
  <si>
    <t>지원</t>
  </si>
  <si>
    <t>자원</t>
  </si>
  <si>
    <t>조직은 정보보호관리체계의 수립, 이행, 유지 및 지속적인 개선을 위하여 필요한 자원을 결정하고 제공하여야 한다.</t>
  </si>
  <si>
    <t>ㅇ 정보보호 관리체계 수립, 이행,유지 및 지속적인 개선을 위한 예산 및 인력을 지원하고 있음</t>
  </si>
  <si>
    <t>- 2025년 정보보호 조직구성 및 인력현황
- 2025년 예산</t>
  </si>
  <si>
    <t>적격성</t>
  </si>
  <si>
    <t>조직은 다음을 실행하여야 한다.
 - 조직의 정보보호 성과에 영향을 미치는 인원의 적격성을 결정
 - 본 인원들이 적절한 교육, 훈련 및 경험 측면에서 적격함을 보장
 - 필요한 경우, 필수적인 적격성을 획득하고 그 효과를 평가하는 조치를 취함
 - 적절한 문서화된 정보를 적격성의 증거로서 유지</t>
  </si>
  <si>
    <t>ㅇ 정보보호 인력에 대해 경력 검증 및 업무 수행에 필요한 자격 조건등 마련하여 채용 시 적합성을 확인하고 있음</t>
  </si>
  <si>
    <t>- SG02_인적보안 지침</t>
  </si>
  <si>
    <t>인식</t>
  </si>
  <si>
    <t xml:space="preserve">근무하는 인원들은 다음을 인지하여야 한다.
 - 정보보안 정책
 - 정보보안 성과의 개선으로부터의 이점과 정보보호관리체계의 효율성에 대한 인원들의 기여
 - 정보보호관리체계의 요구사항을 따르지 않았을 때의 결과 </t>
  </si>
  <si>
    <t>ㅇ 근무하는 인원들은 관련 법령에 따라 명확히 인식하고 준비하고 있음</t>
  </si>
  <si>
    <t>- 정보보호 규정 지침 공지 내역</t>
  </si>
  <si>
    <t>의사소통</t>
  </si>
  <si>
    <t>조직은 정보보호관리체계와 관련하여 내•외부의 배포 필요성을 다음을 포함하여 결정하여야 한다.
 - 무엇을 배포할 것인지
 - 언제 배포할 것인지
 - 누구에게 배포할 것인지
 - 어떻게 배포할 것인가</t>
  </si>
  <si>
    <t>ㅇ 정보보호 관리체계 관련하여 배포 필요성을 검토하고 배포하고 있음</t>
  </si>
  <si>
    <t>7.3 증적 동일</t>
  </si>
  <si>
    <t>문서화된 
정보</t>
  </si>
  <si>
    <t>7.5.1 
일반사항</t>
  </si>
  <si>
    <t>조직의 정보보호관리체계는 다음을 포함하여야 한다.
 - 요구되는 문서화 정보
 - 정보보호관리체계의 효율성을 위해 필요하다고 판단되는 문서화 정보</t>
  </si>
  <si>
    <t>ㅇ (개인)정보보호 및 정보보호 관리체계를 위한 규정 지침을 수립함</t>
  </si>
  <si>
    <t>- 정보보호 관련 규정 지침</t>
  </si>
  <si>
    <t>7.5.2 
생성 및 
업데이트</t>
  </si>
  <si>
    <t>문서화 정보를 작성 및 갱신할 때 조직은 다음을 적절히 보장하여야 한다.
 - 식별 및 설명(제목, 날짜, 작성자, 참고번호 등)
 - 형식(언어, 소프트웨어 버전 등)과 매체(종이, 전자 등)
 - 적합성 및 타당성의 검토와 승인</t>
  </si>
  <si>
    <t>ㅇ 내부 승인 절차를 통해 경영진 승인 후 게시하고 있음</t>
  </si>
  <si>
    <t>7.5.3 
문서화된 
정보의 통제</t>
  </si>
  <si>
    <t>정보보호관리체계에서 요구되는 문서화 정보는 다음을 보장하기 위해 통제되어야 한다.
 - 필요한 장소와 시점에서 이용가능하고 적합하여야 한다.
 - 기밀성의 상실, 부적절한 사용, 무결성의 상실 등으로부터 적절하게 보호되어야 한다
문서화 정보의 통제를 위하여, 다음을 이행하여야 한다.
 - 분배, 접근, 검색 및 사용
 - 저장, 보존
 - 변경의 통제(버전 관리 등)
 - 보유 및 파기</t>
  </si>
  <si>
    <t>ㅇ 문서화 정보는 이용 가능하도록 게시되어 있으며 정보 통제를 하고 있음</t>
  </si>
  <si>
    <t>8</t>
  </si>
  <si>
    <t>운영</t>
  </si>
  <si>
    <t>운영 계획 및 통제</t>
  </si>
  <si>
    <t>정보보안 요구사항을 충족시키기 위한 '제6항 계획'에서 결정된 방안을 다음에 대하여 이행한다. 
 - 프로세스에 대한 기준 설정
 - 기준에 따른 프로세스 통제 및 구현
문서화된 정보는 프로세스가 계획에 의해 운영되고 있다는 신뢰성을 위하여 필요한 범위 내에서 이용할 수 있어야 한다.
조직은 계획에 대한 변경과 의도치 않은 변경에 대해 통제 및 검토해야 하며, 필요에 따라 부작용에 대해 완화 조치 하여야 한다.
조직은 정보보안관리체계와 관련된 외부 제공 프로세스, 제품, 서비스 등에 대해 통제되고 있음을 보장하여야 한다.</t>
  </si>
  <si>
    <t>ㅇ 정보보안 요구사항을 충족 시키기 위해 계획을 수립하여 이행하고 있음</t>
  </si>
  <si>
    <t>- 2025년 운영 계획 상세
- 6.1 증적 동일(위험관리 결과서, 위험관리 계획서)</t>
  </si>
  <si>
    <t>정보보안 위험 평가</t>
  </si>
  <si>
    <t>주기적으로 혹은 중대한 변경이 발생하였을 때,  정보보안 위험평가를 수행하고 그 결과를 문서화된 정보로 유지하여야 한다.</t>
  </si>
  <si>
    <t>ㅇ 정보보안 관련 변경 발생 시 보안성 검토를 수행하고 있음</t>
  </si>
  <si>
    <t>- 정보보호 신규 장비 보안성 검토</t>
  </si>
  <si>
    <t>정보보안 위험 조치</t>
  </si>
  <si>
    <t>위험조치 계획을 이행하고 결과를 문서화된 정보로 유지하여야 한다.</t>
  </si>
  <si>
    <t>ㅇ 보안성 검토 결과에 따른 조치 계획 수립</t>
  </si>
  <si>
    <t>- 6.1 증적 동일(위험관리 결과서)</t>
  </si>
  <si>
    <t>9</t>
  </si>
  <si>
    <t>성과평가</t>
  </si>
  <si>
    <t>모니터링, 측정, 
분석 및 평가</t>
  </si>
  <si>
    <t>조직은 다음 사항을 결정하여야 한다.
 - 정보보안 프로세스와 통제를 포함하여, 모니터링되고 측정되어야 하는 대상
 - 유효한 결과를 보장하기 위해 재현 가능한 모니터링, 측정, 분석 및 평가 방법. 
 - 모니터링 및 측정이 필요한 경우
 - 모니터링 및 측정할 인원
 - 모니터링 및 측정 결과에 대한 분석 및 평가를 해야 하는 경우
 - 분석 및 평가를 수행할 인원
위 내용들은 증적자료로 문서화된 정보로 보관해야 하며, 정보보안관리체계의 유효성과 성과가 평가되어야 한다.</t>
  </si>
  <si>
    <t>ㅇ 정보보안 프로세스와 토제를 포함하여 점검 대상을 포함하여 매월 점검 후 보고 절차를 수립하고 있음</t>
  </si>
  <si>
    <t>- 6.1 증적 동일(위험관리 결과서, 위험관리 계획서)
- 6.2 증적 동일(2025년 정보보호 기술 부분 계회 수립 관련 정보보호 위원회 회의록)
- 정보보호의 날 계획(매월 두번째 주)</t>
  </si>
  <si>
    <t>내부감사</t>
  </si>
  <si>
    <t>9.2.1
내부감사
일반</t>
  </si>
  <si>
    <t>주기적으로 내부 감사를 수행하여 다음에 관한 정보를 제공하여야 한다.
 - 정보보호관리체계에 대한 조직 자체의 요구사항
 - 본 규격의 요구사항
 - 효과적으로 실행되고 및 유지되는지의 여부</t>
  </si>
  <si>
    <t>ㅇ주기적 내부 감사를 수행 하기 위한 정보를 제공하고있음</t>
  </si>
  <si>
    <t>9.2.2
내부감사
프로그램</t>
  </si>
  <si>
    <t>조직은 주기, 책임, 방법, 계획 요구사항과 보고를 포함하여 감사 계획, 수립, 구현 및 유지하여야 하고, 이전 감사의 결과를 고려하여야 한다.
 - 각 감사마다 감사 기준과 범위를 결정하여야 한다.
 - 감사자를 선발하고, 감사의 객관성과 공정성을 보장 하여야 한다.
 - 감사의 결과는 관련 경영진에게 보고되여야 한다.
감사 결과는 문서화하여 보관하여야 하며, 증거로 활용될 수 있어야 한다.</t>
  </si>
  <si>
    <t>ㅇ IT감사 가이드 라인에 따른 감사 계획 및 결과 수행하고 있으며 개선 계획 수립이 필요</t>
  </si>
  <si>
    <t>경영검토</t>
  </si>
  <si>
    <t>9.3.1
경영검토 
일반</t>
  </si>
  <si>
    <t xml:space="preserve">최고 경영진은 정보보호관리체계의 지속적 적합성과 적절성, 유효성을 보장하기 위하여 이를 주기적으로 검토하여야 한다. </t>
  </si>
  <si>
    <t>ㅇ 정보보호 관리체계 지속적 관리를 위해 매년 1회 점검 후 결과를 보고함</t>
  </si>
  <si>
    <t>- 6.1 증적 동일(위험관리 계획서/결과서)</t>
  </si>
  <si>
    <t>9.3.2
경영검토
내용</t>
  </si>
  <si>
    <t>경영검토는 다음 사항을 고려하여야 한다.
 - 이전 경영검토에 따른 조치의 상황
 - 정보보호관리체계와 관련된 내•외부의 변화
 - 다음과 같은 정보보안 성능에 대한 피드백
   1) 부적합 및 시정 조치
   2) 모니터링 및 측정 결과
   3) 감사 결과
   4) 정보 보안 목표의 달성
 - 이해관계자들의 피드백
 - 위험평가 결과 및 위험 처리 계획 현황
 - 지속적 개선 기회</t>
  </si>
  <si>
    <t>ㅇ 점검 결과는 정보보호 위원회 절차를 통해 이해 관계자들의 피드백을 반영하고 있음</t>
  </si>
  <si>
    <t>9.3.3
경영검토
결과</t>
  </si>
  <si>
    <t>경영검토 결과는 지속적인 개선 기회와 정보보호관리체계의 변경에 대한 필요성과 관련된 결정 사항을 포함해야 한다.
경영검토 결과는 문서화하여 보관하여야 하며, 증거로 활용될 수 있어야 한다.</t>
  </si>
  <si>
    <t>ㅇ 위험관리 계획서에 포함하여 보고 함</t>
  </si>
  <si>
    <t>10</t>
  </si>
  <si>
    <t>개선</t>
  </si>
  <si>
    <t>지속적 개선</t>
  </si>
  <si>
    <t>조직은 정보보호관리체계의 적합성, 타당성, 유효성을 지속적으로 개선하여야 한다</t>
  </si>
  <si>
    <t>ㅇ 정보보호 관리체계 년 1회 점검 후 개선 계획 수립</t>
  </si>
  <si>
    <t>- SG12_자산분석 및 위험관리지침</t>
  </si>
  <si>
    <t>부적합 및 시정조치</t>
  </si>
  <si>
    <t>부적합이 발생하면 조직은 다음을 수행하여야 한다.
 - 부적합에 대응하고, 해당된다면 이를 통제하고 조치를 취한다.
 - 부적합이 재발하지 않음을 보장하기 위하여, 부적합의 원인을 제거할 조치의 필요성에 대해 다음을 통해 평가한다.
   1) 부적합을 검토
   2) 부적합의 원인을 판단
   3) 유사한 부적합이 존재하거나 발생한 가능성이 있는지 판단
 - 필요한 조치를 시행한다.
 - 시행된 조치의 유효성을 검토한다.
 - 필요하다면 정보보호관리체계를 변경한다.
시정 조치는 발생한 부적합의 결과에 적합하여야 한다.
조직은 다음의 증거로서 문서화된 정보를 유지하여야 한다.
 - 부적합의 내용과 차후에 취해진 조치
 - 시정 조치의 결과</t>
  </si>
  <si>
    <t>ㅇ 부적합 발생 시 통제하고 조치 수행 예정</t>
  </si>
  <si>
    <t>1</t>
  </si>
  <si>
    <t>ISO 27001:2022 부속서 A(통제항목)</t>
  </si>
  <si>
    <t>1111111111</t>
  </si>
  <si>
    <t>항목</t>
  </si>
  <si>
    <t>통제항목</t>
  </si>
  <si>
    <t>통제 내용</t>
  </si>
  <si>
    <t>세부번호</t>
  </si>
  <si>
    <t>세부 통제 내용</t>
  </si>
  <si>
    <t>운영현황</t>
  </si>
  <si>
    <t xml:space="preserve">5. 조직 통제
</t>
  </si>
  <si>
    <t>5.1</t>
  </si>
  <si>
    <t>정보보호를 위한 정책</t>
  </si>
  <si>
    <t>정보보호 정책 및 주제별 정책은 경영진에 의해 정의 및 승인되고, 관련 직원 및 관련 이해 관계자에게 게시, 전달 및 승인되어야 하며, 계획된 간격으로 그리고 중대한 변경이 발생하는 경우 검토되어야 한다.</t>
  </si>
  <si>
    <t>5.1.1</t>
  </si>
  <si>
    <t>정보보호정책의 구체적 시행을 위하여 세부적인 지침,절차가 수립되어 있습니까? 또한, 상하위 문서간의 상호관계 및 적용범위가 적정합니까?</t>
  </si>
  <si>
    <t>ㅇ 당사는 정보보호 규정 및 세부 지침, 절차를 제정하여 운영하고 있으며, 최고 경영자의 승인을 받아 제정하고 있음
ㅇ 정보보호 규정 및 지침은 문서화되어 임직원에 공유하고 있음(Flex)
ㅇ 연 1회 이상 정기적으로 검토하여 적합성, 적절성, 유효성을 확인하고 있음</t>
  </si>
  <si>
    <t>- 정보보호 규정 및 지침 결재 내역
- 정보보호 규정 지침 공지 내역</t>
  </si>
  <si>
    <t>- 정보보호 규정 및 지침</t>
  </si>
  <si>
    <t>5.1.2</t>
  </si>
  <si>
    <t xml:space="preserve">정보보호 정책/지침/절차가 최고경영자에 의해 승인되었습니까? </t>
  </si>
  <si>
    <t>ㅇ 정책 지침 절차는 최고 경영자에 승인하고 있음</t>
  </si>
  <si>
    <t>- 규정 지침 경영진 승인</t>
  </si>
  <si>
    <t>5.1.3</t>
  </si>
  <si>
    <t>모든 정보보호 정책은 문서화 되어 있어야 하며 모든 임직원과 관련자들에게 이해하기 쉬운 형태로 배포하였습니까?</t>
  </si>
  <si>
    <t>ㅇ  모든 임직원에게 메일 공유 및 인사 관리 시스템 문서에등록 되어  있음</t>
  </si>
  <si>
    <t>5.1.4</t>
  </si>
  <si>
    <t>정기적으로 정보보호정책 및 관련문서의 적합성, 적절성, 유효성을 검토하고 있습니까?</t>
  </si>
  <si>
    <t>ㅇ 정기 비정기 법 개정에 따른 정책 검토 수행</t>
  </si>
  <si>
    <r>
      <rPr>
        <rFont val="Malgun Gothic"/>
        <color theme="1"/>
        <sz val="10.0"/>
      </rPr>
      <t>5.1.5</t>
    </r>
  </si>
  <si>
    <t xml:space="preserve">중대한 변화가 발생할 경우 정보보호정책의 적합성, 적절성, 유효성을 추가로 검토하고 있습니까?
- 중대한 보안사고 발생
- 새로운 위협 또는 취약성의 발생
- 정보보호환경에 대한 중대한 변화 등 </t>
  </si>
  <si>
    <t>ㅇ 규정 지침에 따라 추가 검토 수행</t>
  </si>
  <si>
    <t>5.2</t>
  </si>
  <si>
    <t>정보보호 역할 및 책임</t>
  </si>
  <si>
    <t>정보보호 역할과 책임은 조직의 필요에 따라 정의 및 할당 되어야 한다.</t>
  </si>
  <si>
    <t>5.2.1</t>
  </si>
  <si>
    <t>정보보호최고책임자(CISO)는 최고경영자의 지정을 받았습니까?</t>
  </si>
  <si>
    <t xml:space="preserve">ㅇ 당사는 정보보호최고책임자(CISO)를 지정하고, 정보보호위원회 및 정보보안팀을 운영하고 있음
ㅇ 정보보호규정을 통해 정보보호 직무와 관련된 역할과 책임을 수립 및 운영하고 있음 </t>
  </si>
  <si>
    <t>- CISO 인사발령 내역
- CISO 신고서</t>
  </si>
  <si>
    <t>-SP01_정보보호규정</t>
  </si>
  <si>
    <t>5.2.2</t>
  </si>
  <si>
    <t>정보보호관리자는 정보보호에 관한 업무를 총괄관리하고 있습니까?
-정보보호정책 수립
-정보보호 위원회의 구성 및 운영
-위험분석 및 관리
-보안사고 대응 및 복구 등</t>
  </si>
  <si>
    <t>ㅇ 정보보호 팀 관리자는 정보보호에 관한 업무를 총괄 관리하고 있음</t>
  </si>
  <si>
    <t>5.3</t>
  </si>
  <si>
    <t>직무 분리</t>
  </si>
  <si>
    <t>상충되는 업무와 상충되는 책임 영역은 분리되어야 한다.</t>
  </si>
  <si>
    <t>5.3.1</t>
  </si>
  <si>
    <t>정보보호 조직의 구성 및 각 조직과 구성원에 대한 업무분장 및 역할을 정의한 규정이 있습니까?</t>
  </si>
  <si>
    <t>ㅇ 개발, 운영, 보안, 감사 직무를 분리 운영하고 있으며, 인적보안 지침 내 역할과 책임을 명시하고 있음</t>
  </si>
  <si>
    <t>- 정보보호 서약서</t>
  </si>
  <si>
    <t>- SG03_인적보안지침</t>
  </si>
  <si>
    <t>5.3.2</t>
  </si>
  <si>
    <t>규정에 따라 정보보호 관리 활동을 계획, 관리하는 정보보호 조직 체계가 있으며, 관련있는 조직의 부서들의 대표자들에 의해 조정되고 있습니까?</t>
  </si>
  <si>
    <t>ㅇ 모인 회사 규모에 맞는 정보보호조직 체계가 구성되어 있음</t>
  </si>
  <si>
    <t>5.4</t>
  </si>
  <si>
    <t>경영진 책임</t>
  </si>
  <si>
    <t>경영진은 모든 직원과 계약자가 조직의 확립된 정보보호 정책, 주제별 정책 및 절차에 따라 정보보호를 적용하도록 요구해야 한다</t>
  </si>
  <si>
    <t>5.4.1</t>
  </si>
  <si>
    <t>경영진은 모든 직원 및 계약직이 조직이 수립한 정책과 절차에 따라 정보보안을 수행하도록 요구하였습니까?</t>
  </si>
  <si>
    <t>ㅇ 당사는 전사 임직원에 정보보호 규정 및 지침은 문서화하여 공유하고 있음(Flex)</t>
  </si>
  <si>
    <t>- 정보보호 규정 지침 공지 내역
- 정보보호서약서</t>
  </si>
  <si>
    <t xml:space="preserve"> </t>
  </si>
  <si>
    <t>5.5</t>
  </si>
  <si>
    <t>관계 당국과의 연락</t>
  </si>
  <si>
    <t>조직은 관련 당국과의 연락을 수립하고 유지해야 한다.</t>
  </si>
  <si>
    <t>5.5.1</t>
  </si>
  <si>
    <t>중요 정보보호관리활동을 위하여 기관과의 유기적인 관계를 맺고 있습니까?</t>
  </si>
  <si>
    <t>ㅇ 한국 핀테크 산업협회 및 금융보안원 등 외부 보안 관련 단체와 정기적인 보고 및 교류를 진행하고 있음</t>
  </si>
  <si>
    <t>- 금융보안원 레그테크 가입 내역
- 핀테크 산업 협회 가입 내역</t>
  </si>
  <si>
    <t>5.6</t>
  </si>
  <si>
    <t>전문가 그룹과의 연락</t>
  </si>
  <si>
    <t>조직은 특수 이익 그룹 또는 기타 전문 보호 포럼 및 전문 협회와 연락을 수립하고 유지해야 한다.</t>
  </si>
  <si>
    <t>5.6.1</t>
  </si>
  <si>
    <t>중요 정보보호관리활동에 도움을 받기 위하여 외부 전문가의 도움을 받고 있습니까?
- 정보보호정책 수립
- 보안관제
- 보안사고 대응 등</t>
  </si>
  <si>
    <t>5.7</t>
  </si>
  <si>
    <t>위협 인텔리전스</t>
  </si>
  <si>
    <t>정보보호 위협과 관련된 정보는 위협 인텔리전스를 생성하기 위해 수집 및 분석되어야 한다.</t>
  </si>
  <si>
    <t>5.7.1</t>
  </si>
  <si>
    <t>정보보호 위협 공격 정보에 대한 증거 기반 분석 절차가 존재하고, 분석 정보를 활용한 방어 전략을 문서화 및 명세화하고 있습니까?
- 조직에 특화된 위협 인텔리전스
- 계획 수립, 위협데이터 수집, 처리, 분석, 배포, 피드백과 같은 라이프사이클 관리</t>
  </si>
  <si>
    <t>ㅇ 당사는 금융보안원, KISA 등에서 제공하는 보안 위협 정보를 수집하고 있으며, 보안관제 및 취약점 점검에 반영하고 있음</t>
  </si>
  <si>
    <t>- 보안 관제 보고서(싸이버원)
- 요구사항 6.1 증적 동일(위험관리 계획서/결과서)</t>
  </si>
  <si>
    <t>5.8.2</t>
  </si>
  <si>
    <t>신규시스템 도입 및 응용시스템 개발, 기존시스템의 개선시 업무요구사항에 보안통제요구사항을 포함하고 분석 및 명세화 하고 있습니까?</t>
  </si>
  <si>
    <t>ㅇ신규 시스템 보안성 검토 명세화 되어 있으며 보안성 검토 수행 함</t>
  </si>
  <si>
    <t>- SG08_정보시스템보안지침</t>
  </si>
  <si>
    <t>5.8</t>
  </si>
  <si>
    <t>프로젝트 관리에서의 정보보호</t>
  </si>
  <si>
    <t>프로젝트의 유형에 상관 없이 프로젝트 관리 내에서 정보보호를 다루어야 한다.</t>
  </si>
  <si>
    <t>5.8.1</t>
  </si>
  <si>
    <t>프로젝트 시 중요 정보보호를 위하여 외부자에게 동일한 보안대책을 적용하고 있습니까?</t>
  </si>
  <si>
    <t>ㅇ 모든 프로젝트에 대한 보안 검토 수행에 대한 규정을 수립 및 운영하고 있음
ㅇ 현재 외부자를 포함한 프로젝트 없음</t>
  </si>
  <si>
    <t>- 요구사항 6.1 동일 증적(자산 분석 및 위험관리 방법)</t>
  </si>
  <si>
    <t>- SG04_외부주문보안지침</t>
  </si>
  <si>
    <t>5.9</t>
  </si>
  <si>
    <t>정보 및 기타 관련 자산 목록</t>
  </si>
  <si>
    <t>소유자를 포함한 정보 및 기타 관련자산 목록을 개발하고 유지 관리해야 한다.</t>
  </si>
  <si>
    <t>5.9.1</t>
  </si>
  <si>
    <t>정보자산에 대한 정기적인 조사활동을 통하여 모든 주요 정보자산의 사용 목적과 현황을 유지관리하고 있습니까?</t>
  </si>
  <si>
    <t>ㅇ 정보자산 관리대장을 통해 정보자산을 업데이트 하고 있음</t>
  </si>
  <si>
    <t>- 정보자산 관리대장</t>
  </si>
  <si>
    <t>5.9.2</t>
  </si>
  <si>
    <t>정보자산에 대한 정기적인 조사활동과 중요도평가를 수행하고 있습니까?</t>
  </si>
  <si>
    <t>ㅇ 매년 1회 이상 정기적인 정보자산 조사 및 중요도 평가 수행함</t>
  </si>
  <si>
    <t>5.9.3</t>
  </si>
  <si>
    <t>정보자산에 대한 소유자, 관리자,사용자 등에 대해 그 책임소재를 명시하고 라벨링되어 있습니까? 
 - 정보자산에 대한 소유자, 관리자, 책임자 표시</t>
  </si>
  <si>
    <t>ㅇ 정보자산 소유자 및 라베링 수행함</t>
  </si>
  <si>
    <t>5.10</t>
  </si>
  <si>
    <t>정보 및 기타의 허용 가능한 사용</t>
  </si>
  <si>
    <t>정보 및 기타 관련 자산을 처리하기 위한 허용 가능한 사용 및 절차에 대한 규칙을 식별, 문서화 및 구현해야 한다.</t>
  </si>
  <si>
    <t>5.10.1</t>
  </si>
  <si>
    <t>정보자산 별로 평가기준, 사용 목적을 규정하고 있으며 규정에 의거하여 관리번호를 부여하여 관리하고 있습니까?
 - 정보자산 분류체계
 - 자산 사용 범위</t>
  </si>
  <si>
    <t>ㅇ 정보자산 관리대장을 통해 자산별 분류, 사용 목적 등을 관리 및 운영하고 있음</t>
  </si>
  <si>
    <t>5.10.2</t>
  </si>
  <si>
    <t>정보자산의 보안등급별 취급절차를 등급 및 표시기준에 따라 규정하고 있습니까?</t>
  </si>
  <si>
    <t>ㅇ 정보자산의 보안등급별 취급절차를 등급 및 표시기준에 따라 규정 있음</t>
  </si>
  <si>
    <t>5.11</t>
  </si>
  <si>
    <t>자산 반환</t>
  </si>
  <si>
    <t>직원 및 기타 이해 당사자는 고용, 계약 또는 계약의 변경 또는 종료 시 소유하고 있는 조직의 모든 자산을 반환해야 한다.</t>
  </si>
  <si>
    <t>5.11.1</t>
  </si>
  <si>
    <t>직원, 외부자의 고용, 계약, 협약의 종료와 함께 조직의 모든 자산을 반환하고 확인하고 있습니까?</t>
  </si>
  <si>
    <t>ㅇ 퇴사 시 비밀유지서약서 및 퇴직자 체크리스트를 통해 회사에 대한 자산 반납을 확인하고 있음</t>
  </si>
  <si>
    <t>- 정보자산 관리대장
- 퇴직자 체크리스트 및 비밀유지서약서</t>
  </si>
  <si>
    <t>5.12</t>
  </si>
  <si>
    <t>정보 등급 분류</t>
  </si>
  <si>
    <t>정보는 기밀성, 무결성, 가용성 및 관련 이해 당사자 요구 사항을 기반으로 조직의 정보보호 요구 사항에 따라 분류되어야 한다.</t>
  </si>
  <si>
    <t>5.12.1</t>
  </si>
  <si>
    <t>정보자산의 가치, 법적 요구사항, 조직에 대한 민감도와 위험도 등에 관하여 분류기준이 마련되어 있습니까?</t>
  </si>
  <si>
    <t>ㅇ 관련 지침을 통해 정보자산의 중요도를 평가하는 기준을 수립 및 운영하고 있음
ㅇ 정보자산의 기밀성, 무결성, 가용성을 고려하여 중요도를 결정하고 보안등급을 부여하고 있음</t>
  </si>
  <si>
    <t>- 요구사항 6.1 증적 동일(위험관리 계획서)</t>
  </si>
  <si>
    <t>5.13</t>
  </si>
  <si>
    <t>정보 표식</t>
  </si>
  <si>
    <t>조직에서 채택한 정보 분류 체계에 따라 정보 라밸링에 대한 적절한 절차를 개발하고 구현해야 한다.</t>
  </si>
  <si>
    <t>5.13.1</t>
  </si>
  <si>
    <t xml:space="preserve">정보자산의 보안등급 부여, 표식 절차는 규정을 준수하고 있습니까? </t>
  </si>
  <si>
    <t>ㅇ 관련 지침을 통해 정보자산의 각 중요도에 따른 취급절차를 수립하고 있으며, 이행하고 있음</t>
  </si>
  <si>
    <t>- 정보자산 관리대장
- 요구사항 6.1 증적 동일(위험관리 계획서)</t>
  </si>
  <si>
    <t>5.14</t>
  </si>
  <si>
    <t>정보 전송</t>
  </si>
  <si>
    <t>정보 이전 규칙, 절차 또는 계약은 조직 내 및 조직과 다른 당사자 간의 모든 유형의 이전 시설에 대해 마련되어야 한다.</t>
  </si>
  <si>
    <t>5.14.1</t>
  </si>
  <si>
    <t>정보의 교환시 공식적인 교환 정책, 절차, 통제 등의 규정이 수립되어 있습니까?</t>
  </si>
  <si>
    <t>ㅇ 관련 지침 등으로 외부자와 정보 교환 시 절차 및 보호대책 등을 수립하고 있음</t>
  </si>
  <si>
    <t>- SG10_암호화지침</t>
  </si>
  <si>
    <t>5.14.2</t>
  </si>
  <si>
    <t>정보 및 소프트웨어에 대한 교환시 합의서 작성 규정이 존재하고 있습니까?
- 관리적 책임
- 교환 및 합의절차
- 전송의 기술적 기준
- 인증기준
- 데이터의 책임성</t>
  </si>
  <si>
    <t>5.14.3</t>
  </si>
  <si>
    <t>전자우편 서비스에 대해 다음의 책임과 위험을 고려한 보안지침 및 대책을 수립하여 운영하고 있습니까?
- 전자우편 서비스의 가용성
- 전자우편 내용의 무결성 및 기밀성</t>
  </si>
  <si>
    <t>5.15</t>
  </si>
  <si>
    <t>접근 통제</t>
  </si>
  <si>
    <t>정보 및 기타 관련 자산에 대한 물리적 및 논리적 엑세스를 제어하는 규칙은 비즈니스 및 정보보호 요구 사항에 따라 설정 및 구현되어야 한다.</t>
  </si>
  <si>
    <t>5.15.1</t>
  </si>
  <si>
    <t>정보시스템 및 네트워크의 접근통제 정책을 규정하여 문서화 하였습니까? (보안 관리 등급에 따른 통제방법 및 범위 등의 정의 여부 확인)</t>
  </si>
  <si>
    <t>ㅇ 관련 지침을 통해 접근통제에 대한 정책을 수립 및 운영하고 있음
ㅇ 정보시스템별 접근 통제에 대한 정책을 수립 및 운영하고 있음
  - 서버, DBMS, 쿠버네티스: QueryPie
  - 그 외 SaaS 등 서비스: Okta 인증
  - 네트워크 및 단말기: Okta, NAC, MDM</t>
  </si>
  <si>
    <t>5.15.2</t>
  </si>
  <si>
    <t>정보시스템에 대한 접근통제가 정의되어 있으며 그 접근통제 정책에 데이터, 응용프로그램, 주요 시스템, 네트워크에 대한 접근 통제가 포함되어 있습니까?</t>
  </si>
  <si>
    <t>5.15.3</t>
  </si>
  <si>
    <t>접근통제 정책에 대한 주기적 검토에 대한 규정이 있습니까?
 -접근 모니터링 실시 및 정책 일치성 점검 규정
 -접근통제 정책의 적정성 검토 규정</t>
  </si>
  <si>
    <t>5.15.4</t>
  </si>
  <si>
    <t>접근통제 정책에 접근통제 관련 모니터링을 실시하고 이를 분석하며 접근통제 정책과 모니터링의 일치성을 주기적으로 점검하도록 규정하고 있습니까?
 -접근 모니터링 실시 여부
 -접근통제 정책과 접근통제 모니터링의 일치성 검토 여부
 -접근통제 정책의 적정성 주기적 점검 여부</t>
  </si>
  <si>
    <t>P</t>
  </si>
  <si>
    <t>5.15.5</t>
  </si>
  <si>
    <t xml:space="preserve">IP Address 체계적인 관리를 위한 규정이 정의되어 있으며 주기적으로 점검 하고 있습니까? </t>
  </si>
  <si>
    <t>5.15.6</t>
  </si>
  <si>
    <t>보안유지를 위한 네트워크 보안정책 및 운영지침이 마련되어 있습니까?
- Network Resource 접근권한 통제
- 원격 접속 설비 관리/ 원격 접속 인증
- 네트워크 분리 (IP주소 할당)
- 네트워크 모니터링 수행
- 네트워크 변경관리 절차</t>
  </si>
  <si>
    <t>5.16</t>
  </si>
  <si>
    <t>계정 관리</t>
  </si>
  <si>
    <t>계정의 전체 수명 주기를 관리해야 한다.</t>
  </si>
  <si>
    <t>5.16.1</t>
  </si>
  <si>
    <t>사용자 등록 및 해지 절차 (사용자 변경절차)가 있습니까?
 -사용자 접근 등급체계
 -직급 또는 직무별 사용자 계정 생성 및 권한부여</t>
  </si>
  <si>
    <t>ㅇ OKTA를 통해 연동된 시스템의 경우 사용자가 포함된 그룹별로 권한이 정의 및 부여되고 있음(소속팀 + 직무별로 구분)
ㅇ 특수 계정의 경우 Slack을 통해 사용자 계정 신청을 받고 있음</t>
  </si>
  <si>
    <t>- 사용자 계정 생성 및 권한 부여 신청서(Slack)
- 서버 접근통제 구현 화면(쿼리파이)
- Okta 계정 목록</t>
  </si>
  <si>
    <t>5.17</t>
  </si>
  <si>
    <t>인증 정보</t>
  </si>
  <si>
    <t>인증 정보의 할당 및 관리는 인증 정보의 적절한 취급에 대한 직원의 조언을 포함하여 관리 프로세스에 의해 제어되어야 한다.</t>
  </si>
  <si>
    <t>5.17.1</t>
  </si>
  <si>
    <t>인증정보 할당 및 사용을 관리하기 위한 지침이 수립되어 있습니까?</t>
  </si>
  <si>
    <t>ㅇ 관련 지침을 통해 각 정보시스템의 인증정보 관리를 위한 절차 등을 수립하고 있음
ㅇ 각 시스템별로 비밀번호 정책을 수립 및 운영하고 있음(Okta: 3가지조합 8자리 이상/2차 인증)</t>
  </si>
  <si>
    <t>- SG05_계정관리지침</t>
  </si>
  <si>
    <t>5.17.2</t>
  </si>
  <si>
    <t>인증정보 사용시 이에 대한 로그를 증적으로 남기고 있습니까?</t>
  </si>
  <si>
    <t>5.17.3</t>
  </si>
  <si>
    <t>정보시스템 및 중요정보에 대한 사용자의 접근은 안전한 인증절차와 필요에 따라 강화된 인증방식을 적용하고 있습니까?</t>
  </si>
  <si>
    <t>5.17.4</t>
  </si>
  <si>
    <t>비밀번호 보호을 위해 효과적이고 유기적인 시설을 제공하는 비밀번호 관리 시스템이 운용되고 있습니까?</t>
  </si>
  <si>
    <t>5.18</t>
  </si>
  <si>
    <t>접근 권한</t>
  </si>
  <si>
    <t>정보 및 기타 관련 자산에 대한 접근 권한은 접근 제어에 대한 조직의 주제별 정책 및 규칙에 따라 프로비저닝, 검토, 수정 및 제거되어야 한다.</t>
  </si>
  <si>
    <t>5.18.1</t>
  </si>
  <si>
    <t>권한의 할당 및 사용을 관리하기위한 지침이 수립되어 있습니까?</t>
  </si>
  <si>
    <t>ㅇ 관련 지침을 통해 권한 할당 및 사용을 위한 절차를 수립하고 있음
ㅇ 주요 시스템 접근 시 SR 요청을 통해 사용자 계정 신청 후 권한 부여 및 생성하고 있음</t>
  </si>
  <si>
    <t>5.18.2</t>
  </si>
  <si>
    <t>권한 사용시 이에 대한 로그를 증적으로 남기고 있습니까?</t>
  </si>
  <si>
    <t>5.18.3</t>
  </si>
  <si>
    <t>데이터나 정보 서비스에 대한 접근을 관리하기 위해서 정기적으로 접근권한에 대하여서 점검하며 시스템 관리자와 사용자의 권한을 명확히 구분하고 통제하고 있습니까?</t>
  </si>
  <si>
    <t>5.18.4</t>
  </si>
  <si>
    <t>정보와 정보처리설비에 대한 모든 직원, 외부자의 접근권한은 고용, 계약, 협약의 종료 및 변경시 즉시 삭제를 하십니까?</t>
  </si>
  <si>
    <t>5.19</t>
  </si>
  <si>
    <t>공급자 관계 정보보호</t>
  </si>
  <si>
    <t>공급자의 제품 또는 서비스 사용과 관련된 정보보호 위험을 관리하기 위해 프로세스와 절차를 정의하고 구현해야 한다.</t>
  </si>
  <si>
    <t>5.19.1</t>
  </si>
  <si>
    <t>정보보호 요구사항을 수립하여 공급자 협약을 진행하고 있습니까?</t>
  </si>
  <si>
    <t>ㅇ 정보보호 처리 위수탁 계약서 내 안전한 서비스 제공을 위한 내용이 포함되어 체결하고 있음</t>
  </si>
  <si>
    <t>- 수탁자 정보보호 관련 계약(샘플- 보안관제서비스)</t>
  </si>
  <si>
    <t>5.20</t>
  </si>
  <si>
    <t>공급업체 계약 내 정보보호 문제 해결</t>
  </si>
  <si>
    <t>관련 정보보호 요구 사항은 공급업체 관계 유형에 따라 각 공급업체와 설정되고 합의되어야 한다.</t>
  </si>
  <si>
    <t>5.20.1</t>
  </si>
  <si>
    <t>정보보호 요구사항을 공급자와 합의하여 문서화하고 있습니까?</t>
  </si>
  <si>
    <t>ㅇ 수탁자 대상으로 정보보호 관련 계약을 체결하고 운영하고 있음</t>
  </si>
  <si>
    <t>5.21</t>
  </si>
  <si>
    <t>정보통신기술(ICT) 공급망의 정보보호 관리</t>
  </si>
  <si>
    <t>프로세스와 절차는 ICT 제품 및 서비스 공급망과 관련된 정보보호 위험을 관리하기 위해 정의되고 구현되어야 한다.</t>
  </si>
  <si>
    <t>5.21.1</t>
  </si>
  <si>
    <t>공급자 협약 시 정보통신기술 서비스 및 공급망 관련 요구사항을 포함하고 있습니까?</t>
  </si>
  <si>
    <t>5.22</t>
  </si>
  <si>
    <t>공급업체 서비스의 모니터링, 검토 및 변경 관리</t>
  </si>
  <si>
    <t>조직은 공급업체 정보보호 관행 및 서비스 제공의 변경 사항을 정기적으로 모니터링, 검토, 평가 및 관리해야 한다.</t>
  </si>
  <si>
    <t>5.22.1</t>
  </si>
  <si>
    <t>공급자에 의해 제공되는 서비스, 보고서, 기록들은 정기적인 검토와 감사를 실시하고 있습니까?</t>
  </si>
  <si>
    <t>ㅇ 정보처리 수탁자 대상으로 수탁자 보안 점검 요청을 정기적으로 수행하고 있음</t>
  </si>
  <si>
    <t>- 수탁자 보안 점검 요청 메일(샘플-IDC)</t>
  </si>
  <si>
    <t>5.22.2</t>
  </si>
  <si>
    <t>서비스의 변경시 관련된 업무시스템 및 프로세스에 미치는 영향을 고려하여 운영되고 있습니까?</t>
  </si>
  <si>
    <t>5.23</t>
  </si>
  <si>
    <t>클라우드 서비스 이용을 위한 정보보호</t>
  </si>
  <si>
    <t>클라우드 서비스의 획득, 사용, 관리 및 종료 프로세스는 조직의 정보보호 요구 사항에 따라 설정되어야 한다.</t>
  </si>
  <si>
    <t>5.23.1</t>
  </si>
  <si>
    <t>클라우드 서비스 제공자와 정보보호 및 개인정보보호에 대한 책임과 역할을 명확히 정의하고 이를 계약서(SLA 등)에 반영하고 있습니까?</t>
  </si>
  <si>
    <t>ㅇ 관련 매뉴얼을 통해 클라우드 서비스 이용 절차 및 보안 사항에 대해 정의하고 있음</t>
  </si>
  <si>
    <t>- SPR03_클라우드 서비스 이용 매뉴얼</t>
  </si>
  <si>
    <t>5.23.2</t>
  </si>
  <si>
    <t>클라우드 서비스 이용 시 서비스 유형에 따른 보안위험을 평가하여 비인가 접근, 설정오류 등을 방지할 수 있도록 보안 구성 및 설정 기준, 보안설정 변경 및 승인 절차, 안전한 접속방법, 권한 체계 등 보안 통제 정책을 수립 및 이행하고 있습니까?</t>
  </si>
  <si>
    <t>5.23.3</t>
  </si>
  <si>
    <t>클라우드 서비스 관리자 권한은 역할에 따라 최소화하여 부여하고 관리자 권한에 대한 비인가 접근, 권한 오남용 등을 방지할 수 있도록 강화된 인증, 암호화, 접근 통제, 감사기록 등 보호대책을 적용하고 있습니까?</t>
  </si>
  <si>
    <t>5.23.4</t>
  </si>
  <si>
    <t>클라우드 서비스의 보안 설정 변경, 운영 현황 등을 모니터링하고 그 적절성을 정기적으로 검토하고 있습니까?</t>
  </si>
  <si>
    <t>5.24</t>
  </si>
  <si>
    <t>정보보호 사고 관리 계획 및 준비</t>
  </si>
  <si>
    <t>조직은 정보를 정의, 설정 및 전달하여 정보보호 사고 관리를 계획하고 준비해야 한다.</t>
  </si>
  <si>
    <t>5.24.1</t>
  </si>
  <si>
    <t>보안사고 대응계획을 위한 절차가  수립되어 있습니까?
- 보안사고의 정의 및 범위
- 보안사고 발생시 보고 및 대응 절차
- 사고 복구조직의구성
- 교육계획 등</t>
  </si>
  <si>
    <t>ㅇ 침해사고 및 개인정보 유출사고에 대응하기 위한 '침해사고대응지침'을 수립하고 있으며, 상세한 침해사고 대응절차, 보고체계, 대응방안 등을 '침해사고 대응 매뉴얼'에 정의하여 운영하고 있음</t>
  </si>
  <si>
    <t>- SG13_침해사고 대응지침
- SPR01_침해사고 대응 매뉴얼</t>
  </si>
  <si>
    <t>5.24.2</t>
  </si>
  <si>
    <t>보안사고의 모니터링, 대응 및 처리와 관련되어 전문가, 전문기관, 전문정부기관 등과의 협조체계를 구축하고 있습니까?</t>
  </si>
  <si>
    <t>5.24.3</t>
  </si>
  <si>
    <t>보안사고를 모니터링하고 대응할 수 있는 다음과 같은 사항을 포함한 중앙 집중적인 대응체계가 구축되어 있습니까?
- 중요도에 따른 보안사고 분류, 보고체계 및 대응요령 
- 모니터링 및 대응 방법
- 대응 조직 및 인력
- 모니터링 및 대응 절차
- 모니터링 및 대응 보고 및 승인 방법</t>
  </si>
  <si>
    <t>5.25</t>
  </si>
  <si>
    <t>정보보호 사건에 대한 평가 및 결정</t>
  </si>
  <si>
    <t>조직은 정보보호 사건을 평가하고 정보보호 사건으로 분류할지 결정해야 한다.</t>
  </si>
  <si>
    <t>5.25.1</t>
  </si>
  <si>
    <t>정보보호 이벤트 발생을 대비하여 정보보호 사고 분류 기준을 정의하고 있습니까?</t>
  </si>
  <si>
    <t>ㅇ 관련 지침 및 매뉴얼을 통해 정보보호 관련 이벤트에 대한 분류 기준을 정의하고 있음</t>
  </si>
  <si>
    <t>- SPR01_침해사고 대응 매뉴얼</t>
  </si>
  <si>
    <t>5.26</t>
  </si>
  <si>
    <t>정보보호 사고 대응</t>
  </si>
  <si>
    <t>정보보호 사고는 문서화된 절차에 따라 대응해야 한다.</t>
  </si>
  <si>
    <t>5.26.1</t>
  </si>
  <si>
    <t>정보보호 사고를 대비한 대응 절차를 문서화하고 있습니까?</t>
  </si>
  <si>
    <t>ㅇ '침해사고 대응 매뉴얼'을 통해 정보보호 사고를 대비한 대응 절차를 문서화 하고 있음</t>
  </si>
  <si>
    <t>5.27</t>
  </si>
  <si>
    <t>정보보호 사고로 부터 학습</t>
  </si>
  <si>
    <t>정보보호 사고에서 얻은 지식은 정보보호 통제를 강화하고 개선하는 데 사용되어야 한다.</t>
  </si>
  <si>
    <t>5.27.1</t>
  </si>
  <si>
    <t>보안사고가 처리되고 종결된 후 이에 대한 분석을 이행하고 있으며, 그 결과를 보고하고 있습니까?
- 보안사고날짜
- 보고자와 보고일시
- 사고내용
- 사고 대응내용
- 보안사고 통계 등</t>
  </si>
  <si>
    <t>ㅇ 침해사고가 발생한 건이 없으며, 심각한 침해사고 발생시 최고경영층까지 신속하게 보고할 수 있도록 체계가 구축되어 있음
ㅇ 침해사고 시 상세한 침해사고 보고를 위해 '침해사고대응지침' 내 침해사고보고서에 사고 시간, 사고 내용 등 필요 내용을 모두 포함하고 있음
ㅇ 침해사고 발생 시 관련 법률 및 규정에 따라 유관기관에 신고, 통지할 수 있도록 체계가 구축되어 있음</t>
  </si>
  <si>
    <t>5.27.2</t>
  </si>
  <si>
    <t>보안사고처리후 재발 방지를 위한 훈련이 정기적으로 실시되도록 계획이 있습니까? 
- 발생할 수 있는 사고 내용
- 대응방안
- 향후 재발방지 방안</t>
  </si>
  <si>
    <t>5.27.3</t>
  </si>
  <si>
    <t>보안사고로부터 얻은 정보를 활용하여, 유사 사고가 반복되지 않도록 재발방지 대책 및 교육 계획을 수립하고 있습니까? 
- 정보보호 사고 교육
- 정책, 절차, 조직 등의 보안체계에 대한 변경 등</t>
  </si>
  <si>
    <t>5.28</t>
  </si>
  <si>
    <t>증거 수집</t>
  </si>
  <si>
    <t>조직은 정보보호 사건과 관련된 증거의 식별, 수집, 획득 및 보존을 위한 절차를 수립하고 구현해야 한다.</t>
  </si>
  <si>
    <t>5.28.1</t>
  </si>
  <si>
    <t>다음과 같은 내용을 반영한 보안사고처리 및 복구 절차가 존재합니까?
- 증거자료의 수집
- 취약성의 제거 등 사후관리
- 재발방지를 위한 기타사항</t>
  </si>
  <si>
    <t>ㅇ 침해사고 시 상세한 침해사고 보고를 위해 '침해사고대응지침' 내 침해사고보고서에 사고 시간, 사고 내용 등 필요 내용을 모두 포함하고 있음
ㅇ 침해사고 발생 시 관련 법률 및 규정에 따라 유관기관에 신고, 통지할 수 있도록 체계가 구축되어 있음
ㅇ 실제 침해사고 발생 시 분석을 통해 얻어진 정보를 활용하여 재발방지 대책을 세우고, 결과를 바탕으로 침해사고 대응지침 및 대응매뉴얼 등을 개정할 예정임</t>
  </si>
  <si>
    <t>5.28.2</t>
  </si>
  <si>
    <t>보안사고 처리 후 민형사상 법적 조치나 조직 및 개인에 대한 소송의 지원을 위해 적정한 증거자료를 확보, 유지관리하고 있습니까?</t>
  </si>
  <si>
    <t>5.29</t>
  </si>
  <si>
    <t>중단 중 정보보호</t>
  </si>
  <si>
    <t>조직은 중단 중에 적절한 수준에서 정보보호를 유지하는 방법을 계획해야 한다.</t>
  </si>
  <si>
    <t>5.29.1</t>
  </si>
  <si>
    <t>조직은 위기 또는 재난과 같이 어려운 상황에서 정보보호와 정보보호 관리의 연속성에 대한 요구사항을 결정하고 있습니까?</t>
  </si>
  <si>
    <t>ㅇ 업무연속성에 대한 요구사항을 결정하고 있으며, 'IT 재해복구지침' 및 대응매뉴얼 내 대응조직, 비상연락체계, 복구순서 및 전략 수립 등을 통해 IT 재해복구 체계를 구축하고 있음</t>
  </si>
  <si>
    <t>- SG18_사업연속성관리 지침</t>
  </si>
  <si>
    <t>5.29.2</t>
  </si>
  <si>
    <t>조직은 어려운 상황에서 정보보호에 필요한 수준의 연속성을 보장하기 위하여 프로세스, 절차, 통제를 수립하고 문서화하여 구현 및 유지하고 있습니까?</t>
  </si>
  <si>
    <t>5.29.3</t>
  </si>
  <si>
    <t>조직이 수립하고 구현한 정보보호 연속성 통제가 어려운 상황에 적절하고 효과적임을 보장하기 위하여 주기적으로 검증하고 있습니까?</t>
  </si>
  <si>
    <t>5.30</t>
  </si>
  <si>
    <t>비즈니스 연속성을 위한 ICT 준비</t>
  </si>
  <si>
    <t>ICT 준비는 비즈니스 연속성 목표 및 ICT 연속성 요구 사항에 따라 계획, 구현, 유지 관리 및 테스트되어야 한다.</t>
  </si>
  <si>
    <t>5.30.1</t>
  </si>
  <si>
    <t>조직의 핵심 서비스(업무) 연속성을 위협할 수 있는 IT 재해 유형을 식별하고, 유형별 피해규모 및 업무에 미치는 영향을 분석하여 핵심 IT 서비스(업무) 및 시스템을 식별하고 있는가?</t>
  </si>
  <si>
    <t>ㅇ 2024년 침해사고 모의 훈련임 스팸 메일 훈련을 수행하였으며, 2025년 훈련 예정</t>
  </si>
  <si>
    <t>- 침해사고 대응 및 복구훈련 결과(악성코드 훈련)</t>
  </si>
  <si>
    <t>5.30.2</t>
  </si>
  <si>
    <t>핵심 IT 서비스 및 시스템의 중요도 및 특성에 따른 복구 목표시간, 복구 목표시점을 정의하고 있는가?</t>
  </si>
  <si>
    <t>5.30.3</t>
  </si>
  <si>
    <t>재해·재난 발생 시에도 핵심 서비스 및 시스템의 연속성을 보장할 수 있도록 복구 전략 및 대책, 비상시 복구 조직, 비상연락체계, 복구 절차 등 재해 복구 계획을 수립·이행하고 있는가?</t>
  </si>
  <si>
    <t>5.31</t>
  </si>
  <si>
    <t>적용 법규 및 계약 요구사항 식별</t>
  </si>
  <si>
    <t>정보보호와 관련된 모든 법령, 규제, 계약 요구사항 등에 대한 내용과 이런 요구사항들을 충족하기 위한 조직의 접근 방식을 문서화하고 최신 상태로 유지해야 한다.</t>
  </si>
  <si>
    <t>5.31.1</t>
  </si>
  <si>
    <t>정보시스템에 대해 관련된 모든 법, 규제, 계약, 정책, 기술상의 요구사항을 정의하고 문서화하고 있습니까?
 - 산업기술의 유출방지 및 보호에 관한 법률
 - 정보통신망 이용 촉진 및 정보보호 등에 관한 법률
 - 개인정보보호법
 - 부정경쟁방지 및 영업비밀보호에 관한 법률
 - 상기 법률 하위문서 및 매뉴얼 등</t>
  </si>
  <si>
    <t>ㅇ 조직이 준수해야 하는 정보보호 관련 법적 요구사항을 파악하고 최신성을 유지하고 있음</t>
  </si>
  <si>
    <t>5.32</t>
  </si>
  <si>
    <t>지적 재산권</t>
  </si>
  <si>
    <t>조직은 지적 재산권을 보호하기 위한 적절한 절차를 구현해야 한다.</t>
  </si>
  <si>
    <t>5.32.1</t>
  </si>
  <si>
    <t>지적자산의 권리를 존중하여야하는 자료 및 소프트웨어 제품 재산의 사용에 있어서 법률적인 제한에 부합하도록 절차가 구현되어 있습니까?</t>
  </si>
  <si>
    <t>ㅇ 관련 지침 등으로 불법 소프트웨어 등을 사용하지 않도록 규정하고 있음</t>
  </si>
  <si>
    <t>- SG07_단말 보안지침</t>
  </si>
  <si>
    <t>5.33</t>
  </si>
  <si>
    <t>기록 보호</t>
  </si>
  <si>
    <t>기록은 손실, 파괴, 변조, 무단 액세스 및 무단 공개로부터 보호되어야 한다.</t>
  </si>
  <si>
    <t>5.33.1</t>
  </si>
  <si>
    <t>중요한 기록들은 손실, 파괴, 위조로부터 보호되도록 절차가 수립되어 있습니까?</t>
  </si>
  <si>
    <t>ㅇ 중요 문서 및 정보는 백업 관리하고 있음.
ㅇ 주요 서비스의 경우 AWS 클라우드 서비스 및 다중 가용영역을 사용하고 있음</t>
  </si>
  <si>
    <t>5.34</t>
  </si>
  <si>
    <t>프라이버시와 개인정보보호</t>
  </si>
  <si>
    <t>조직은 해당 법률 및 규정 및 계약 요구 사항에 따라 개인정보보호 및 PII 보호에 관한 요구사항을 식별하고 충족해야 한다.</t>
  </si>
  <si>
    <t>5.34.1</t>
  </si>
  <si>
    <t>관련법률에 따라 데이터 보호 및 개인정보를 보호, 관리하고 있습니까?</t>
  </si>
  <si>
    <t>ㅇ 개인정보보호법 및 신용정보보호법에 따른 개인정보 보호를 위해 관련 규정 및 지침을 수립하고 이행하고 있음</t>
  </si>
  <si>
    <t>5.35</t>
  </si>
  <si>
    <t>정보보호에 대한 독립적인 검토</t>
  </si>
  <si>
    <t>사람, 프로세스 및 기술을 포함한 정보보호 및 구현 관리에 대한 조직의 접근 방식은 계획된 간격으로 또는 중대한 변경이 발생할 때 독립적으로 검토되어야 한다.</t>
  </si>
  <si>
    <t>5.35.1</t>
  </si>
  <si>
    <t>정보보호 위원회는 정책 및 절차 등에 관하여 정기적 혹은 중대한 변화가 발생할 경우 독립적으로 검토활동을 수행하는가?</t>
  </si>
  <si>
    <t>ㅇ 정보보호 위원회를 통해 중요 변화에 대한 검토를 수행하고 정보보호관리체계 내 반영되도록 하고 있음</t>
  </si>
  <si>
    <t xml:space="preserve">- 2025년 제2차 정보보호 위원회 보고 내역 </t>
  </si>
  <si>
    <t>5.36</t>
  </si>
  <si>
    <t>정보보호를 위한 정책, 규칙, 및 표준 준수</t>
  </si>
  <si>
    <t>조직의 정보보호 정책, 주제별 정책, 규칙 및 표준의 준수 여부를 정기적으로 검토해야 한다.</t>
  </si>
  <si>
    <t>5.36.1</t>
  </si>
  <si>
    <t>모든 정보보호정책, 절차의 준수여부를 검토하고 있습니까?</t>
  </si>
  <si>
    <t>ㅇ 관리체계가 효과적으로 운영되는지 점검하기 위한 관리체계 점검기준, 범위, 점검인력 자격요건 등을 포함한 정보보호 감사 계획을 수립하고 있음</t>
  </si>
  <si>
    <t>- 2025년 IT 감사 계획서
- 2025년 IT 자체 감사 결과서</t>
  </si>
  <si>
    <t>5.36.2</t>
  </si>
  <si>
    <t>정보시스템이 정보보호표준 및 절차에 따라 운영 관리되고 있는지 정기적으로 보안감사를 실시하며 기술적 점검을 하고 있습니까?</t>
  </si>
  <si>
    <t>5.37</t>
  </si>
  <si>
    <t>운영 절차 문서화</t>
  </si>
  <si>
    <t>운영 절차를 문서화하고 필요한 모든 사용자가 이용할 수 있도록 하여야 한다.</t>
  </si>
  <si>
    <t>5.37.1</t>
  </si>
  <si>
    <t>보안 운영지침 및 절차가 수립되어 있으며 문서화 되어 있습니까?</t>
  </si>
  <si>
    <t>ㅇ 지침과 매뉴얼 문서를 통해 세부적인 방법 및 절차 등을 수립하고 있음
ㅇ 정보보호 정책 및 정책시행 문서를 최신본으로 관리하고 있으며, 제정·개정 시 그룹웨어를 통해 공유하고 있음</t>
  </si>
  <si>
    <t>6. 인력 통제</t>
  </si>
  <si>
    <t>6.1</t>
  </si>
  <si>
    <t>적격 심사</t>
  </si>
  <si>
    <t>고용할 모든 후보자에 대한 배경 검증은 관련 법률, 규정, 윤리를 준수해야 하며, 업무 요구사항과 접근할 정보의 등급 및 예상되는 위험에 따라 적절하게 수행하여야 한다.</t>
  </si>
  <si>
    <t>6.1.1</t>
  </si>
  <si>
    <t>계약직 및 임시직원은 물론 정식직원 채용 시 신원, 업무능력, 교육정도, 경력, 신원조사 등에 대한 적격심사가 이루어지고 있습니까?</t>
  </si>
  <si>
    <t>ㅇ 신규입사자 채용 시 경력 및 자격 검증을 수행하고 있으며, 자금세탁 방지 등을 위한 KYE(Know Your Employee)를 수행하고 있음
ㅇ 신규 입사 시 정보보호서약서를 징구하고 있음</t>
  </si>
  <si>
    <t>- 정보보호서약서(신규입사 시)</t>
  </si>
  <si>
    <r>
      <rPr>
        <rFont val="Malgun Gothic"/>
        <color theme="1"/>
        <sz val="10.0"/>
      </rPr>
      <t>6.1.2</t>
    </r>
  </si>
  <si>
    <t>민감한직무(정보시스템 접근권한업무, 재무정보나 비밀정보 처리업무)담당자에 대해 강화된 적격심사나 직무순환을 실시하도록 규정되어 있으며 비밀취급인가, 보안 서약서 청구 등 보안대책이 수립되어 있으며 수행하고 있습니까?</t>
  </si>
  <si>
    <t>6.2</t>
  </si>
  <si>
    <t>고용 계약조건</t>
  </si>
  <si>
    <t>고용 계약서에는 정보보호에 대한 직원 및 조직의 책임이 명시되어야 한다.</t>
  </si>
  <si>
    <t>6.2.1</t>
  </si>
  <si>
    <t>모든 직원, 계약자 및 제3자들은 비즈니스 정보를 보호해야 할 필요성과  책임을 포함한 비밀 계약 및 비공개 계약에 서명을 받고 있습니까?</t>
  </si>
  <si>
    <t>ㅇ 신규 입사 시 정보보호서약서를 징구하고 있음</t>
  </si>
  <si>
    <t>- 정보보호서약서(샘플)</t>
  </si>
  <si>
    <t>6.3</t>
  </si>
  <si>
    <t>정보보호 인식, 교육 및 훈련</t>
  </si>
  <si>
    <t>조직의 직원 및 관련 이해 관계자는 직무와 관련하여 조직의 정보보호 정책, 주제별 정책 및 절차에 대한 적절한 정보보호 인식, 교육 및 훈련 및 정기적 업데이트를 받아야 한다.</t>
  </si>
  <si>
    <t>6.3.1</t>
  </si>
  <si>
    <t xml:space="preserve">(개인)정보보호 교육 기준을 수립 및 시행하고 있습니까?
 - (개인)정보보호 교육 기준 및 연간 교육 계획 수립(임직원, 신규입사자, 외부인력)
 - 일반 정보보안 교육과 전문 보안교육 구분(임직원 및 외부인력)
 - 정기교육, 상시교육(연 1회 이상)
</t>
  </si>
  <si>
    <t>ㅇ 전체 임직원 대상 매년 개인정보보호교육 및 정보보호교육을 수행하고 있음</t>
  </si>
  <si>
    <t>- 2025년도 정보보호 교육 계획서</t>
  </si>
  <si>
    <t>6.3.2</t>
  </si>
  <si>
    <t>(개인)정보보호 교육 결과 검토 및 분석 후 차년도 교육에 반영하고 있습니까?
 - 교육만족도 조사
 - 교육책임자에게 교육결과 보고</t>
  </si>
  <si>
    <t>ㅇ 2025년 규정 지침 개정에 따란 교육 만족도 조사 후 차년도 교육에 반영 예정</t>
  </si>
  <si>
    <t>6.3.3</t>
  </si>
  <si>
    <t>해킹 공격의 인지 및 대응, 정보보호 사고 발생 시 신속한 대응을 위해 정기적으로 정보보호 사고 대응 모의훈련을 계획 및 실시하고 있습니까?
 - 해킹(메일) 대응 모의 훈련
 - 전산망 침투 훈련 등</t>
  </si>
  <si>
    <t>ㅇ매년 정보보호 사고 대응 모의 훈련을 수행함</t>
  </si>
  <si>
    <t>6.3.4</t>
  </si>
  <si>
    <t>교육 및 훈련은 정보보호정책이나 절차 및 역할의 변경이 있는 경우에는 수시로 실시하고 이에 대한 기록을 남기고 있습니까?</t>
  </si>
  <si>
    <t>ㅇ 절차 및 역할의 변경이 있는 경우 수시로 실시하고 기록 함</t>
  </si>
  <si>
    <t>6.4</t>
  </si>
  <si>
    <t>징계 절차</t>
  </si>
  <si>
    <t>정보보호 정책을 위반한 직원 및 기타 관련 이해 관계자에 대해 조치를 취하기 위해 징계 절차를 공식화하고 전달해야 한다.</t>
  </si>
  <si>
    <t>6.4.1</t>
  </si>
  <si>
    <t>법령 및 규정 위반, 보안사고 유발 등 상황 발생 시 범위에 따라 처벌할 수 있는 규정이 마련되어 있습니까?</t>
  </si>
  <si>
    <t>ㅇ 보안 의무 위반 시 제재에 대한 사항을 인적보안 지침을 통해 수립 및 운영하고 있음</t>
  </si>
  <si>
    <t>6.5</t>
  </si>
  <si>
    <t>고용 종료 및 직무변경 후의 책임</t>
  </si>
  <si>
    <t>고용이 종료되거나 직무가 변경된 이후에도 유효한 정보보호의 책임과 의무를 정의하고 관련 직원 및 이해관계자와 소통하고 시행해야 한다.</t>
  </si>
  <si>
    <t>6.5.1</t>
  </si>
  <si>
    <t>고용계약의 변경(퇴사, 계약만료)시 비밀유지에 대하여 면담하여 환기시키고 있습니까? (인사 관련 규정 내 비밀 유지 서약 환기 내용 포함 여부 확인)</t>
  </si>
  <si>
    <t>ㅇ 퇴사 시 비밀유지서약서를 징구하고 있으며, 관련 계정 및 권한 회수를 수행하고 있음</t>
  </si>
  <si>
    <t>- 정보보호서약서(샘플)
- 퇴직자 체크리스트 및 비밀유지서약서</t>
  </si>
  <si>
    <t>6.6</t>
  </si>
  <si>
    <t>기밀유지 또는 비밀유지 협약</t>
  </si>
  <si>
    <t>정보보호에 대한 조직의 요구를 반영하는 기밀 유지 또는 비공개 계약은 직원 및 기타 관련 이해 당사자가 식별하고, 문서화하고, 정기적으로 검토하고 서명해야 한다.</t>
  </si>
  <si>
    <t>6.6.1</t>
  </si>
  <si>
    <t>정보보호에 대한 조직의 요구를 반영하는 기밀 유지 또는 비공개 계약은 직원 및 기타 관련 이해 당사자가 식별하고, 문서화하고, 정기적으로 검토하고 서명하고 있습니까?</t>
  </si>
  <si>
    <t>- 퇴직자 체크리스트 및 비밀유지서약서</t>
  </si>
  <si>
    <t>6.7</t>
  </si>
  <si>
    <t>원격 근무</t>
  </si>
  <si>
    <t>직원이 조직 구내 외부에서 액세스, 처리 또는 저장된 정보를 보호하기 위해 원격으로 작업할 때 보호조치를 구현해야 한다.</t>
  </si>
  <si>
    <t>6.7.1</t>
  </si>
  <si>
    <t>원격근무에 대한 정의, 허가 범위, 기술적 보호대책을 마련하고 있습니까?</t>
  </si>
  <si>
    <t>ㅇ 임직원 원격 근무 시, 안전한 단말기(FortiClient 등 필수)에서 VPN을 통해 접근하도록 하고 있음</t>
  </si>
  <si>
    <t>- 네트워크 구성도</t>
  </si>
  <si>
    <t>6.8</t>
  </si>
  <si>
    <t>정보보호 이벤트 보고</t>
  </si>
  <si>
    <t>조직은 직원이 관찰되거나 의심되는 정보보호 사건을 적절한 채널을 통해 적시에 보고할 수 있는 메커니즘을 제공해야 한다.</t>
  </si>
  <si>
    <t>6.8.1</t>
  </si>
  <si>
    <t>임직원이 관찰되거나 의심되는 정보보호 사건, 시스템 이벤트 등을 적절한 채널을 통해 적시에 보고할 수 있는 메커니즘을 제공하고 있습니까?</t>
  </si>
  <si>
    <t>ㅇ 당사는 보안 이벤트 보고 절차를 마련하여, 임직원이 의심스러운 이메일, 악성코드 감염 등의 이상 징후를 발견 시 즉시 정보보안팀 Slack 채널 등을 통해 보고하도록 하고 있음
ㅇ 대외 서비스에 대한 공격 및 이상행위 탐지를 WAF 등을 통해 탐지 및 대응하고 있음
ㅇ 내부자의 이상행위 등을 엑소스피어를 통해 모니터링하고 있음
 - DLP 기능을 통한 중요정보 및 파일 전송, 유해사이트 접근 등에 대한 모니터링 중</t>
  </si>
  <si>
    <t>- 침해사고 신고 채널(Slack)</t>
  </si>
  <si>
    <t>- 침해사고 대응 매뉴얼
- SG13_침해사고 대응지침</t>
  </si>
  <si>
    <r>
      <rPr>
        <rFont val="Malgun Gothic"/>
        <color theme="1"/>
        <sz val="10.0"/>
      </rPr>
      <t>6.8.2</t>
    </r>
  </si>
  <si>
    <t>정보시스템의 보안사고의 징후 또는 보안사고 발생을 인지한 경우, 보안 취약점과 소프트웨어 기능 장애가 발생한 경우, 정의된 보안사고 보고절차에 의해 보고가 이루어지고 있습니까?</t>
  </si>
  <si>
    <t>ㅇ 침해사고 대응 지침에 따라 금융 당국에 신고 함</t>
  </si>
  <si>
    <t>7. 물리적 통제</t>
  </si>
  <si>
    <t>7.1</t>
  </si>
  <si>
    <t>물리적 보호 경계</t>
  </si>
  <si>
    <t>보호 경계는 정보 및 기타 관련 자산이 포함된 영역을 보호하기 위해 정의되고 사용되어야 한다.</t>
  </si>
  <si>
    <t>7.1.1</t>
  </si>
  <si>
    <t>각 구역별(보호구역) 정의 및 보안등급 지정이 규정화가 되어 있습니까?(제한구역, 통제구역 등의 설정)</t>
  </si>
  <si>
    <t>ㅇ 접견구역, 제한구역, 통제구역을 규정하고 있으며, 각 보호구역 별 통제가 되어있음.
 - 제한구역 : 사무실 구역
 - 통제구역 : 평촌 IDC, 4층 전산실</t>
  </si>
  <si>
    <t>- SG06_물리적보안지침
- SPR04_보호구역 출입절차서</t>
  </si>
  <si>
    <r>
      <rPr>
        <rFont val="Malgun Gothic"/>
        <color theme="1"/>
        <sz val="10.0"/>
      </rPr>
      <t>7.1.2</t>
    </r>
  </si>
  <si>
    <t>각 보호구역(제한구역, 통제구역 등)별 보호대책이 수립(규정화, 문서화)되어 있으며 구현되고 있습니까?
 -구역별 식별 라벨 부착
 -출입통제 장비설치(카드키 등)
 -외부자 방문증 규격화 및 패용, 인력 배치
 -출입관리대장 관리
 -출입자 및 출입기록에 대한 주기적 검토
 -출입자 명단작성
 -보호구역내의 작업에 대한 지침</t>
  </si>
  <si>
    <t xml:space="preserve"> ㅇ 각 보호구역(제한구역, 통제구역 등)별 보호대책이 수립(규정화, 문서화)되어 있으며 구현되어 있음</t>
  </si>
  <si>
    <t>7.2</t>
  </si>
  <si>
    <t>물리적 진입</t>
  </si>
  <si>
    <t>보호 구역은 적절한 출입 통제 및 접근 지점으로 보호되어야 한다.</t>
  </si>
  <si>
    <t>7.2.1</t>
  </si>
  <si>
    <t>보호구역 출입은 적절한 출입통제 절차에 의해 이루어지고 있습니까?</t>
  </si>
  <si>
    <t>ㅇ 보호구역 출입통제 절차서를 수립하여 운영하고 있음.
ㅇ 물리적으로 보호구역을 분리하고 있으며, 건물의 출입통제 시스템을 통해 인가된 인원만 접근 가능하도록 통제하고 있음</t>
  </si>
  <si>
    <r>
      <rPr>
        <rFont val="Malgun Gothic"/>
        <color theme="1"/>
        <sz val="10.0"/>
      </rPr>
      <t>7.2.2</t>
    </r>
  </si>
  <si>
    <t>보호구역 출입자는 식별되고 기록, 관리되어 지고 있습니까?</t>
  </si>
  <si>
    <r>
      <rPr>
        <rFont val="Malgun Gothic"/>
        <color theme="1"/>
        <sz val="10.0"/>
      </rPr>
      <t>7.2.3</t>
    </r>
  </si>
  <si>
    <t>보호구역 출입자 기록대장은 정기적으로 점검되고 있습니까?</t>
  </si>
  <si>
    <t>매월 점검 보고 포함하여 점검 후 보고 예정</t>
  </si>
  <si>
    <r>
      <rPr>
        <rFont val="Malgun Gothic"/>
        <color theme="1"/>
        <sz val="10.0"/>
      </rPr>
      <t>7.2.4</t>
    </r>
  </si>
  <si>
    <t>보호구역 분류에 따른 적절한 보안대책이 수립되어 있습니까?</t>
  </si>
  <si>
    <r>
      <rPr>
        <rFont val="Malgun Gothic"/>
        <color theme="1"/>
        <sz val="10.0"/>
      </rPr>
      <t>7.2.5</t>
    </r>
  </si>
  <si>
    <t>배송 및 하역 구역과 비인가자의 접근 가능 지역 등이 지정되어 있어서 정보처리설비로부터 격리되어 있습니까?</t>
  </si>
  <si>
    <t>7.3</t>
  </si>
  <si>
    <t>사무실, 방, 시설에 대한 보호</t>
  </si>
  <si>
    <t>사무실, 방 및 시설에 대한 물리적 보호를 설계하고 구현되어야 한다.</t>
  </si>
  <si>
    <t>7.3.1</t>
  </si>
  <si>
    <t>사무실, 방, 설비에 대한 물리적 보호대책이 수립되어 있으며 이행되어있습니까?</t>
  </si>
  <si>
    <t>ㅇ 물리적 보안지침을 통해 물리적 보호를 위한 규정 및 대책을 수립 및 운영하고 있음
ㅇ 사무실 등 보호구역 출입 시 출입관리시스템 등의 보호대책을 수립되어 있음</t>
  </si>
  <si>
    <t>- SG06_물리적보안지침
- 보호구역 출입절차서</t>
  </si>
  <si>
    <t>7.4</t>
  </si>
  <si>
    <t>물리적 보호 모니터링</t>
  </si>
  <si>
    <t>허가되지 않은 물리적 접근에 대해 구내를 지속적으로 모니터링 해야 한다.</t>
  </si>
  <si>
    <t>7.4.1</t>
  </si>
  <si>
    <t>출입기록을 일정기간 보존하여 사후 모니터링이 가능하도록 문서적 또는 전자적으로 보존하고 있습니까?</t>
  </si>
  <si>
    <t>ㅇ 출입기록을 3년간 보관하고 있으며, 정기적으로 출입기록에 대한 검토를 수행하고 있음</t>
  </si>
  <si>
    <t>- 통제구역 출입관리 대장
- 세콤 출입기록 로그</t>
  </si>
  <si>
    <r>
      <rPr>
        <rFont val="Malgun Gothic"/>
        <color theme="1"/>
        <sz val="10.0"/>
      </rPr>
      <t>7.4.2</t>
    </r>
  </si>
  <si>
    <t>주기적으로 비인가자 출입 시도, 장기 미출입자, 과도한 출입권한 부여 등을 확인하여 그 사유를 확인하고 조치하여 검토하고 있습니까?</t>
  </si>
  <si>
    <r>
      <rPr>
        <rFont val="Malgun Gothic"/>
        <color theme="1"/>
        <sz val="10.0"/>
      </rPr>
      <t>7.4.3</t>
    </r>
  </si>
  <si>
    <t>보호구역에 대한 관제가 이루어지고 있습니까?</t>
  </si>
  <si>
    <t>7.5</t>
  </si>
  <si>
    <t>물리적 및 환경적 위협으로부터 보호</t>
  </si>
  <si>
    <t>자연 재해 및 기타 의도적 또는 비의도적 기반 시설에 대한 물리적 위협과 같은 물리적 및 환경적 위협에 대한 보호를 설계하고 구현해야 한다.</t>
  </si>
  <si>
    <t>7.5.1</t>
  </si>
  <si>
    <t xml:space="preserve">보호구역은 물리적, 환경적 위험이 적은 곳에 위치하고 있습니까? </t>
  </si>
  <si>
    <t>ㅇ 당사는 AWS 클라우드(AWS 서울 리전, 가용영역 다중화) 및 LG U+ 평촌 IDC(코로케이션 서비스)를 이용하고 있으며, 각 시설은 24x7 출입통제, CCTV 감시, 이중 전원, UPS, 소화설비 등 물리적·환경적 위협에 대비한 보호 통제가 적용되어 있음</t>
  </si>
  <si>
    <t>- 평촌 IDC 정보</t>
  </si>
  <si>
    <r>
      <rPr>
        <rFont val="Malgun Gothic"/>
        <color theme="1"/>
        <sz val="10.0"/>
      </rPr>
      <t>7.5.2</t>
    </r>
  </si>
  <si>
    <t>화재ㆍ수재 등의 각종 재해에 대비한 시설을 충분히 설치하고 있습니까?</t>
  </si>
  <si>
    <r>
      <rPr>
        <rFont val="Malgun Gothic"/>
        <color theme="1"/>
        <sz val="10.0"/>
      </rPr>
      <t>7.5.3</t>
    </r>
  </si>
  <si>
    <t>각종 재해에 대비한 물리적 접근통제 및 시건장치를 설치하였습니까?</t>
  </si>
  <si>
    <t>7.6</t>
  </si>
  <si>
    <t>보호 영역에서 작업</t>
  </si>
  <si>
    <t>보호 구역에서 작업하기 위한 보호 조치를 설계하고 구현해야 한다.</t>
  </si>
  <si>
    <t>7.6.1</t>
  </si>
  <si>
    <t>보안구역 내 작업 시 물리적 보호 절차와 가이드라인이 설계되어 적용되고 있으며, 자료유출 방지를 위한 보안대책이 수립되어 있으며 시행되고 있습니까?</t>
  </si>
  <si>
    <t xml:space="preserve">ㅇ 보호 구역에서 작업 시 출입 절차 및 물리적보안지침에 따라 작업을 수행하고 있음.
</t>
  </si>
  <si>
    <t>7.7</t>
  </si>
  <si>
    <t>깨끗한 책상과 깨끗한 화면</t>
  </si>
  <si>
    <t>종이 및 이동식 저장매체에 대한 명확한 데스크 규칙과 정보 처리 시설에 대한 명확한 스크린 규칙을 정의하고 적절하게 시행해야 한다.</t>
  </si>
  <si>
    <t>7.7.1</t>
  </si>
  <si>
    <t>책상 위에 중요한 문서나 저장 매체를 남겨두지 않도록 하는 지침을 보유하고 있습니까?</t>
  </si>
  <si>
    <r>
      <rPr>
        <rFont val="Malgun Gothic"/>
        <color theme="1"/>
      </rPr>
      <t xml:space="preserve">ㅇ 개인 업무 환경에 대한 보안 정책을 수립 및 운영하고 있음
</t>
    </r>
    <r>
      <rPr>
        <rFont val="Malgun Gothic"/>
        <color theme="1"/>
      </rPr>
      <t>ㅇ 사용자 보안 수칙을 통해 클린 데스크 보안 주기적 교육 수행</t>
    </r>
  </si>
  <si>
    <t xml:space="preserve">- 사용자 보안 수칙 </t>
  </si>
  <si>
    <t>- SG06_물리적보안지침</t>
  </si>
  <si>
    <r>
      <rPr>
        <rFont val="Malgun Gothic"/>
        <color theme="1"/>
        <sz val="10.0"/>
      </rPr>
      <t>7.7.2</t>
    </r>
  </si>
  <si>
    <t>통상 근무시간 동안이나 그 외의 시간에 비인가된 자에 의한 정보접근, 손상을 방지하기 위하여 컴퓨터 화면에 정보처리에 관한 사항을 남겨놓지 않도록 하고 있습니까?</t>
  </si>
  <si>
    <r>
      <rPr>
        <rFont val="Malgun Gothic"/>
        <color theme="1"/>
      </rPr>
      <t xml:space="preserve">ㅇ 개인 업무 환경에 대한 보안 정책을 수립 및 운영하고 있음
</t>
    </r>
    <r>
      <rPr>
        <rFont val="Malgun Gothic"/>
        <color theme="1"/>
      </rPr>
      <t>ㅇ 사용자 보안 수칙을 통해 클린 데스크 보안 주기적 교육 수행</t>
    </r>
  </si>
  <si>
    <t>7.8</t>
  </si>
  <si>
    <t>장비배치 및 보호</t>
  </si>
  <si>
    <t>장비는 안전하게 배치되고 보호되어야 한다.</t>
  </si>
  <si>
    <t>7.8.1</t>
  </si>
  <si>
    <t>정보시스템은 환경적, 유해요소, 비인가 접근 등의 위협을 감소시킬 수 있는 장소에 설치 및 운영되고 있습니까?</t>
  </si>
  <si>
    <t>ㅇ 당사는 AWS 클라우드 인프라 및 코로케이션 서비스를 사용하고 있으며, 해당 시설은 물리적 보호 조치가 적용되어 있음</t>
  </si>
  <si>
    <t>7.9</t>
  </si>
  <si>
    <t>Off-premises의 자산 보호</t>
  </si>
  <si>
    <t>오프사이트 자산은 보호되어야 한다.</t>
  </si>
  <si>
    <t>7.9.1</t>
  </si>
  <si>
    <t>장비, 정보, 소프트웨어는 사전 승인 없이 외부로 반출되지 않도록 규정 및 운영 있습니까?</t>
  </si>
  <si>
    <t>ㅇ 중요단말기 등 안전한 자산 보호를 위한 단말 보안 지침을 수립 및 운영하고 있음</t>
  </si>
  <si>
    <t>- SG07_단말보안지침</t>
  </si>
  <si>
    <t>7.10</t>
  </si>
  <si>
    <t>저장 매체</t>
  </si>
  <si>
    <t>저장 매체는 조직의 분류 체계 및 취급 요구 사항에 따라 획득, 사용, 운송 및 폐기의 수명 주기 동안 관리되어야 한다.</t>
  </si>
  <si>
    <t>7.10.1</t>
  </si>
  <si>
    <t>이동형 저장 매체의 불법적인 접근, 오남용, 데이터 손상에 대한 보호대책이 수립되어 있습니까?</t>
  </si>
  <si>
    <t>ㅇ 백신(엑소스피어)를 통해 보조저장매체를 통제하고 있으며 정기적으로 검토하고 있음
ㅇ 단말 보안 지침 등을 통해 보조저장매체를 안전하게 통제하기 위한 규정을 수립 및 운영하고 있음</t>
  </si>
  <si>
    <t>- SG07_단말보안지침
- SG06_물적보안지침리</t>
  </si>
  <si>
    <r>
      <rPr>
        <rFont val="Malgun Gothic"/>
        <color theme="1"/>
        <sz val="10.0"/>
      </rPr>
      <t>7.10.2</t>
    </r>
  </si>
  <si>
    <t>더 이상 필요하지 않은 매체는 공식적인 절차를 통해 안전하게 폐기하도록 규정 및 운영하고 있습니까?</t>
  </si>
  <si>
    <t>7.10.3</t>
  </si>
  <si>
    <t>이동형 저장 매체의 이동 중 불법적인 접근, 오남용, 데이터 손상에 대한 보호대책이 수립되어 있습니까?</t>
  </si>
  <si>
    <t>7.10.4</t>
  </si>
  <si>
    <t>장비, 정보, 소프트웨어는 사전에 허가없이 다른 장소로의 이동을 금지하는 규정이 존재하며 이를 이행하고 있습니까?</t>
  </si>
  <si>
    <t>7.11</t>
  </si>
  <si>
    <t>지원 유틸리티</t>
  </si>
  <si>
    <t>정보 처리 시설은 지원 유틸리티의 장애로 인한 정전 및 기타 장애로부터 보호되어야 한다.</t>
  </si>
  <si>
    <t>7.11.1</t>
  </si>
  <si>
    <t>전원공급 이상이나 기타 전기관련 사고 발생을 대비한 설비가 구축되어 있으며 관리는 이루어지고 있습니까?</t>
  </si>
  <si>
    <t>ㅇ 당사는 AWS 클라우드(AWS 서울 리전, 가용영역 다중화) 및 LG U+ 평촌 IDC(코로케이션 서비스)를 이용하고 있으며, 각 시설은 이중 전원 공급, UPS, 비상 발전기, 항온항습기 등의 보조 유틸리티를 운영하고 있음.</t>
  </si>
  <si>
    <t>7.12</t>
  </si>
  <si>
    <t>케이블링 보호</t>
  </si>
  <si>
    <t>전력, 데이터 또는 지원</t>
  </si>
  <si>
    <t>7.12.1</t>
  </si>
  <si>
    <t>데이터와 정보서비스를 지원하는 전력 및 통신 케이블은 차단 및 손상으로부터 보호되고 있습니까?</t>
  </si>
  <si>
    <t>ㅇ LG U+ 평촌 IDC는 TPS실을 통해 전용 통신케이블이 인입되며, 케이블은 전용 경로로 관리되어 비인가 접근·도청·물리적 손상 위험을 최소화하고 있음</t>
  </si>
  <si>
    <t>7.13</t>
  </si>
  <si>
    <t>장비 유지 보수</t>
  </si>
  <si>
    <t>장비는 정보의 가용성, 무결성 및 기밀성을 보장하기 위해 올바르게 유지되어야 한다.</t>
  </si>
  <si>
    <t>7.13.1</t>
  </si>
  <si>
    <t>장비는 지속적인 가용성과 무결성을 보장하기 위하여 유지ㆍ보수 되고 있고, 이에 대한 기록이 있습니까?</t>
  </si>
  <si>
    <t>ㅇ 전산실의 경우 출입통제 및 CCTV 등이 구성되어 있으며, 정기적으로 검토를 수행하고 있음</t>
  </si>
  <si>
    <t>- 캡스 로그 백업 설정 화면</t>
  </si>
  <si>
    <t>7.14</t>
  </si>
  <si>
    <t>장비의 안전한 폐기 또는 재사용</t>
  </si>
  <si>
    <t>저장 매체가 포함된 장비 항목은 폐기 또는 재사용 전에 민감한 데이터와 라이선스 소프트웨어가 제거되었거나 안전하게 덮어쓰기 되었는지 확인해야 한다.</t>
  </si>
  <si>
    <t>7.14.1</t>
  </si>
  <si>
    <t>중요 데이터나 정품 소프트웨어는 장비의 폐기/ 재사용 전에 기록된 내용이 완전히 삭제되어 복구가 불가능한지 확인하고 점검하고 있습니까?</t>
  </si>
  <si>
    <r>
      <rPr>
        <rFont val="Malgun Gothic"/>
        <color rgb="FFFF0000"/>
      </rPr>
      <t xml:space="preserve">
</t>
    </r>
    <r>
      <rPr>
        <rFont val="Malgun Gothic"/>
        <color theme="1"/>
      </rPr>
      <t>ㅇ 관련 지침을 통해 자산 폐기 등에 대한 규정을 수립하고 있음 
ㅇ 규정 지침 개정에 따라 폐기 관리 수행 예정</t>
    </r>
  </si>
  <si>
    <t>- SG07_단말기보안지침</t>
  </si>
  <si>
    <r>
      <rPr>
        <rFont val="Malgun Gothic"/>
        <color theme="1"/>
        <sz val="10.0"/>
      </rPr>
      <t>7.14.2</t>
    </r>
  </si>
  <si>
    <t>중요한 정보를 담고 있는 저장 매체의 폐기시에는 이를 물리적으로 파기하고 있습니까?</t>
  </si>
  <si>
    <t>8. 기술적 통제</t>
  </si>
  <si>
    <t>8.1</t>
  </si>
  <si>
    <t>사용자 엔드포인트 장치</t>
  </si>
  <si>
    <t>사용자 엔드포인트 장치에 저장, 처리 또는 액세스 할 수 있는 정보는 보호되어야 한다.</t>
  </si>
  <si>
    <t>8.1.1</t>
  </si>
  <si>
    <t>업무 목적상 활용되는 모바일 기기 대상 통제 및 사용 정책을 마련하고 있습니까?</t>
  </si>
  <si>
    <t>ㅇ 당사는 단말 보안지침을 통해 사용자 엔드포인트 장치에 대한 보호에 대한 규정을 수립 및 운영하고 있음</t>
  </si>
  <si>
    <t>- 단말기 NAC 인증 화면
- 단말기 백신 프로그램(엑소스피어)
- 단말기 취약점 진단 프로그램(엑소스피어)</t>
  </si>
  <si>
    <t>- SG07_단말보안 지침</t>
  </si>
  <si>
    <r>
      <rPr>
        <rFont val="Malgun Gothic"/>
        <color theme="1"/>
        <sz val="10.0"/>
      </rPr>
      <t>8.1.2</t>
    </r>
  </si>
  <si>
    <t>사용자들에 의해 방치되는 장비가 없도록 적절한 보호방안을 강구하고 있습니까?</t>
  </si>
  <si>
    <t>8.2</t>
  </si>
  <si>
    <t>특수 접근 권한</t>
  </si>
  <si>
    <t>특수 접근 권한의 할당 및 사용을 제한하고 관리해야 한다.</t>
  </si>
  <si>
    <t>8.2.1</t>
  </si>
  <si>
    <t>특수 권한의 할당 및 사용을 관리하기위한 지침이 수립되어 있으며 정기적으로 검토를 실시하고 있습니까?</t>
  </si>
  <si>
    <t>ㅇ 계정관리 지침을 통해 특수권한 관리에 대한 규정을 수립 및 운영하고 있음</t>
  </si>
  <si>
    <r>
      <rPr>
        <rFont val="Malgun Gothic"/>
        <color theme="1"/>
        <sz val="10.0"/>
      </rPr>
      <t>8.2.2</t>
    </r>
  </si>
  <si>
    <t>특수 권한 사용시 이에 대한 로그를 증적으로 남기고 있습니까?</t>
  </si>
  <si>
    <t>ㅇ 쿼리파이를 통해 서버, 데이터베이스, 쿠버네티스에 대한 사용 이력에 대한 로그를 보유하고 있음</t>
  </si>
  <si>
    <t xml:space="preserve">- 서버 접근통제 솔루션 로그 내역(쿼리파이)
</t>
  </si>
  <si>
    <t>8.3</t>
  </si>
  <si>
    <t>정보 접근 제한</t>
  </si>
  <si>
    <t>정보 및 기타 관련 자산에 대한 접근은 접근통제 설정된 주제별 정책에 따라 제한되어야 한다.</t>
  </si>
  <si>
    <t>8.3.1</t>
  </si>
  <si>
    <t>정보와 응용 시스템 접근제한 사항을 규정화하고 있으며 구현되어 있습니까?
 -사용자 접근이 허가되지 않은 응용프로그램의 기능에 대한 정보제공 제한
 -중요한 정보(기밀 정보)를 처리하는 응용프로그램의 출력물 접근통제</t>
  </si>
  <si>
    <t>ㅇ 계정관리지침을 통해 접근권한 부여, 접근권한 관리에 대한 규정을 수립 및 운영하고 있음
ㅇ 연구개발망, 운영망 등으로 분리하여 시스템에 대한 접근 통제 및 제한을 하고 있음
ㅇ FortiClient 연결 시만 회사 네트워크로 접근이 가능하도록 구성되어 있음</t>
  </si>
  <si>
    <r>
      <rPr>
        <rFont val="Malgun Gothic"/>
        <color theme="1"/>
        <sz val="10.0"/>
      </rPr>
      <t>- 서버 접근제어 구현 화면(쿼리파이)</t>
    </r>
    <r>
      <rPr>
        <rFont val="Malgun Gothic"/>
        <color rgb="FFFF0000"/>
        <sz val="10.0"/>
      </rPr>
      <t xml:space="preserve">
</t>
    </r>
    <r>
      <rPr>
        <rFont val="Malgun Gothic"/>
        <color rgb="FF0000FF"/>
        <sz val="10.0"/>
      </rPr>
      <t xml:space="preserve">- 네트워크 구성도
</t>
    </r>
    <r>
      <rPr>
        <rFont val="Malgun Gothic"/>
        <color theme="1"/>
        <sz val="10.0"/>
      </rPr>
      <t>- 단말기 NAC 관련 정책 설정 내역</t>
    </r>
  </si>
  <si>
    <t>8.4</t>
  </si>
  <si>
    <t>소스 코드에 대한 접근</t>
  </si>
  <si>
    <t>소스코드, 개발 도구 및 소프트웨어 라이브러리에 대한 읽기 및 쓰기 접근은 적절하게 관리되어야 한다.</t>
  </si>
  <si>
    <t>8.4.1</t>
  </si>
  <si>
    <t>소스 프로그램 접근에 대한 통제절차를 수립하고 관리자는 각 운영시스템 별로 지정되어 있습니까?</t>
  </si>
  <si>
    <t>ㅇ github를 계정에 따른 접근 통제 적용</t>
  </si>
  <si>
    <t>- SG09_응용프로그램보안지침</t>
  </si>
  <si>
    <t>8.5</t>
  </si>
  <si>
    <t>인증 보호</t>
  </si>
  <si>
    <t>인증 보호 기술 및 절차는 정보 접근 제한 및 접근 제어에 대한 주제별 정책을 기반으로 구현되어야 한다.</t>
  </si>
  <si>
    <t>8.5.1</t>
  </si>
  <si>
    <t>운영체제에 대한 안전한 로그온을 보장하기 위하여 사용자 인증절차 등에 의해 통제되고 있습니까?</t>
  </si>
  <si>
    <t>ㅇ Okta를 통해 사용자 인증을 통제하고 관리하고 있음</t>
  </si>
  <si>
    <t>- Okta 로그인 인증 화면</t>
  </si>
  <si>
    <t>8.6</t>
  </si>
  <si>
    <t>용량 관리 제어</t>
  </si>
  <si>
    <t>자원 사용은 현재 및 예상 용량 요구 사항에 따라 모니터링 및 조정되어야 한다.</t>
  </si>
  <si>
    <t>8.6.1</t>
  </si>
  <si>
    <t>용량관리 지침을 마련하고 이에 따라 용량관리를 실시하고 있습니까? 
- 사용자 용량 요구사항
- 용량 모니터링
- 용량관리 책임 및 보고
- 추가 자원의 필요성 및 시기에 대한 예상</t>
  </si>
  <si>
    <t>ㅇ 그라파나(Grafana)를 통해 시스템에 대한 가용성 모니터링을 수행하고 있음</t>
  </si>
  <si>
    <t>- 정보시스템 가용성 모니터링 화면(그라파나)</t>
  </si>
  <si>
    <t>8.7</t>
  </si>
  <si>
    <t>악성코드 방지</t>
  </si>
  <si>
    <t>악성코드에 대한 보호는 적절한 사용자 인식에 의해 구현되고 지원되어야 한다.</t>
  </si>
  <si>
    <t>8.7.1</t>
  </si>
  <si>
    <t>악성소프트웨어(악성코드, 바이러스 등) 통제를 위한 지침 및 절차가 수립되어 있으며 이행하고 있습니까?
-주기적인 점검 및 정기 업데이트
-보안 설정 지침 등</t>
  </si>
  <si>
    <t>ㅇ 엑소스피어를 통해 악성코드에 대한 보호를 운영하고 있음
ㅇ 악성코드 감염 시 대응 프로세스를 위한 침해사고 대응 매뉴얼을 수립 및 운영하고 있음</t>
  </si>
  <si>
    <t>- 단말기 백신 프로그램 설치 화면(엑소스피어)</t>
  </si>
  <si>
    <t xml:space="preserve">- SPR01_침해사고 대응 매뉴얼
</t>
  </si>
  <si>
    <t>8.8</t>
  </si>
  <si>
    <t>기술적 취약점 관리</t>
  </si>
  <si>
    <t>사용 중인 정보 시스템의 기술적 취약성에 대한 정보를 획득해야 하며, 그러한 취약성에 대한 조직의 노출을 평가하고 적절한 조치를 취야하 한다.</t>
  </si>
  <si>
    <t>8.8.1</t>
  </si>
  <si>
    <t>기술적인 점검에 따라 발견된 취약성에 대해 규정 및 실시하고 있습니까?</t>
  </si>
  <si>
    <t>ㅇ 위험관리 절차 및 보호대책에 대한 기준을 수립 및 운영하고 있음
ㅇ 매년 웹, 인프라 등 기술 취약점 진단을 수행 및 개선하고 있음</t>
  </si>
  <si>
    <t>- 요구사항 6.1 증적 동일(위험관리 계획서/결과서)</t>
  </si>
  <si>
    <r>
      <rPr>
        <rFont val="Malgun Gothic"/>
        <color theme="1"/>
        <sz val="10.0"/>
      </rPr>
      <t>8.8.2</t>
    </r>
  </si>
  <si>
    <t>정보시스템의 정기적 점검결과로 발견된 취약성에 대해 조치를 취하도록 규정하고 있습니까?</t>
  </si>
  <si>
    <t>8.9</t>
  </si>
  <si>
    <t>형상 관리</t>
  </si>
  <si>
    <t>하드웨어, 소프트웨어, 서비스 및 네트워크의 보호 구성을 포함한 형상은 설정, 문서화, 구현, 모니터링 및 검토되어야 한다.</t>
  </si>
  <si>
    <t>8.9.1</t>
  </si>
  <si>
    <t>형상관리 대상 전반에 대한 관리 번호가 있는 목록 등이 존재하고 문서화하여 식별이 이루어지고 있습니까?
- 형상관리 계획서, 품질관리 매뉴얼
- 요구사항 명세서
- 설계/인터페이스 명세서
- 테스트 설계서
- 소스코드</t>
  </si>
  <si>
    <t>ㅇ 소스코드 형상관리로 git을 사용하고 있음
ㅇ Jira를 통해 정보시스템 변경, 소스 코드 배포 등에 대해 관리하고 있음
ㅇ Argo CD 적용으로 배포 절차 강화 예정</t>
  </si>
  <si>
    <r>
      <rPr>
        <rFont val="Malgun Gothic"/>
        <color theme="1"/>
        <sz val="10.0"/>
      </rPr>
      <t>8.9.2</t>
    </r>
  </si>
  <si>
    <t>형상변경 요청을 검토, 승인 등 정보보호위원회의 승인을 통한 형상 통제가 이루어지고 있습니까?</t>
  </si>
  <si>
    <t>8.9.3</t>
  </si>
  <si>
    <t>조직구성원 및 이해관계자 등에게 형상 변경 사항에 대한 기록 및 보고가 이루어지고 있고, 대상별로 적절한 정보를 제공하고 있습니까?
- 승인된 형상 리스트
- 계획한 변경 상태
- 승인 변경 구현 상태</t>
  </si>
  <si>
    <t>8.10</t>
  </si>
  <si>
    <t>정보 삭제</t>
  </si>
  <si>
    <t>정보 시스템, 장치 또는 기타 저장 매체에 저장된 정보는 더 이상 필요하지 않은 경우 삭제해야 한다.</t>
  </si>
  <si>
    <t>8.10.1</t>
  </si>
  <si>
    <t>정보 시스템, 장치 또는 기타 저장 매체에 저장된 불필요한 정보(개인,중요)에 대하여 삭제가 이루어지고 있습니까?</t>
  </si>
  <si>
    <t>ㅇ 원칙적으로 민감 및 개인정보 파일의 보유를 금지하고 있으며, 업무 상 필요한 경우 암호화하여 보관하도록 규정하고 있음
ㅇ 백신(엑소스피어)를 통해 개인정보 파일에 대한 탐지 및 유출 내역을 확인하고 있음</t>
  </si>
  <si>
    <t>- 개인정보 파일 탐지 및 유출 모니터링 화면(엑소스피어)</t>
  </si>
  <si>
    <t>8.11</t>
  </si>
  <si>
    <t>데이터 마스킹</t>
  </si>
  <si>
    <t>데이터 마스킹은 관련 법령을 고려하여 액세스 제어 및 기타 관련 주제별 정책 및 비즈니스 요구 사항에 대한 조직의 주제별 정책에 따라 사용해야 한다.</t>
  </si>
  <si>
    <t>8.11.1</t>
  </si>
  <si>
    <t>조직 내에 개인정보 업무처리를 목적으로 개인정보의 조회, 출력 등 업무를 수행하는 과정에서 개인정보가 화면에 노출될 경우 정책에 따라 조치 대상별로 동일하고 일관된 방식으로 정보보호를 위한 마스킹이 이루어지고 있습니까?</t>
  </si>
  <si>
    <t>ㅇ admin 페이지에 대한 개인정보 마스킹을 처리하고 있음(개발 진행 중)</t>
  </si>
  <si>
    <t>- admin 페이지 개인정보 마스킹 화면</t>
  </si>
  <si>
    <t>8.12</t>
  </si>
  <si>
    <t xml:space="preserve">데이터 유출 방지 </t>
  </si>
  <si>
    <t>데이터 유출 방지 조치는 민감한 정보를 처리, 저장 또는 전송하는 시스템, 네트워크 및 기타 장치에 적용되어야 한다.</t>
  </si>
  <si>
    <t>8.12.1</t>
  </si>
  <si>
    <t>데이터 유출 방지 조치에 관하여 로깅 및 모니터링이 이루어지고 있고, 구성원별 엑세스 권한을 부여하고 있습니까?</t>
  </si>
  <si>
    <t>ㅇ 보조저장매체 통제, 개인정보 탐지 및 유출 내역 백신을 통해 기록 및 정기적으로 검토하고 있음</t>
  </si>
  <si>
    <r>
      <rPr>
        <rFont val="Malgun Gothic"/>
        <color theme="1"/>
        <sz val="10.0"/>
      </rPr>
      <t>8.12.2</t>
    </r>
  </si>
  <si>
    <t xml:space="preserve">조직의 네트워크 구성에 따른 포인트별 어플리케이션 엑세스 권한 설정, 인터넷 엑세스 설정, 유무선 네트워크에 대한 관리 및 암호화 등 적절한 수준의 조치가 이루어지고 있습니까? </t>
  </si>
  <si>
    <t>8.13</t>
  </si>
  <si>
    <t>정보 백업</t>
  </si>
  <si>
    <t>정보, 소프트웨어 및 시스템의 백업 사본은 백업에 대한 합의된 주제별 정책에 따라 유지 관리되고 정기적으로 테스트되어야 한다.</t>
  </si>
  <si>
    <t>8.13.1</t>
  </si>
  <si>
    <t>중요 데이터와 운영요소들을 식별하여 데이터 및 장비의 무결성과 가용성을 유지하기 위한 백업계획을 수립하여 이행하고 복구테스트를 실시하고 있습니까?</t>
  </si>
  <si>
    <t>ㅇ 정기적으로 데이터를 백업 및 관리하고 있음(AWS RDS 백업, AMI 백업 등)</t>
  </si>
  <si>
    <t>8.14</t>
  </si>
  <si>
    <t>정보처리설비의 이중화</t>
  </si>
  <si>
    <t>정보 처리 시설은 가용성 요구 사항을 충족하기에 충분한 이중화로 구현되어야 한다.</t>
  </si>
  <si>
    <t>8.14.1</t>
  </si>
  <si>
    <t>정보처리 시설은 가용성을 보장해줄수 있는 보안 지침 및 대책을 수립하고 이중화하여 운영하고 있습니까?</t>
  </si>
  <si>
    <t>ㅇ EKS로 구성되어 있으며, 기본적으로 다수의 가용 리전을 사용하고 있음</t>
  </si>
  <si>
    <t>8.15</t>
  </si>
  <si>
    <t>로깅</t>
  </si>
  <si>
    <t>활동, 예외, 오류 및 기타 관련 이벤트를 기록하는 로그를 생성, 저장, 보호 및 분석해야 한다.</t>
  </si>
  <si>
    <t>8.15.1</t>
  </si>
  <si>
    <t>사용자 활동, 예외, 고장, 정보보호 이벤트를 기록하는 이벤트 로그를 생성하고 보존하며 주기적으로 백업 및 검토하고 있습니까?</t>
  </si>
  <si>
    <r>
      <rPr>
        <rFont val="Malgun Gothic"/>
        <color theme="1"/>
      </rPr>
      <t xml:space="preserve">ㅇ 쿼리파이를 통해 DB, 서버, 쿠버네티스에 대한 사용자 활동 및 이벤트에 대한 로그를 기록 및 검토하고 있음
ㅇ 관리자페이지에 대한 이벤트에 대한 로그를 기록 및 검토하고 있음
</t>
    </r>
    <r>
      <rPr>
        <rFont val="Malgun Gothic"/>
        <color rgb="FFFF0000"/>
      </rPr>
      <t>- 각 로그에 대한 정기적인 모니터링 예정</t>
    </r>
  </si>
  <si>
    <r>
      <rPr>
        <rFont val="Malgun Gothic"/>
        <color rgb="FFFF0000"/>
        <sz val="10.0"/>
      </rPr>
      <t xml:space="preserve">
</t>
    </r>
    <r>
      <rPr>
        <rFont val="Malgun Gothic"/>
        <color rgb="FF000000"/>
        <sz val="10.0"/>
      </rPr>
      <t>- 서버 접근통제 솔루션 로그 내역(쿼리파이)</t>
    </r>
    <r>
      <rPr>
        <rFont val="Malgun Gothic"/>
        <color rgb="FFFF0000"/>
        <sz val="10.0"/>
      </rPr>
      <t xml:space="preserve">
</t>
    </r>
  </si>
  <si>
    <t>8.15.2</t>
  </si>
  <si>
    <t>로그 관리 시스템과 로그정보는 무단 변조 및 접근제한, 로깅범위, 책임과 로그의 백업 등을 포함한 로그관리 지침이 정의되어 있습니까?</t>
  </si>
  <si>
    <t>8.15.3</t>
  </si>
  <si>
    <t>시스템 관리자와 시스템 운영자의 활동을 주기적으로 검토하고 있습니까?</t>
  </si>
  <si>
    <t>8.16</t>
  </si>
  <si>
    <t>모니터링 활동</t>
  </si>
  <si>
    <t>네트워크, 시스템 및 애플리케이션은 잠재적인 정보보호 사고를 평가하기 위해 취해진 비정상적인 행동과 적절한 조치에 대해 모니터링되어야 한다.</t>
  </si>
  <si>
    <t>8.16.1</t>
  </si>
  <si>
    <t>내·외부에 의한 침해시도, 개인정보유출 시도, 부정행위 등 이상행위를 탐지할 수 있도록 주요 정보시스템, 응용프로그램, 네트워크, 보안시스템 등에서 발생한 네트워크 트래픽, 데이터 흐름, 이벤트 로그 등을 수집하여 분석 및 모니터링하고 있습니까?</t>
  </si>
  <si>
    <t>ㅇ 애플리케이션 침해 시도에 대해 WAF를 구성하여 보안 관제를 수행하고 있음</t>
  </si>
  <si>
    <t>- 보안관제 보고서(싸이버원)</t>
  </si>
  <si>
    <t>- SPR01_침해사고 대응매뉴얼
- SPR02_개인정보 유출 사고 대응 매뉴얼</t>
  </si>
  <si>
    <r>
      <rPr>
        <rFont val="Malgun Gothic"/>
        <color theme="1"/>
        <sz val="10.0"/>
      </rPr>
      <t>8.16.2</t>
    </r>
  </si>
  <si>
    <t>침해시도, 개인정보유출시도, 부정행위 등의 여부를 판단하기 위한 기준을 정의하고 이`에 따라 이상행위의 판단 및 조사 등 후속 조치가 적시에 이루어지고 있습니까?</t>
  </si>
  <si>
    <t>8.17</t>
  </si>
  <si>
    <t>시각 동기화</t>
  </si>
  <si>
    <t>조직에서 사용하는 정보 처리 시스템의 시계는 승인된 시간 소스와 동기화되어야 한다.</t>
  </si>
  <si>
    <t>8.17.1</t>
  </si>
  <si>
    <t>다음 사항을 위해 시스템 시각을 정확히 설정하고 있습니까?
- 감사기록의 명확성 보장
- 법적인 자료나 징계 자료로서의 효력 발생</t>
  </si>
  <si>
    <t>ㅇ 각 서버에 대한 NTP를 설정하여 운영하고 있음</t>
  </si>
  <si>
    <t>- NTP 설정화면</t>
  </si>
  <si>
    <t>8.18</t>
  </si>
  <si>
    <t>권한 있는 유틸리티 프로그램 사용</t>
  </si>
  <si>
    <t>시스템 및 응용 프로그램 제어를 무시할 수 있는 유틸리티 프로그램의 사용은 제한되고 엄격하게 통제되어야 한다.</t>
  </si>
  <si>
    <t>8.18.1</t>
  </si>
  <si>
    <t>운영시스템에 허가되지 않은 유틸리티 프로그램의 사용을 제한하며 통제되고 있습니까?</t>
  </si>
  <si>
    <t>ㅇ 운영 시스템 배포 시 허용한 유틸리티 프로그램만 배포되어 통제 되고 있음</t>
  </si>
  <si>
    <t>8.19</t>
  </si>
  <si>
    <t>운영 체제에 소프트 웨어 설치</t>
  </si>
  <si>
    <t>운영 체제에서 소프트웨어 설치를 안정하게 관리하기 위한 절차 및 조치를 구현해야 한다.</t>
  </si>
  <si>
    <t>8.19.1</t>
  </si>
  <si>
    <t>업무망에 접속하는 모든 PC는 회사가 정한 필수 보안 프로그램을 설치 및 운영하고 있습니까?</t>
  </si>
  <si>
    <t>ㅇ 당사는 FortiClient를 통해 필수 보안 프로그램인 엑소스피어(백신), FortiClient, MDM을 설치하여야만 업무망 접속이 가능하도록 구성되어 있음</t>
  </si>
  <si>
    <t>- 단말기 백신 프로그램(엑소스피어)
- Okta 로그인 인증화면</t>
  </si>
  <si>
    <r>
      <rPr>
        <rFont val="Malgun Gothic"/>
        <color theme="1"/>
        <sz val="10.0"/>
      </rPr>
      <t>8.19.2</t>
    </r>
  </si>
  <si>
    <t>임직원 및 외주인력 등 단말기내 허가되지 않은 유틸리티 프로그램의 사용을 제한하며 통제되고 있습니까?</t>
  </si>
  <si>
    <t>8.20</t>
  </si>
  <si>
    <t>네트워크 보호</t>
  </si>
  <si>
    <t>네트워크 및 네트워크 장치는 시스템 및 애플리케이션의 정보를 보호하기 위해 보호, 관리 및 제어되어야 한다.</t>
  </si>
  <si>
    <t>8.20.1</t>
  </si>
  <si>
    <t>공유 네트워크 및 공유 시스템 자원이 제공되는 경우 네트워크에 연결하는 사용자들의 권한이 접근통제 정책과 업무 어플리케이션의 요구사항에 따라 제한되고 있습니까?</t>
  </si>
  <si>
    <t>ㅇ 당사는 NAC(FortiClient)을 통해 인가된 안전한 엔드포인트만 내부 네트워크에 접근할 수 있도록 구성되어 있음</t>
  </si>
  <si>
    <t>- 단말기 NAC 관련 정책 설정 내역
- 네트워크 구성도</t>
  </si>
  <si>
    <t>8.21</t>
  </si>
  <si>
    <t>네트워크 서비스의 보호</t>
  </si>
  <si>
    <t>네트워크 서비스의 보호 매커니즘, 서비스 수준 및 서비스 요구사항을 식별, 구현 및 모니터링해야 한다.</t>
  </si>
  <si>
    <t>8.21.1</t>
  </si>
  <si>
    <t>사용자에게 허가된 서비스만 접근이 가능하도록 네트워크 접근 정책이 수립되어 있으며 이행하고 있습니까?</t>
  </si>
  <si>
    <t>ㅇ 당사는 게스트망, 연구개발망, 업무망/운영망 으로 분리하여 네트워크 분리 및 접근 정책이 수립 및 운영되어 있음</t>
  </si>
  <si>
    <t>8.22</t>
  </si>
  <si>
    <t>네트워크 분리</t>
  </si>
  <si>
    <t>정보 서비스, 사용자 및 정보 시스템의 그룹은 조직의 네트워크에서 분리되어야 한다.</t>
  </si>
  <si>
    <t>8.22.1</t>
  </si>
  <si>
    <t>정보서비스, 사용자, 정보시스템 등의 그룹들이 네트워크상에서 서로 분리되어 있습니까?</t>
  </si>
  <si>
    <t>8.23</t>
  </si>
  <si>
    <t>웹 필터링</t>
  </si>
  <si>
    <t>악성 콘텐츠에 대한 노출을 줄이기 위해 외부 웹사이트에 대한 액세스를 관리해야 한다.</t>
  </si>
  <si>
    <t>8.23.1</t>
  </si>
  <si>
    <t>악성코드 감염 및 내부정보의 유출 방지를 위해 보안에 취약한 비업무용 웹사이트 접속 및 프로그램 사용을 통제하고 있습니까?</t>
  </si>
  <si>
    <t>ㅇ 백신(엑소스피어)를 통해 P2P 등 비인가 웹사이트에 대한 접속을 차단 및 운영하고 있음.</t>
  </si>
  <si>
    <t>- 네트워크 구성도
- 단말기 NAC 관련 정책 설정 내역
- 비인가 웹사이트 접속 차단 정책(엑소스피어)</t>
  </si>
  <si>
    <t>8.24</t>
  </si>
  <si>
    <t>암호 사용</t>
  </si>
  <si>
    <t>암호 키 관리를 포함하여 암호의 효과적인 사용에 대한 규칙을 정의하고 구현해야 한다.</t>
  </si>
  <si>
    <t>8.24.1</t>
  </si>
  <si>
    <t>다음의 내용을 포함하는 암호사용에 대한 정책 및 지침이 마련되어 있습니까?
- 암호사용 정보의 일반원칙
- 암호사용 운영방침
- 키복구 등 키관리 방법
- 암호정책의 책임 및 역할
- 암호화 수준 결정방법
- 효과적 이행 위해 채택할 표준</t>
  </si>
  <si>
    <t>ㅇ 안전한 암호화를 위한 암호화 지침을 수립 및 운영하고 있음</t>
  </si>
  <si>
    <t>- SG10_암호화 지침</t>
  </si>
  <si>
    <r>
      <rPr>
        <rFont val="Malgun Gothic"/>
        <color theme="1"/>
        <sz val="10.0"/>
      </rPr>
      <t>8.24.2</t>
    </r>
  </si>
  <si>
    <t xml:space="preserve">암호사용시 적절한 암호 알고리즘의 유형, 신뢰성 및 키 길이를 결정하십니까?(혹은 법적요구사항 상급기관의 요구에 부응하는 암호화 알고리즘의 유형, 신뢰성 및 키 길이를 결정하고 있습니까?) </t>
  </si>
  <si>
    <r>
      <rPr>
        <rFont val="Malgun Gothic"/>
        <color theme="1"/>
        <sz val="10.0"/>
      </rPr>
      <t>8.24.3</t>
    </r>
  </si>
  <si>
    <t xml:space="preserve">암호 키에 대한 관리지침, 절차 및 방법을 마련하고 있으며 이행하고 있습니까? </t>
  </si>
  <si>
    <t>8.25</t>
  </si>
  <si>
    <t>안전한 개발 라이프 사이클</t>
  </si>
  <si>
    <t>소프트웨어 및 시스템의 안전한 개발을 위한 규칙을 수립하고 적용해야 한다.</t>
  </si>
  <si>
    <t>8.25.1</t>
  </si>
  <si>
    <t>정보시스템 개발 시 안전한 개발 프레임워크 개발 절차를 수립하고 이행하고 있습니까?</t>
  </si>
  <si>
    <t>ㅇ 개발 및 운영 간 환경을 구분하여 관리하고 있으며, 안전한 개발을 위해 응용프로그램 보안지침을 수립 및 운영하고 있음</t>
  </si>
  <si>
    <t>8.26</t>
  </si>
  <si>
    <t>애플리케이션 보호 요구사항</t>
  </si>
  <si>
    <t>정보보호 요구사항은 응용 프로그램을 개발하거나 획득할 때 식별, 지정 및 승인되어야 한다.</t>
  </si>
  <si>
    <t>8.26.1</t>
  </si>
  <si>
    <t>공개서버(Web, Mail, DNS 등)의 보안 관리 정책이 존재하며 외부로 서비스되는 정보의 무결성을 보장하는 방안이 존재합니까?
- 공개 서버 내 정보 수집, 저장 및 공개에 대한 허가 및 게시 절차
- 공개 서버의 물리적, 논리적 보안대책</t>
  </si>
  <si>
    <t>ㅇ 신규 서비스 개발 및 개선 시 보안요구사항을 정의하고, 정기적으로 취약점 평가를 통해 식별 및 관리하고 있음</t>
  </si>
  <si>
    <r>
      <rPr>
        <rFont val="Malgun Gothic"/>
        <color theme="1"/>
        <sz val="10.0"/>
      </rPr>
      <t>8.26.2</t>
    </r>
  </si>
  <si>
    <t>응용 서비스 거래 시 준용이 필요한 보안통제 사항을 별도 규정으로 문서화하고 있습니까</t>
  </si>
  <si>
    <t>8.27</t>
  </si>
  <si>
    <t>보안 시스템 아키텍처 및 엔지니어링 원칙</t>
  </si>
  <si>
    <t>엔지니어링 보안 시스템에 대한 원칙은 모든 정보 시스템 개발 활동에 설정, 문서화, 유지 관리 및 적용되어야 한다.</t>
  </si>
  <si>
    <t>8.27.1</t>
  </si>
  <si>
    <t>시스템 보안을 위한 원칙 및 절차에 따라 정보시스템을 구현하고 문서화하여 이행하고 있습니까?</t>
  </si>
  <si>
    <t>ㅇ 안전한 시스템 보안 및 개발을 위한 정보시스템 보안 지침, 응용프로그램 보안지침을 수립 및 운영하고 있음</t>
  </si>
  <si>
    <t>- SG08_정보시스템보안지침
- SG09_응용프로그램 보안지침</t>
  </si>
  <si>
    <t>8.28</t>
  </si>
  <si>
    <t>시큐어 코딩</t>
  </si>
  <si>
    <t>시큐어 코딩 원칙은 소프트웨어 개발에 적용되어야 한다.</t>
  </si>
  <si>
    <t>8.28.1</t>
  </si>
  <si>
    <t>새로운 정보시스템의 도입이나 기존에 운영 중인 정보시스템의 중대한 변경시 잠재적인 정보보안 취약성을 줄이기 위해 시큐어 코딩 개발 보안 규칙을 적용하고 있습니까?</t>
  </si>
  <si>
    <t>ㅇ 소나큐브(SonarQube) 및 트리비(Trivy)를 통해 소스코드 및 이미지 취약점 진단을 위한 프로세스를 구성 예정</t>
  </si>
  <si>
    <t>- 소스코드 취약점 구축 계획서</t>
  </si>
  <si>
    <r>
      <rPr>
        <rFont val="Malgun Gothic"/>
        <color theme="1"/>
        <sz val="10.0"/>
      </rPr>
      <t>8.28.2</t>
    </r>
  </si>
  <si>
    <t>새로운 정보시스템의 도입이나 기존에 운영 중인 정보시스템의 중대한 변경시 분석ㆍ설계 단계에서 개인정보보호 및 보안측면에서 요구사항을 명확히 정의하여 설계에 반영하고 있습니까?</t>
  </si>
  <si>
    <t>8.28.3</t>
  </si>
  <si>
    <t>시큐어코딩 개발 보안 교육을 실시하고 있습니까?</t>
  </si>
  <si>
    <t>시큐어 코딩 개발가이드 배포 하며 교육 수행</t>
  </si>
  <si>
    <t>8.29</t>
  </si>
  <si>
    <t>개발 및 승인 시 보호 테스트</t>
  </si>
  <si>
    <t>보안 테스트 프로세스는 개발 수명 주기에서 정의되고 구현되어야 한다.</t>
  </si>
  <si>
    <t>8.29.1</t>
  </si>
  <si>
    <t>개발 기간 중 관련 법령 및 가이드를 준수하여 개발하고 테스트 단계에서 SW보안약점진단을 수행하고 있습니까?</t>
  </si>
  <si>
    <t>- 소스코드 취약점 진단 계획서</t>
  </si>
  <si>
    <t>8.29.2</t>
  </si>
  <si>
    <t>시스템 도입 및 업그레이드시의 이관기준에 따른 테스트가 수행된 후 이관하고 있습니까?</t>
  </si>
  <si>
    <t>8.30</t>
  </si>
  <si>
    <t>아웃소싱 개발</t>
  </si>
  <si>
    <t>조직은 아웃소싱 시스템 개발과 관련된 활동을 지시, 모니터링 및 검토해야 한다.</t>
  </si>
  <si>
    <t>8.30.1</t>
  </si>
  <si>
    <t>소프트웨어 아웃소싱 개발시 보안관리를 위해 정기적인 감독 및 모니터하고 있습니까?</t>
  </si>
  <si>
    <t>ㅇ 소프트웨어에 대한 아웃소싱을 수행하고 있지 않음</t>
  </si>
  <si>
    <t>8.31</t>
  </si>
  <si>
    <t>개발, 테스트 및 운영 환경의 분리</t>
  </si>
  <si>
    <t>개발, 테스트 및 운영 환경을 분리하여 확보한다.</t>
  </si>
  <si>
    <t>8.31.1</t>
  </si>
  <si>
    <t>개발과 운영환경을 분리하기 위해 운영 지침이 마련되어 있으며 실제 환경이 분리되어 있습니까?
1. 개발,테스트,운영환경 분리
2. 개발에서 운영환경으로의 이전 원칙 정의
3. 운영, 테스트, 개발시 서로 다른 로그온절차(패스워드, 인증화면) 사용하도록 정의</t>
  </si>
  <si>
    <t xml:space="preserve">ㅇ AWS 계정 분리를 통해 개발 및 운영 환경을 분리하여 관리 및 운영하고 있음
</t>
  </si>
  <si>
    <r>
      <rPr>
        <rFont val="Malgun Gothic"/>
        <color theme="1"/>
        <sz val="10.0"/>
      </rPr>
      <t>8.31.2</t>
    </r>
  </si>
  <si>
    <t>조직은 시스템의 전체 개발 생명주기를 포괄하는 시스템 개발 및 통합을 위해 안전한 개발 환경을 수립하고 있습니까?</t>
  </si>
  <si>
    <t>8.32</t>
  </si>
  <si>
    <t>변경 관리</t>
  </si>
  <si>
    <t>정보처리시설 및 정보시스템의 변경은 변경관리절차에 따라야 한다.</t>
  </si>
  <si>
    <t>8.32.1</t>
  </si>
  <si>
    <t>정보시스템 관련 자산들의 모든 변경사항을 반영할 수 있는 공식적인 관리절차와 책임을 설정하고 있는가?</t>
  </si>
  <si>
    <t xml:space="preserve">ㅇ 정보시스템 보안 지침을 통해 정보시스템 변경에 대한 이력을 관리
ㅇ Jira를 통해 정보시스템 변경에 대한 이력을 관리하고 있음
</t>
  </si>
  <si>
    <t>- 정보시스템 변경에 대한 관리 내역</t>
  </si>
  <si>
    <t>8.32.2</t>
  </si>
  <si>
    <t>정보시스템의 파괴와 손상을 최소화하기 위하여 공식적인 변경 통제 절차를 수립하고 이행하고 있습니까?</t>
  </si>
  <si>
    <t>8.32.3</t>
  </si>
  <si>
    <t>운영체제 변경이 필요한 경우 응용시스템의 운영이나 보안에 미치는 영향을 분석, 검토 및 테스트를 수행후 변경하도록 변경관리 절차에 명시되어 있습니까?</t>
  </si>
  <si>
    <t>8.32.4</t>
  </si>
  <si>
    <t>소프트웨어 및 패키지의 수정시 원본자료는 보관하고 복사본을 이용하며 변경전 사전 승인을 받고, 공급자의 동의를 얻으며 변경된 내용은 문서화하여 관리하고 있습니까? 또한 변경후 충분한 테스트를 수행한후 운영시스템에 적용하고 있습니까?</t>
  </si>
  <si>
    <t>8.33</t>
  </si>
  <si>
    <t>테스트 정보</t>
  </si>
  <si>
    <t>테스트 정보는 적절하게 선택, 보호 및 관리되어야 한다.</t>
  </si>
  <si>
    <t>8.33.1</t>
  </si>
  <si>
    <t>시험 데이터는 운영데이터에 준하여 보호하고 통제되고, 운영환경에 적용되는 접근통제가 시험환경에도 적용되고 있습니까?</t>
  </si>
  <si>
    <r>
      <rPr>
        <rFont val="Malgun Gothic"/>
        <color theme="1"/>
      </rPr>
      <t>ㅇ 테스트 데이터에 대한 보안 규정을 수립 및 운영하고 있음(응용프로그램 보안 지침)
ㅇ 운영데이터는 시험 데이터에 사용하고 있지 않음</t>
    </r>
    <r>
      <rPr>
        <rFont val="Malgun Gothic"/>
        <color rgb="FFFF0000"/>
      </rPr>
      <t xml:space="preserve">
</t>
    </r>
    <r>
      <rPr>
        <rFont val="Malgun Gothic"/>
        <color theme="1"/>
      </rPr>
      <t>ㅇ 매년 위험평가를 수행하고 위험평가 결과에 따른 이행 조치를 수행하고 지속적인 개선을 수행하고 있음</t>
    </r>
  </si>
  <si>
    <t>- 정보보호 규정 및 지침 결재 내역
- 요구사항 6.1 증적 동일(위험관리 계획서/결과서)</t>
  </si>
  <si>
    <t>8.34</t>
  </si>
  <si>
    <t>감사 테스트 중 정보시스템 보호</t>
  </si>
  <si>
    <t>운영 시스템의 평가와 관련된 감시 테스트 및 기타 보증 활동은 테스터와 적절한 경영진 간에 계획되고 합의되어야 한다.</t>
  </si>
  <si>
    <t>8.34.1</t>
  </si>
  <si>
    <t>정보보안정책의 시행여부를 확인하기위하여 정기적으로 보안감사를 실시하고 있습니까?</t>
  </si>
  <si>
    <t>ㅇ 정보보안 정책의 시행여부 확인을 위한 보안 감사 수행함</t>
  </si>
  <si>
    <t>- 감사 계획서 및 결과서</t>
  </si>
  <si>
    <t>8.34.2</t>
  </si>
  <si>
    <t>감사 지적 사항에 대한 조치 및 이행 여부를 사후관리 하고 있습니까?
(보안감사 결과 조치 확인 및 Feedback 방안의 적정성 확인)</t>
  </si>
  <si>
    <t>ㅇ 2025년 첫 감사를 수행하였으며 조치 및 이행여부를 관리할 예정</t>
  </si>
  <si>
    <t>구분</t>
  </si>
  <si>
    <t>분야</t>
  </si>
  <si>
    <t>상세항목 개수</t>
  </si>
  <si>
    <t>1차 GAP분석</t>
  </si>
  <si>
    <t>2차 GAP분석</t>
  </si>
  <si>
    <t>1차 이행률</t>
  </si>
  <si>
    <t>2차 이행률</t>
  </si>
  <si>
    <r>
      <rPr>
        <rFont val="Malgun Gothic"/>
        <color theme="1"/>
        <sz val="11.0"/>
      </rPr>
      <t>1차</t>
    </r>
    <r>
      <rPr>
        <rFont val="맑은 고딕"/>
        <color theme="1"/>
        <sz val="11.0"/>
      </rPr>
      <t xml:space="preserve"> 7월 25일 기준</t>
    </r>
  </si>
  <si>
    <t>양호</t>
  </si>
  <si>
    <t>부분양호</t>
  </si>
  <si>
    <t>취약</t>
  </si>
  <si>
    <t>N/A</t>
  </si>
  <si>
    <t>2차 8월 4일 기준</t>
  </si>
  <si>
    <t>5. 조직 통제</t>
  </si>
  <si>
    <t>총 계</t>
  </si>
  <si>
    <t>구분 별 점수</t>
  </si>
  <si>
    <t>GAP분석 보고서</t>
  </si>
  <si>
    <t>부분</t>
  </si>
  <si>
    <t>점검
결과</t>
  </si>
  <si>
    <t>정책 및 지침</t>
  </si>
  <si>
    <t>관련 근거</t>
  </si>
  <si>
    <t>관련 증적</t>
  </si>
  <si>
    <t>유관부서</t>
  </si>
  <si>
    <t>비고</t>
  </si>
  <si>
    <t>ㅇ 산업기술의 유출방지 및 보호에 관한 법률, 정보통신망 이용 촉진 및 정보보호 등에 관한 법률, 개인정보보호법 등 관련법규를 반영한 정보보호정책서 및 지침서에 따라 정보보호정책을 운영하고 있음
ㅇ 정보보안정책서는 정보보호 최고책임자의 승인하에 시행되고 있으며, 임직원에게 공지되고 있음</t>
  </si>
  <si>
    <t>ㅇ 정보보호지침(BH60-0006K)</t>
  </si>
  <si>
    <t>제 5 조  (법률 요구사항)</t>
  </si>
  <si>
    <t xml:space="preserve"> - 정보보호지침(BH60-0006K) 서문</t>
  </si>
  <si>
    <t xml:space="preserve"> - 김현도
 - 전재덕</t>
  </si>
  <si>
    <t xml:space="preserve"> - 법무팀
 - 경영혁신팀</t>
  </si>
  <si>
    <t xml:space="preserve">ㅇ 정보보호 지침은 최고경영진에 의해 승인되어 중대한 변경이 발생하는 경우 정보보호 위원회 및 실무협의회를 개최하여 검토하고 있음
</t>
  </si>
  <si>
    <t>제 10 조  (정보보호 최고책임자의 역할 및 책임)</t>
  </si>
  <si>
    <t xml:space="preserve"> - 001 [BSP][표준개정승인요청][BH60-0006K] 정보보호 지침
</t>
  </si>
  <si>
    <t xml:space="preserve"> - 김현도
 - 김학춘
 - 전재덕</t>
  </si>
  <si>
    <t xml:space="preserve"> - 법무팀
 - 경영혁신팀
 - 경영혁신팀</t>
  </si>
  <si>
    <t>ㅇ 정보보호 지침 및 개인정보보호 업무처리 규정을 모든 임직원과 관련자들이 확인할 수 있도록 업무지원포털에 게시하고 있음</t>
  </si>
  <si>
    <t>제 6 조  (정보보호 지침 제·개정)</t>
  </si>
  <si>
    <t xml:space="preserve"> - 5.1 업무지원포털 배포현황
 - 정보보호지침(BH60-0006K) 제 6 조 (정보보호 지침 제·개정)</t>
  </si>
  <si>
    <t>ㅇ 최초 제정 시 정책 및 관련문서의 적합성, 적절성, 유효성을 검토하여 작성되었음</t>
  </si>
  <si>
    <t xml:space="preserve"> - 02 보안요건 법률 매핑
 - 004. 개정 대조표(개인정보업무처리규정)</t>
  </si>
  <si>
    <r>
      <rPr>
        <rFont val="Malgun Gothic"/>
        <color theme="1"/>
        <sz val="11.0"/>
      </rPr>
      <t>5.1.5</t>
    </r>
  </si>
  <si>
    <t>ㅇ 유효성 검토 및 보안사고 발생시, 중대한 환경 변화 등이 있을 시 추가 검토에 대한 정책이 존재함
ㅇ 보안성 검토, 국제 표준 인증, 정보보호 수준 평가, 클라우드 업무환경 검토 등 정보보호에 필요한 사항들을 실무협의회를 진행하고 회의록을 기록하고 있음</t>
  </si>
  <si>
    <t>제 11 조  (정보보호 관리자의 역할 및 책임)</t>
  </si>
  <si>
    <t xml:space="preserve"> - 014 정보보호 실무협의회 회의록 2022.04.07
 - 014 정보보호 실무협의회 회의록 2022.07.20
 - 5.1.5_23_0706_정보보호실무협의회 회의록</t>
  </si>
  <si>
    <t>ㅇ 회사는 정보보호를 총괄하여 책임질 임직원을 정보보호 최고책임자를 자격요건을 검토하여 지정하도록 규정하고 있으며, CISO 지정 및 변경에 대한 신고 및 위촉 내역이 존재함</t>
  </si>
  <si>
    <t xml:space="preserve">ㅇ 정보보호지침(BH60-0006K)
ㅇ (개정) 정보보호 관리 기준(제조화학)_v1.0_(230106)
</t>
  </si>
  <si>
    <t>제 9 조  (정보보호 최고책임자 지정)
[붙임 #2] 정보보호 최고책임자 자격요건</t>
  </si>
  <si>
    <t xml:space="preserve">ㅇ 정보보호 관리자는 정보보호 담당 부서의 장이 담당하며 정보보호 최고책임자를 보좌하여 다음 각 호의 업무를 수행하도록 규정되어 있음 
1. 정보보호 지침의 제･개정
2. 정보보호 제반 업무 관리
3. 정보보호 점검 및 감사
4. 정보보호 현안에 대해 상시 정보보호 최고책임자에게 보고
5. 정보보호 최고책임자로부터 위임 받은 정보보호 업무 수행
6. 정보보호 연간 계획의 이행·관리 및 시행 여부 감독
7. 정보보호 실무협의회 논의∙조정 사항의 정보보호 최고책임자 보고 등
</t>
  </si>
  <si>
    <t xml:space="preserve"> - 정보보호지침(BH60-0006K) 제 11 조 (정보보호 관리자의 역할 및 책임)</t>
  </si>
  <si>
    <t xml:space="preserve">ㅇ 회사는 효율적인 정보보호 업무 수행을 위해 정보보호 최고책임자, 정보보호 관리자 및 정보보호 담당자로 구성된 정보보호 조직을 운영하며, 정보보호 담당자는 관리보안 담당자, IT보안 담당자, 물리보안 담당자로 구분하여 운영하고 있음.
 - 주요 직무자에 대한 조직 구성도 상세 현황(직급, 회사전화, E-Mail, 주요업무 등)이 존재함
</t>
  </si>
  <si>
    <t>ㅇ 정보보호지침(BH60-0006K)
ㅇ 정보보호지침(BH60-0006K)
ㅇ 정보보호지침(BH60-0006K)
ㅇ 정보보호지침(BH60-0006K)
ㅇ 정보보호지침(BH60-0006K)
ㅇ 정보보호지침(BH60-0006K)
ㅇ 정보보호지침(BH60-0006K)</t>
  </si>
  <si>
    <t>제 8 조  (정보보호 조직 운영)
제 10 조  (정보보호 최고책임자의 역할 및 책임)
제 11 조  (정보보호 관리자의 역할 및 책임)
제 12 조  (관리보안 담당자의 역할 및 책임)
제 13 조  (IT보안 담당자의 역할 및 책임)
제 14 조  (물리보안 담당자의 역할 및 책임)
제 15 조  (부서 정보보호 책임자, 실무자의 역할 및 책임)</t>
  </si>
  <si>
    <t xml:space="preserve"> - 014. 정보보호 조직 구성도 
 - 5.3.1_정보보호 주요 담당자 구성 및 연락망
 - 정보보호지침(BH60-0006K) 제 3장 정보보호 조직
</t>
  </si>
  <si>
    <t>ㅇ 규정에 따라 정보보호 관리 활동을 계획하는 체계가 존재하며, 매년 실적과 계획을 기획 업무와 운영 업무를 구분하여 문서화하여 관리하고 있음
ㅇ 원격 접속 보안 강화, 접근제어솔루션 도입, 보안 테마 정기점검 등에 관하여 관리 활동을 이어가고 있음</t>
  </si>
  <si>
    <t>제 7 조  (정보보호 활동 계획 수립)</t>
  </si>
  <si>
    <t xml:space="preserve"> - 007 (경영혁신팀) 정보보안 21년 실적 및 22년 계획
 - 5.3.2_정보보안 `22년 실적 및 `23년계획_23.02.06</t>
  </si>
  <si>
    <t xml:space="preserve"> - 김학춘
 - 전재덕</t>
  </si>
  <si>
    <t xml:space="preserve"> - 경영혁신팀
 - 경영혁신팀</t>
  </si>
  <si>
    <t>ㅇ 임직원 및 관련자(출입자, 면회자, 피교육자, 일용 근로자, 임시직) 등에 관하여 정책과 매뉴얼이 존재함</t>
  </si>
  <si>
    <t>ㅇ 정보보호지침(BH60-0006K)
ㅇ 정보보호지침(BH60-0006K)
ㅇ 정보보호지침(BH60-0006K)
ㅇ 정보보호지침(BH60-0006K)
ㅇ (재배포) 정보보호 양식 절차(제조화학)_v1.0_(230106)
ㅇ (재배포) 정보보호 양식 절차(제조화학)_v1.0_(230106)
ㅇ (재배포) 정보보호 양식 절차(제조화학)_v1.0_(230106)
ㅇ (재배포) 정보보호 양식 절차(제조화학)_v1.0_(230106)</t>
  </si>
  <si>
    <t>제 18 조  (정보보호 서약서 징구 및 보관)
제 26 조  (퇴직 시 보호조치)
제 30 조  (정보보호 서약서 징구)
제 35 조  (정보보호 서약서 징구)
[별첨 #1] 임직원 정보보호서약서
[별첨 #3] 퇴직자 정보보호 서약서
[별첨 #5] 협력업체 인원 정보보호서약서(투입 시)
[별첨 #6] 협력업체 인원 정보보호서약서(종료 시)</t>
  </si>
  <si>
    <t xml:space="preserve"> - 정보보호지침(BH60-0006K) 제 18 조  (정보보호 서약서 징구 및 보관)
 - 정보보호지침(BH60-0006K) 제 26 조  (퇴직 시 보호조치)
 - 정보보호지침(BH60-0006K) 제 30 조  (정보보호 서약서 징구)
 - 정보보호지침(BH60-0006K) 제 35 조  (정보보호 서약서 징구)
 - [별첨 #1] 임직원 정보보호서약서
 - [별첨 #3] 퇴직자 정보보호 서약서
 - [별첨 #5] 협력업체 인원 정보보호서약서(투입 시)
 - [별첨 #6] 협력업체 인원 정보보호서약서(종료 시)</t>
  </si>
  <si>
    <t xml:space="preserve"> - 김학춘
 - 전재덕
 - 설승현</t>
  </si>
  <si>
    <t xml:space="preserve"> - 경영혁신팀
 - 경영혁신팀
 - 인사지원팀</t>
  </si>
  <si>
    <t xml:space="preserve">ㅇ 정보보호 유관 법률에 따라 정보보호 사고 내용을 정보보호 유관 기관으로 비상연락망을 통해 보고하고 있음
</t>
  </si>
  <si>
    <t xml:space="preserve">ㅇ 정보보호지침(BH60-0006K)
ㅇ 정보보호지침(BH60-0006K)
ㅇ (개정) 정보보호 관리 기준(제조화학)_v1.0_(230106)
</t>
  </si>
  <si>
    <t xml:space="preserve">제 63 조  (사고 조사)
제 64 조  (사고 보고)
[붙임 #12] 위기경보 발령 및 침해사고 대응
</t>
  </si>
  <si>
    <t xml:space="preserve"> - 5.5.1_정보보호 유관기관 및 담당자 비상연락망</t>
  </si>
  <si>
    <t>ㅇ 계열사 한화시스템을 통해 관제 서비스를 받고 있고, 정기적인 ISS 보고서를 통해 보안 동향, 침해예방활동(KISA, 금융보안원) 등 제조계열사 해킹 공격 현황을 대응하고 있음</t>
  </si>
  <si>
    <t xml:space="preserve">ㅇ 정보보호지침(BH60-0006K)
</t>
  </si>
  <si>
    <t xml:space="preserve">제 62 조  (사고 인지)
</t>
  </si>
  <si>
    <t xml:space="preserve"> - 127. 한화테크윈_2022_07 ISS 보고서
 - 한화비전_2023_05 ISS보고서</t>
  </si>
  <si>
    <t xml:space="preserve">ㅇ 정보보안센터는 Hanwha Alert(이하 'HA') 위기경보를 발령하기 위하여 Intelligence를 확인하고 사고유형을 분류하여 보안장비를 통한 차단 가능성 여부 및 침해사고 흔적을 추적하여 위기상황에 적합한 단계를 검토하도록 체계를 운영하고 있으며, 분석 정보를 활용한 대응계획 및 보안대책을 수립하고 있음
ㅇ 한화시스템ICT로 부터 ISS 보안 서비스를 제공 받아 정보보호 위협 공격에 대한 분석 및 방어 전략을 문서화하여 공유하고 있음
 - Intelligence Portal, Telegram Alert에 게시 및 배포
 - 외부동향 위협 이메일 전송(위험도 하) 및 SMS 전송(위험도 상)
※ 한화시스템ICT는 ISO27000, ISO27001, ISO27017 인증을 받아, 통제항목을 준수하고 있음
</t>
  </si>
  <si>
    <t>ㅇ 정보보호지침(BH60-0006K)
ㅇ (개정) 정보보호 관리 기준(제조화학)_v1.0_(230106)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(재배포) 정보보호 양식 절차(제조화학)_v1.0_(230106)</t>
  </si>
  <si>
    <t>제 63 조  (사고 조사)
[붙임 #12] 위기경보 발령 및 침해사고 대응
[별첨 #12] 위기경보에 따른 침해사고 유형 및 상황
[별첨 #13] 침해사고 보고 체계 및 주요내용
[별첨 #14] 침해사고 보고 대응 절차 및 체계
[별첨 #19] 티켓 발생 보고서
[별첨 #20] 악성코드 조치 결과 보고서
[별첨 #21] 데이터 외부 전송 사후 소명서</t>
  </si>
  <si>
    <t xml:space="preserve"> - 127. 한화테크윈_2022_07 ISS 보고서
 - 한화비전_2023_05 ISS보고서
 - 한화비전_보안월간보고_2023년5월
 - ISS 보안서비스 위협인텔리전스
 - 한화시스템(ISO27001) - IS 707803
 - 한화시스템(ISO20000) - ITMS 707805
 - 한화시스템(ISO27017) - CLOUD 707804
 - 5.7.1_ISS월간보고서_2306</t>
  </si>
  <si>
    <t xml:space="preserve"> ㅇ 협력업체 보안 관리 기준을 두어 I. 관리적 보호조치 II. 물리적 보호조치 III. 기술적 보안조치 IV. 협력업체 인원 대상 정보보호 통제 정책 적용 사례를 두어 정보보호를 위한 보안대책을 다루고 있으며 프로젝트 투입시 보안서약서를 징구하고 있음</t>
  </si>
  <si>
    <t>ㅇ 정보보호지침(BH60-0006K)
ㅇ 정보보호지침(BH60-0006K)
ㅇ (개정) 정보보호 관리 기준(제조화학)_v1.0_(230106)
ㅇ (재배포) 정보보호 양식 절차(제조화학)_v1.0_(230106)
ㅇ (재배포) 정보보호 양식 절차(제조화학)_v1.0_(230106)
ㅇ (재배포) 정보보호 양식 절차(제조화학)_v1.0_(230106)</t>
  </si>
  <si>
    <t>제 27 조  (계약 체결)
제 29 조  (업무환경 보안)
[붙임 #4] 협력업체 보안 관리 기준
[별첨 #4] 정보보호 특약서
[별첨 #5] 협력업체 인원 정보보호서약서(투입 시)
[별첨 #6] 협력업체 인원 정보보호서약서(종료 시)</t>
  </si>
  <si>
    <t xml:space="preserve"> - [붙임 #4] 협력업체 보안 관리 기준
 - [별첨 #4] 정보보호 특약서
 - [별첨 #5] 협력업체 인원 정보보호서약서(투입 시)
 - [별첨 #6] 협력업체 인원 정보보호서약서(종료 시)</t>
  </si>
  <si>
    <t xml:space="preserve">ㅇ 정보보호 담당자는 정보시스템 신규 구축 및 변경 시 정보시스템 설계·구현·시험·이관 단계까지 일관성 있게 적용될 수 있도록 정보보호 요구사항을 정의하고 있으며, 정보시스템 신규 구축 및 변경 프로젝트 발주 시 정보시스템의 법적 준수 및 안전성 확보를 위해 정보보호 요구사항 등을 제안요청서에 명시하도록 규정되어 있음.
1. 정보보호 유관 법률 준수를 위한 요구사항
2. 회사의 정보보호 정책·지침 및 하위 문서
3. 최신 보안 취약점 및 그 외 정보보호 관련 사항 등
</t>
  </si>
  <si>
    <t>ㅇ 정보보호지침(BH60-0006K)
ㅇ 정보보호지침(BH60-0006K)</t>
  </si>
  <si>
    <t>제 132 조  (정보보호 요구사항 정의)
제 133 조  (제안요청서 명시)</t>
  </si>
  <si>
    <t xml:space="preserve">ㅇ 정보자산 소유부서에 따라 정보자산 현황 변경(신규 도입, 변경, 폐기 등)에 대해 정보자산 목록을 최신으로 유지하고 있으며, 식별된 자산을 정보자산 유형, 정보자산 식별번호, 정보자산 명, 용도, 관리부서, 책임자 및 담당자, 중요도 평가, 보호 등급 등을 반영하여 자산관리대장 또는 자산관리시스템을 통해 관리하고 있음
ㅇ 한화비전은 정보자산에 대하여 한화시스템ICT의 유지보수 서비스를 제공받고 있고, 한화시스템ICT는 정보자산에 대해서  H-ITAM시스템(자산관리시스템)을 통한 자산 관리가 이루어지고 있음
※ 한화시스템ICT는 ISO27000, ISO27001, ISO27017 인증을 받아, 통제항목을 준수하고 있음
</t>
  </si>
  <si>
    <t>ㅇ 정보보호지침(BH60-0006K)
ㅇ (재배포) 정보보호 양식 절차(제조화학)_v1.0_(230106)</t>
  </si>
  <si>
    <t>제 37 조  (정보자산 식별)
[별첨 #7] 자산 관리대장</t>
  </si>
  <si>
    <t xml:space="preserve"> - IT자산관리시스템(H-ITAM)_사용자매뉴얼_3.자산구성관리_v1.0
 - IT자산관리시스템(H-ITAM) IT자산관리 범위
 - IT자산관리시스템(H-ITAM)_사용자 교육 실사 계획 p1 ~ p10
 - 한화시스템(ISO27001) - IS 707803
 - 한화시스템(ISO20000) - ITMS 707805
 - 한화시스템(ISO27017) - CLOUD 707804
 - ITAM 전체
 - ITAM 자산상세
 - ITAM 폐기자산
 - ITAM 라이프사이클
 - 비전_ 자산관리대장_ISO27001_230725</t>
  </si>
  <si>
    <t xml:space="preserve">ㅇ 금년도 컨설팅을 통해 전자정보, 정보시스템, 정보보호시스템, 물리자산 등 재분류하였으며, 정보자산 중요도 평가 기준에 따라 중요도 평가를 실시하고 그 결과에 따라 정보자산 보호 등급을 분류하였음
</t>
  </si>
  <si>
    <t>ㅇ 정보보호지침(BH60-0006K)
ㅇ 정보보호지침(BH60-0006K)
ㅇ (개정) 정보보호 관리 기준(제조화학)_v1.0_(230106)
ㅇ (개정) 정보보호 관리 기준(제조화학)_v1.0_(230106)
ㅇ (개정) 정보보호 관리 기준(제조화학)_v1.0_(230106)
ㅇ (재배포) 정보보호 양식 절차(제조화학)_v1.0_(230106)</t>
  </si>
  <si>
    <t>제 36 조  (정보자산 분류)
제 38 조  (중요도 평가)
[붙임 #5] 정보자산 분류 기준
[붙임 #6] 정보자산 중요도 평가 기준
[붙임 #7] 중요정보 유통 시 보안 관리 기준
[별첨 #7] 자산 관리대장</t>
  </si>
  <si>
    <t xml:space="preserve"> - 한화시스템(ISO27001) - IS 707803
 - 한화시스템(ISO20000) - ITMS 707805
 - 한화시스템(ISO27017) - CLOUD 707804
 - 비전_ 자산관리대장_ISO27001_230725</t>
  </si>
  <si>
    <t>ㅇ 자산목록 관리를 통해 정보자산에 대한 소유자, 관리자, 책임자에 대한 분류가 이루어지고 있으며, 정보자산에 책임자 실물 표기를 하고 있음
※ 한화시스템ICT는 ISO27000, ISO27001, ISO27017 인증을 받아, 통제항목을 준수하고 있음</t>
  </si>
  <si>
    <t>ㅇ 정보보호지침(BH60-0006K)
ㅇ 정보보호지침(BH60-0006K)
ㅇ 정보보호지침(BH60-0006K)
ㅇ 정보보호지침(BH60-0006K)
ㅇ 정보보호지침(BH60-0006K)
ㅇ (개정) 정보보호 관리 기준(제조화학)_v1.0_(230106)
ㅇ (개정) 정보보호 관리 기준(제조화학)_v1.0_(230106)
ㅇ (개정) 정보보호 관리 기준(제조화학)_v1.0_(230106)
ㅇ (재배포) 정보보호 양식 절차(제조화학)_v1.0_(230106)</t>
  </si>
  <si>
    <t>제 36 조  (정보자산 분류)
제 37 조  (정보자산 식별)
제 38 조  (중요도 평가)
제 39 조  (정보자산 보호 등급 부여)
제 40 조  (정보자산 최신화)
[붙임 #5] 정보자산 분류 기준
[붙임 #6] 정보자산 중요도 평가 기준
[붙임 #7] 중요정보 유통 시 보안 관리 기준
[별첨 #7] 자산 관리대장</t>
  </si>
  <si>
    <t xml:space="preserve">ㅇ 자산목록 관리를 통해 정보자산 별로 평가기준, 사용목적을 규정하고 관리번호를 부여하고 있음
</t>
  </si>
  <si>
    <t xml:space="preserve">ㅇ 정보자산의 보안등급별 취급절차를 등급 및 표시기준에 따라 규정하고 있음
※ 한화시스템ICT는 ISO27000, ISO27001, ISO27017 인증을 받아, 통제항목을 준수하고 있음
</t>
  </si>
  <si>
    <t xml:space="preserve">ㅇ 정보보호지침(BH60-0006K)
ㅇ (개정) 정보보호 관리 기준(제조화학)_v1.0_(230106)
ㅇ (개정) 정보보호 관리 기준(제조화학)_v1.0_(230106)
ㅇ (개정) 정보보호 관리 기준(제조화학)_v1.0_(230106)
ㅇ (재배포) 정보보호 양식 절차(제조화학)_v1.0_(230106)
</t>
  </si>
  <si>
    <t xml:space="preserve">제 6 장 정보자산 관리
[붙임 #5] 정보자산 분류 기준
[붙임 #6] 정보자산 중요도 평가 기준
[붙임 #7] 중요정보 유통 시 보안 관리 기준
[별첨 #7] 자산 관리대장
</t>
  </si>
  <si>
    <t xml:space="preserve"> - 정보보호지침(BH60-0006K) 제 6 장 정보자산 관리
 - [붙임 #5] 정보자산 분류 기준
 - [붙임 #6] 정보자산 중요도 평가 기준
 - [붙임 #7] 중요정보 유통 시 보안 관리 기준
 - [별첨 #7] 자산 관리대장
 - 한화시스템(ISO27001) - IS 707803
 - 한화시스템(ISO20000) - ITMS 707805
 - 한화시스템(ISO27017) - CLOUD 707804</t>
  </si>
  <si>
    <t xml:space="preserve">ㅇ 직원 및 협력업체의 계약 등의 종료와 함께 자산을 반환하도록 반출 시 자산반출신청서를 작성하고 반출증을 등록하고 있음
</t>
  </si>
  <si>
    <t>ㅇ 정보보호지침(BH60-0006K)
ㅇ 정보보호지침(BH60-0006K)
ㅇ (개정) 정보보호 관리 기준(제조화학)_v1.0_(230106)
ㅇ (개정) 정보보호 관리 기준(제조화학)_v1.0_(230106)
ㅇ (재배포) 정보보호 양식 절차(제조화학)_v1.0_(230106)
ㅇ (재배포) 정보보호 양식 절차(제조화학)_v1.0_(230106)
ㅇ (재배포) 정보보호 양식 절차(제조화학)_v1.0_(230106)</t>
  </si>
  <si>
    <t>제 4 장  인원 보안 제 3 절  퇴직 시 보호조치
제 5 장  협력업체 보안 제 2 절  사업 종료 시 보호조치
[붙임 #3] 퇴직 예정자 보안관리 기준
[붙임 #4] 협력업체 보안 관리 기준
[별첨 #2] 정보유출 방지 각서
[별첨 #3] 퇴직자 정보보호 서약서
[별첨 #6] 협력업체 인원 정보보호서약서(종료 시)</t>
  </si>
  <si>
    <t xml:space="preserve"> - 한화시스템(ISO27001) - IS 707803
 - 한화시스템(ISO20000) - ITMS 707805
 - 한화시스템(ISO27017) - CLOUD 707804
 - 자산반출신청
 - 전산기기 사용자 변경 신청서
 - 전산기기지급대장
 - 비전_ 자산관리대장_ISO27001_230725
 - 068. 업무지원포털-반출입 관리대장</t>
  </si>
  <si>
    <t xml:space="preserve"> - 전재덕 </t>
  </si>
  <si>
    <t xml:space="preserve"> - 경영혁신팀</t>
  </si>
  <si>
    <t>ㅇ 정보자산에 대해서 기밀성, 무결성, 가용성을 기준으로 증요도가 평가되고 있으며, 각 주제별 자산의 가치에 따라 사용 목적을 구분하는 기준이 마련되어 있음</t>
  </si>
  <si>
    <t>ㅇ 정보보호지침(BH60-0006K)
ㅇ (개정) 정보보호 관리 기준(제조화학)_v1.0_(230106)
ㅇ (개정) 정보보호 관리 기준(제조화학)_v1.0_(230106)
ㅇ (개정) 정보보호 관리 기준(제조화학)_v1.0_(230106)
ㅇ (재배포) 정보보호 양식 절차(제조화학)_v1.0_(230106)</t>
  </si>
  <si>
    <t>제 6 장  정보자산 관리
[붙임 #5] 정보자산 분류 기준
[붙임 #6] 정보자산 중요도 평가 기준
[붙임 #7] 중요정보 유통 시 보안 관리 기준
[별첨 #7] 자산 관리대장</t>
  </si>
  <si>
    <t xml:space="preserve"> - [붙임 #5] 정보자산 분류 기준
 - [붙임 #6] 정보자산 중요도 평가 기준</t>
  </si>
  <si>
    <t xml:space="preserve">ㅇ 자산목록에 정보자산의 보안등급을 작성하여 관리하고 있음
</t>
  </si>
  <si>
    <t>ㅇ 정보의 교환시 교환정책, 절차, 통제, 암호화 등 규정이 수립되어 있음</t>
  </si>
  <si>
    <t>제 11 장  정보시스템 보안 관리 제 2 절  네트워크 장비 보안
제 152 조  (네트워크 전송 시)</t>
  </si>
  <si>
    <t xml:space="preserve"> - 정보보호지침(BH60-0006K) 제 11 장 정보시스템 보안 관리 제 2 절 네트워크 장비 보안
 - 정보보호지침(BH60-0006K) 제 152 조 (네트워크 전송 시)</t>
  </si>
  <si>
    <t>ㅇ 정보 등에 대한 교환에 관한 서약서를 작성하도록 규정되어 있음</t>
  </si>
  <si>
    <t>ㅇ 정보보호지침(BH60-0006K)
ㅇ 정보보호지침(BH60-0006K)
ㅇ 정보보호지침(BH60-0006K)
ㅇ 정보보호지침(BH60-0006K)</t>
  </si>
  <si>
    <t xml:space="preserve">제 93 조  (본사와 사업장 연결)
제 94 조  (네트워크 분리 운영)
제 96 조  (내부망 접속 시 보호조치) 
제 152 조  (네트워크 전송 시)
</t>
  </si>
  <si>
    <t xml:space="preserve"> - SSLVPN 관리자 ACL
 - 웹키퍼 관리자 ACL
 - 방화벽,VPN 장비_관리자 ACL
</t>
  </si>
  <si>
    <t>ㅇ 지능화되는 악성 메일에 대한 대책으로 정기적으로 해킹메일 대응 훈련을 통해 보안 인식을 제고하고, 유사사고 발생을 사전에 예방하고 있음</t>
  </si>
  <si>
    <t>ㅇ 정보보호지침(BH60-0006K)
ㅇ 정보보호지침(BH60-0006K)
ㅇ 정보보호지침(BH60-0006K)
ㅇ (개정) 정보보호 관리 기준(제조화학)_v1.0_(230106)</t>
  </si>
  <si>
    <t>제 11 장  정보시스템 보안 관리 제 2 절  네트워크 장비 보안
제 125 조  (이메일 보안 통제)
제 152 조  (네트워크 전송 시)
[붙임 #23] 이메일 보안 기준</t>
  </si>
  <si>
    <t xml:space="preserve"> - 039. 22상_한화테크윈_이메일 모의훈련결과(ICT)_ 요약
 - 039. KISA 22년상반기 이메일 모의훈련 결과_220613(요약)
 - 040. 상반기 해킹 메일 대응 연습 결과 공지
 - 23년도_상반기_해킹메일 훈련결과보고서_한화비전
 - 23년 메일 훈련 위반 임직원 리스트
 - 5.14.3_23년 상반기 해킹메일 대응연습 실시결과 보고 품의</t>
  </si>
  <si>
    <t>ㅇ 정보시스템 및 네트워크의 접근통제 정책을 규정하여 문서화 하였음</t>
  </si>
  <si>
    <t>ㅇ 정보보호지침(BH60-0006K)
ㅇ 정보보호지침(BH60-0006K)
ㅇ 정보보호지침(BH60-0006K)
ㅇ 정보보호지침(BH60-0006K)
ㅇ 정보보호지침(BH60-0006K)
ㅇ 정보보호지침(BH60-0006K)</t>
  </si>
  <si>
    <t>제 76 조  (접근통제)
제 87 조  (서버 접근통제)
제 91 조  (네트워크 접근통제)
제 100 조  (데이터베이스 접근통제)
제 103 조  (정보보호 시스템 접근통제)
제 109 조  (접근통제)</t>
  </si>
  <si>
    <t xml:space="preserve"> - 정보보호지침(BH60-0006K) 제 76 조  (접근통제)
 - 정보보호지침(BH60-0006K) 제 87 조  (서버 접근통제)
 - 정보보호지침(BH60-0006K) 제 91 조  (네트워크 접근통제)
 - 정보보호지침(BH60-0006K) 제 100 조 (데이터베이스 접근통제)
 - 정보보호지침(BH60-0006K) 제 103 조 (정보보호 시스템 접근통제)
 - 정보보호지침(BH60-0006K) 제 109 조 (접근통제)</t>
  </si>
  <si>
    <t>ㅇ 한화시스템ICT 및 업무지원포털, 하이웨어 등을 통해 정보시스템별 접근 통제가 이루어지고 있음</t>
  </si>
  <si>
    <t>ㅇ 정보보호지침(BH60-0006K)
ㅇ 정보보호지침(BH60-0006K)
ㅇ 정보보호지침(BH60-0006K)</t>
  </si>
  <si>
    <t>제 100 조  (데이터베이스 접근통제)
제 103 조  (정보보호 시스템 접근통제)
제 109 조  (접근통제)</t>
  </si>
  <si>
    <t xml:space="preserve"> - 085. 서버접근통제,계정관리
 - 096. 접근제어 보고서
 - 100. 네트워크 정책(인터넷차단예외_방화벽_원격접속) 현황 검토 내역
 - 109. DB접근제어_로그
 - 109. DB접근제어_통제
 - 109. 데이터베이스 접근통제
 - (IMS) 별첨2.한화테크윈_사용자계정현황_OS_202208
 - (IMS) 별첨3.한화테크윈_사용자계정현황_DB_202208
 - 방화벽 등록 신청서
 - 5.15.2 장비접근제어설정(NW)
 - 5.15.2 접근제어솔루션(NW)</t>
  </si>
  <si>
    <t xml:space="preserve"> - 신장중
 - 유인선
 - 최승우
 - 김학춘
 - 전재덕</t>
  </si>
  <si>
    <t xml:space="preserve"> - 경영혁신팀(인프라)
 - 경영혁신팀(인프라
 - ICT
 - 경영혁신팀
 - 경영혁신팀</t>
  </si>
  <si>
    <t>ㅇ 한화비전은 한화시스템ICT로부터 계약을 통해 정보 자산에 대한 접근에 대해서 모니터링 서비스와 접근통제 정책에 주기적인 검토 결과를 월별로 보고서의 형태로 제공받고 있음</t>
  </si>
  <si>
    <t xml:space="preserve"> - 085. 서버접근통제,계정관리
 - 096. 접근제어 보고서
 - 100. 네트워크 정책(인터넷차단예외_방화벽_원격접속) 현황 검토 내역
 - 109. DB접근제어_로그
 - 109. DB접근제어_통제
 - 109. 데이터베이스 접근통제
 - 한화비전_접속로그_DB_202306
 - 한화비전_접속로그_OS_202306</t>
  </si>
  <si>
    <t xml:space="preserve"> - 085. 서버접근통제,계정관리
 - 109. 데이터베이스 접근통제
 - 109. DB접근제어_통제
 - 123. 관리자 페이지 보호조치 내역
 - (AMS)한화비전외2사_월간운영현황보고_2023년06월_전체
 - (IMS) 민수4사_월간운영현황보고_2023년 6월
 - (IMS) 별첨1.민수4사_월간운영현황보고_2023년 6월</t>
  </si>
  <si>
    <t>ㅇ 한화비전은 한화시스템ICT로부터 계약을 통해 사용자 계정 현황과 IP 할당 내역에 관하여 월별로 보고서의 형태로 제공받고 있음</t>
  </si>
  <si>
    <t xml:space="preserve">ㅇ 정보보호지침(BH60-0006K)
</t>
  </si>
  <si>
    <t>제 90 조  (IP주소 체계 관리)</t>
  </si>
  <si>
    <t xml:space="preserve"> - SSLVPN 관리자 ACL
 - 웹키퍼 관리자 ACL
 - 방화벽,VPN 장비_관리자 ACL
 - 한화비전_DBMS_계정현황_DB_202306
 - 한화비전_DBSAFER_사용자계정현황_DB_202306
 - 한화비전_사용자계정현황_OS_202306</t>
  </si>
  <si>
    <t>ㅇ 정보보호지침에 보안 유지를 위해 네트워크 운영 담당자가  로그인 시 법적인 처벌이 가능하다는 경고 문구를 적용, 이석 관련 정책 적용, IP기반 접근 제한 등 정보보호 요구 사항을 설정 및 구현하고 있음
ㅇ 네트워크 원격 접속시 VDI 및 VPN 신청을 해야하고, 사용자는 IP주소를 할당 받아 사용하고자 하는 네트워크 영역에 대한 신청 및 승인을 통해 접근 통제가 이루어지고 있음
ㅇ 노후된 네트워크에 대해서 교체를 진행하고 있으면 올해 10월까지 서버팜에 대한 재구축이 진행될 예정으로 지속적으로 보안유지를 위해 접근 통제 및 네트워크 보안 업무를 수행하고 있음</t>
  </si>
  <si>
    <t>제 91 조  (네트워크 접근통제)</t>
  </si>
  <si>
    <t xml:space="preserve"> - 098. 판교사업장 서버팜 분리 추진_20220811
 - 100. 네트워크 정책(인터넷차단예외_방화벽_원격접속) 현황 검토 내역
 - VDI 신청서(원격근무)(양식)
 - 모바일기기 WIFI 서비스 신청서(양식)
 - 무선 AP 등록 신청서(WIPS)(양식)
 - 방화벽 등록 신청서(양식)
 - 보안 SW 미설치 PC 네트워크 접속 신청(양식)
 - 업무용 Network 장비 신청서(양식)
 - 유무선 IP주소 및 LAN Cable 설치신청서(양식)
 - 해외임직원VPN신청서(원격근무)(양식)
 - 비전_VDI 원격접속 현황_20230703
 - 202. VDI 화면
 - 5.15.6_노후네트워크교체 계획
 - 5.15.6_노후네트워크교체 품의</t>
  </si>
  <si>
    <t xml:space="preserve"> - 최승우
 - 김학춘
 - 황한진
 - 전재덕</t>
  </si>
  <si>
    <t xml:space="preserve"> - ICT
 - 경영혁신팀
 - 경영혁신팀
 - 경영혁신팀</t>
  </si>
  <si>
    <t xml:space="preserve">ㅇ SSO 및 SLO 기반으로 각 시스템 접근 권한은 시스템별 운영을 담당하고 있는 운영담당자만 가지고 있으며, 일반 사용자는 접근 불가하고, 운영담당자 또한 담당에 따라 사용 권한을 달리 부여하여 통제가 이루어지고 있음
ㅇ 채용 발령시 계정 생성 및 임직원 공통 권한 부여하고, admin 권한 소유자가 추가 권한 부여하도록 시스템을 운영하고 있으며, 채용 취소 발령시 계정을 삭제하고 있음
</t>
  </si>
  <si>
    <t>ㅇ 정보보호지침(BH60-0006K)
ㅇ 정보보호지침(BH60-0006K)
ㅇ (재배포) 정보보호 양식 절차(제조화학)_v1.0_(230106)</t>
  </si>
  <si>
    <t>제 71 조  (사용자 계정 생성)
제 72 조  (사용자 계정 관리)
[별첨 #15] 사용자 계정 및 접근권한 등록</t>
  </si>
  <si>
    <t xml:space="preserve"> - DB 계정 신청서(양식)
 - 서버 계정 신청서(접근제어 포함)(양식)
 - 그룹웨어(서클) 가입신청서 및 연장신청서(협력사용)(양식)
 - 그룹웨어(서클) 가입신청서(양식)
 - 5.16.1 계정관리(BSP)
 - 5.16.1 계정관리화면(HPLM)
 - 5.16.1 인증정보 - IAM 시스템(ERP-EDP)
 - 5.16.1 계정관리화면(SCM)
 - 5.16.1.계정 관리(HR)
 - 5.16.1_계정관리_그룹웨어
 - 5.16.1 계정관리 OTP 인증 리스트(인프라)
 - 5.16.1 전자결재를 통한 계정신청(인프라)
 - 5.16.1 계정관리화면(OPS)</t>
  </si>
  <si>
    <t xml:space="preserve"> - 한주원 사원
 - 최승우
 - 이근홍
 - 한승희 과장
 - 이예진 사원
 - 김윤기 대리
 - 신장중
 - 유인선
 - 오국경 과장
</t>
  </si>
  <si>
    <t xml:space="preserve"> - 경영혁신팀(BSP)
 - ICT
 - S-ERP
 - 경영혁신팀(SCM)
 - 경영혁신팀(HR)SS3팀 
 - 경영혁신팀(그룹웨어)
 - 경영혁신팀(인프라)
 - 경영혁신팀(인프라)
 - 경영혁신팀(OPS)</t>
  </si>
  <si>
    <t>ㅇ 사용자의 계정 및 관리, 패스워드 관리 정책을 통해 임직원, 정보시스템 운영담당자, 협력업체의 사용자 계정 및 접근권한 관리 프로세스를 통제하고 있음</t>
  </si>
  <si>
    <t>제 71 조  (사용자 계정 생성)
제 72 조  (사용자 계정 관리)
제 73 조  (사용자 패스워드 관리)
[별첨 #15] 사용자 계정 및 접근권한 등록</t>
  </si>
  <si>
    <t xml:space="preserve"> - 정보보호지침(BH60-0006K) 제 71 조 (사용자 계정 생성)
 - 정보보호지침(BH60-0006K) 제 72 조 (사용자 계정 관리)
 - 정보보호지침(BH60-0006K) 제 73 조 (사용자 패스워드 관리)
 - [별첨 #15] 사용자 계정 및 접근권한 등록</t>
  </si>
  <si>
    <t xml:space="preserve">ㅇ 한화시스템ICT 및 DBSAFER, 하이웨어 등을 통해 비밀 인증정보 사용에 관련된 로그를 [붙임 #15] 정보시스템 로그 관리에 따라 사용자 계정 기록, 권한변경 기록, 접속기록, 운영기록을 남기고 있음
</t>
  </si>
  <si>
    <t>ㅇ 정보보호지침(BH60-0006K)
ㅇ 정보보호지침(BH60-0006K)
ㅇ (개정) 정보보호 관리 기준(제조화학)_v1.0_(230106)</t>
  </si>
  <si>
    <t>제 79 조  (로그 보관)
제 80 조  (로그 점검)
[붙임 #15] 정보시스템 로그 관리</t>
  </si>
  <si>
    <t xml:space="preserve"> - (IMS) 별첨4.한화테크윈_접속로그_OS_202208
 - (IMS) 별첨5.한화테크윈_접속로그_DB_202208
 - 5.17.2 서비스(BSP) 로그기록
 - 5.17.2 서비스(HPLM) 로그 증적
 - 5.17.2 인증정보 - 사용자관리(ERP-EDP)
 - 5.17.2 서비스(SCM) 로그증적
 - 5.17.2 인증정보 사용로그(HR)
 - 5.17.2_계정관리_그룹웨어
 - 5.17.2 OTP 2차인증(인프라)
 - 5.17.2 권한변경 기록(인프라)
 - 5.17.2 사용자 계정 기록(인프라)
 - 5.17.2 서버 접속 기록(인프라)
 - 5.17.2 서비스(OPS)로그 증적
 - 5.17.2 하이웨어 장비접근기록(NW)
</t>
  </si>
  <si>
    <t xml:space="preserve"> - 한주원 사원
 - 최승우
 - 이근홍
 - 한승희 과장
 -  이예진 사원
 - 김윤기 대리
 - 신창중
 - 유인선
 - 오국경 과장</t>
  </si>
  <si>
    <t xml:space="preserve"> - 경영혁신팀(BSP)
 - ICT
 - S-ERP
 - 경영혁신팀(SCM)
 - 경영혁신팀(HR)SS3팀
 - 경영혁신팀(그룹웨어)
 - 경영혁신팀(인프라)
 - 경영혁신팀(인프라)
 - 경영혁신팀(OPS)</t>
  </si>
  <si>
    <t>ㅇ 그룹웨어에 대한 계정 및 비밀번호로 인증하여 추가적으로 OTP 인증을 받은 후에 접속이 가능함. 
 1. 로그인 실패횟수 제한 (5회)
 2. 접속 유지기간 제한 (30분 이내)
 3. 동시 접속 제한(인스턴스별 분리하여 세션 공유 불가)
 4. 불법 로그인 시도 경고(외부 접속 시 2factor 인증 배너)
ㅇ 일부 정보시스템 개별적으로 유지기간을 제한하고 있음
 - SCM : 24시간
ㅇ 이외 정보시스템도 강화된 인증 절차가 목적에 맞게 적용되고 있음</t>
  </si>
  <si>
    <t xml:space="preserve">제 71 조  (사용자 계정 생성)
제 72 조  (사용자 계정 관리)
제 73 조  (사용자 패스워드 관리)
제 96 조  (내부망 접속 시 보호조치) 
</t>
  </si>
  <si>
    <t xml:space="preserve"> - 5.17.3.강화인증(HR)
 - 5.17.3.추가인증및보안정책_그룹웨어
 - 5.17.3 패스워드 정책 (인프라)
 - 5.17.3 추가보호대책(강화인증 등) 증적(OPS)
 - 5.17.3 장비 접속 제한 및 otp(NW)</t>
  </si>
  <si>
    <t xml:space="preserve"> - 한주원 사원
 - 한승희 과장
 - 이예진 사원
 - 김윤기 대리
 - 오국경 과장
 - 최승우</t>
  </si>
  <si>
    <t xml:space="preserve"> - 경영혁신팀(BSP)
 - 경영혁신팀(SCM)
 - 경영혁신팀(HR)SS3팀 
 - 경영혁신팀(그룹웨어)
 - 경영혁신팀(OPS)
 - ICT</t>
  </si>
  <si>
    <t>ㅇ 그룹망 계정 보안에 관하여 패스워드 최소 길이 9자 이상, 숫자 연속 최대 길이 제한, ID동일 연속 제한, 영문·숫자·특수문자 사용, 이전 패스워드 재사용 방지 등의 제한을 하고 있으며 시스템별 패스워드를 다르게 설정할 수 있음 
ㅇ (BSP) 그룹웨어 SLO통합 로그인을 구현하여 그룹웨어 패스워드 변경 주기(3개월)에 따르고 있습니다.
ㅇ (ERP)패스워드는 암호화 정책을 통해 관리되며 3개월 주기로 패스워드 변경을 권고하고 있습니다.
ㅇ (HPLM)패스워드 정책 준수, 시스템의 패스워드 복잡도/최대 사용 기간 설정 값 적용
ㅇ 최초 접속 시 초기 패스워드가 사번으로 설정 되며 패스워드 변경 필요 및 미변경시 시스템 접속 불가 
ㅇ (그룹웨어) 사용자 환경설정 內 정책 안내 및 관리하고 있으며 패스워드 복잡도 정책이 존재
ㅇ 열거되지 않은 시스템 또한 시스템별로 각 시스템 담당자가 패스워드 정책을 관리 및 운영하고 있음</t>
  </si>
  <si>
    <t xml:space="preserve">제 73 조  (사용자 패스워드 관리)
</t>
  </si>
  <si>
    <t xml:space="preserve"> - DRM 문서 암호해제(복호화) 권한 신청(타인)
 - 5.17.4 패스워드 관리(BSP)
 - 5.17.4 패스워드 정책 및 관리화면(HPLM)
 - 5.17.4 인증정보 - 패스워드(ERP-EDP)
 - 5.17.4 패스워드 정책 및 관리화면(SCM)
 - 5.17.4 패스워드정책(HR)
 - 5.17.4.패스워드관리및정책_그룹웨어
 - 5.17.4 패스워드 정책(인프라)
 - 5.17.4 패스워드 정책 및 관리화면(OPS)
 - 5.17.4 하이웨어 패스워드 만료일(NW)
</t>
  </si>
  <si>
    <t xml:space="preserve"> - 한주원 사원
 - 최승우
 - 이근홍
 - 한승희 과장
 - 이예진 사원
 - 김윤기 대리
 - 신창중
 - 오국경 과장</t>
  </si>
  <si>
    <t xml:space="preserve"> - 경영혁신팀(BSP)
 - ICT
 - S-ERP
 - 경영혁신팀(SCM)
 - 경영혁신팀(HR)SS3팀 
 - 경영혁신팀(그룹웨어)
 - 경영혁신팀(인프라)
 - 경영혁신팀(OPS)</t>
  </si>
  <si>
    <r>
      <rPr>
        <rFont val="Malgun Gothic"/>
        <color theme="1"/>
        <sz val="11.0"/>
      </rPr>
      <t xml:space="preserve">ㅇ 지침내 정보시스템의 사용자 계정 생성 시 '[별첨 #15] 사용자 계정 및 접근권한 등록' 절차에 따라 접근 권한의 할당이 이루어지고 있으며, SCM, HPLM, ERP 등 시스템 별 접근 권한 신청을 통해 관리하고 있음
</t>
    </r>
  </si>
  <si>
    <t>ㅇ 정보보호지침(BH60-0006K)
ㅇ 정보보호지침(BH60-0006K)
ㅇ 정보보호지침(BH60-0006K)
ㅇ (재배포) 정보보호 양식 절차(제조화학)_v1.0_(230106)</t>
  </si>
  <si>
    <t>제 71 조  (사용자 계정 생성)
제 72 조  (사용자 계정 관리)
제 76 조  (접근통제)
[별첨 #15] 사용자 계정 및 접근권한 등록</t>
  </si>
  <si>
    <t xml:space="preserve"> - (IMS) 별첨2.한화테크윈_사용자계정현황_OS_202208
 - (IMS) 별첨3.한화테크윈_사용자계정현황_DB_202208
 - 공유폴더 접근권한 신청
 - 서버 및 DB 접근권한 신청서
 - 5.18.1 접근 권한 설정(BSP)
 - 5.18.1 접근권한 설정화면(HPLM)
 - 5.18.1 접근권한 - 권한부여이력(ERP-EDP)
 - 5.18.1 접근권한 설정화면(SCM)
 - 5.18.1.접근권한할당(HR)
 - 5.18.1_접근 권한_그룹웨어
 - 5.18.1 접근 권한 부여(인프라)
 - 5.18.1 접근권한 설정화면(OPS)
 - 5.18.1 하이웨어 접속 권한 설정(NW)</t>
  </si>
  <si>
    <t xml:space="preserve">ㅇ 한화시스템ICT 및 DBSAFER 시스템을 통해 서비스별로 접근 시 권한 사용에 따라 로그를 남기고 있음
ㅇ 시스템별 접근 행위시 로그를 남기고 있음
</t>
  </si>
  <si>
    <t xml:space="preserve"> - (IMS) 별첨4.한화테크윈_접속로그_OS_202208
 - (IMS) 별첨5.한화테크윈_접속로그_DB_202208
 - 5.18.2 접근 시 행위 로그(BSP)
 - 5.18.2 HPLM 접근 행위 시 (권한변경 기록, 접속기록, 운영기록)
 - 5.18.2 접근권한 - 로그인사용이력(ERP-EDP)
 - 5.18.2 SCM 접근행위시 (권한변경기록,접속기록,운영기록)
 - 5.18.2.권한사용로그(HR)
 - 5.18.2_접근 권한_그룹웨어
 - 5.18.2 권한변경 기록(인프라)
 - 5.18.2 서버 접속 기록(인프라)
 - 5.18.2_비전_BSP(인프라)
 - 5.18.2_비전_MES(인프라)
 - 5.18.2_비전_OPS(인프라)
 - 5.18.2_비전_PLM(인프라)
 - 5.18.2_비전_SCM(인프라)
 - 5.18.2_비전_SRM(인프라)
 - 5.18.2 하이웨어 장비접근기록(NW)</t>
  </si>
  <si>
    <t xml:space="preserve"> - 한주원 사원
 - 최승우
 - 이근홍
 - 한승희 과장
 - 이예진 사원
 - 김윤기 대리
 - 신창중
 - 유인선
 - 오국경 과장</t>
  </si>
  <si>
    <t xml:space="preserve"> - 경영혁신팀(BSP)
 - ICT
 - S-ERP
 - 경영혁신팀(SCM)
 - 경영혁신팀(HR)SS3팀
 - 경영혁신팀(그룹웨어)
 - 경영혁신팀(인프라)
 - 경영혁신팀(인프라)
 - 경영혁신팀(OPS)
</t>
  </si>
  <si>
    <t xml:space="preserve">ㅇ 정보시스템 운영 담당자는 사용자 계정의 사용 목적 및 권한에 따라 관리자 계정과 사용자 계정으로 구분하여 관리하도록 규정하고 있으며, 계정 및 접근권한 부여 현황을 점검하여 불필요한 계정 및 접근권한을 회수하고 정보보호 관리자에게 보고하도록 규정되어 있음
1. 대외∙내부시스템: 반기 1회 이상
2. 개인정보 등 중요정보 처리 시스템(대외·내부시스템 포함): 월 1회 이상
</t>
  </si>
  <si>
    <t>제 72 조  (사용자 계정 관리)
[별첨 #15] 사용자 계정 및 접근권한 등록</t>
  </si>
  <si>
    <t xml:space="preserve"> - 085. 서버접근통제,계정관리
 - 213. 정보보호수준평가_서버접속로그
 - 109. DB접근제어_로그
 - 213. 로그저장,모니터링
 - 22년 수준평가 사용자접근권한검토</t>
  </si>
  <si>
    <t xml:space="preserve">ㅇ 정보와 정보처리설비에 관하여 임직원 및 관련자 등의 접근권한은 계약의 종료 및 변동 등에 의해 조정 및 삭제가 이루어지고 있음
ㅇ 일정 기간 미접속한 계정에 대해서 휴면 계정 처리를 하여 관리되지 않는 계정에 대한 위험을 감소시키고 있음
</t>
  </si>
  <si>
    <t xml:space="preserve">ㅇ 정보보호지침(BH60-0006K)
ㅇ 정보보호지침(BH60-0006K)
ㅇ (재배포) 정보보호 양식 절차(제조화학)_v1.0_(230106)
</t>
  </si>
  <si>
    <t>제 34 조  (자료 삭제 및 권한 회수)
제 72 조  (사용자 계정 관리)
[별첨 #15] 사용자 계정 및 접근권한 등록</t>
  </si>
  <si>
    <t xml:space="preserve"> - 024. 퇴직 시 모니터링 시행 내역
 - 027. 퇴사자 서클계정 삭제 내역 및 공람 문서
 - 한화시스템(ISO27001) - IS 707803
 - 한화시스템(ISO20000) - ITMS 707805
 - 한화시스템(ISO27017) - CLOUD 707804
 - 5.18.4 접근권한 - 퇴사삭제이력(ERP-EDP)
 - 5.18.4.퇴사자접근권한제거(HR)
 - 5.18.4 30일 이상 미접속시 휴먼계정처리(인프라)
 - 5.18.4_한화비전_DBSAFER_사용자계정현황_DB_202306(인프라)
 - 퇴직공람 샘플(HR)</t>
  </si>
  <si>
    <t xml:space="preserve"> - 이근홍
 - 이예진 사원
 - 신창중
 - 유인선
 - 최승우
 - 김학춘
 - 전재덕</t>
  </si>
  <si>
    <t xml:space="preserve"> - S-ERP
 - 경영혁신팀(HR)SS3팀 
 - 경영혁신팀(인프라)
 - 경영혁신팀(인프라)
 - ICT
 - 경영혁신팀
 - 경영혁신팀</t>
  </si>
  <si>
    <t>ㅇ 한화시스템ICT SLA를 통해 개인정보를 취급하는 업무에 대해 협력업체와 계약하는 경우 다음 내용을 포함한 보안 요구사항을 추가로 징구하고 있음
1. 위탁업무의 목적 및 범위
2. 위탁업무 수행 목적 외 개인정보의 처리 금지에 관한 사항
3. 기술적·관리적 보호조치를 포함한 개인정보의 안전성 확보조치에 관한 사항
4. 재위탁 제한에 관한 사항
5. 위탁업무와 관련한 개인정보의 현황 점검 등 관리·감독에 관한 사항
6. 수탁자 준수 사항 위반 시 손해배상 등 책임에 관한 사항 등
ㅇ 클라우드 서비스 제공자와의 계약 시 서비스 위탁 관련 사항, 데이터 보호를 위한 보안관리 사항, 클라우드 서비스 이용 전환 및 종료에 따른 출구 전략, 책임관계 명확화 등의 내용을 포함하고 있음</t>
  </si>
  <si>
    <t>제 27 조  (계약 체결)
제 161 조  (계약 체결)
[별첨 #4] 정보보호 특약서</t>
  </si>
  <si>
    <t xml:space="preserve">ㅇ 협력업체와 계약 시 보안관리 책임이 명시된 '[별첨 #4] 정보보호 특약서'를 부속문서로 통합하여 계약을 체결하고 있으며, 계약하는 경우 보안 요구사항을 명시하여 징구하고 있음
ㅇ 클라우드 서비스 관련 보안사고 예방을 위해 다음 내용을 통해 보안 통제가 구현되도록 안전성 확보조치 방안을 수립하여 이행하고 있는지 계약서 확인이 필요함
1. 계정 관리 및 접근 통제
2. 내부 정보시스템 및 단말기 연계 방안
3. 암호화 및 키 관리 방안
4. 접근 기록, 가동 기록 및 보안로그 등 기록∙유지 방안
5. 가상환경 보안 대책 등
</t>
  </si>
  <si>
    <t xml:space="preserve">ㅇ 정보보호지침(BH60-0006K)
ㅇ 정보보호지침(BH60-0006K)
ㅇ (개정) 정보보호 관리 기준(제조화학)_v1.0_(230106)
ㅇ (재배포) 정보보호 양식 절차(제조화학)_v1.0_(230106)
</t>
  </si>
  <si>
    <t>제 27 조  (계약 체결)
제 160 조  (계획 수립)
[붙임 #25] 클라우드 서비스 사용 보안 기준
[별첨 #4] 정보보호 특약서</t>
  </si>
  <si>
    <t>ㅇ 한화시스템ICT와 SLA를 통해 정보통신기술 공급망 정보보호에 관한 요구사항을 포함하고 있는지 계약서 확인이 필요함
※ 한화시스템ICT는 ISO27000, ISO27001, ISO27017 인증을 받아, 통제항목을 준수하고 있음</t>
  </si>
  <si>
    <t>ㅇ 정보보호지침(BH60-0006K)
ㅇ (개정) 정보보호 관리 기준(제조화학)_v1.0_(230106)
ㅇ [HSC_ICT-I01] 정보보안지침</t>
  </si>
  <si>
    <t>제 163 조  (접근 통제)
[붙임 #25] 클라우드 서비스 사용 보안 기준
제 166 조  (접근 통제)</t>
  </si>
  <si>
    <t>ㅇ 한화비전은 한화시스템ICT로부터 매달 보안관제 보고서(ISS보고서, 보안운영보고서)와 ITO운영현황보고서를 제공받고 있고, 담당자가 이를 확인하고 있음
※ 한화시스템ICT는 ISO27000, ISO27001, ISO27017 인증을 받아, 통제항목을 준수하고 있음</t>
  </si>
  <si>
    <t>제 161 조  (계약 체결)</t>
  </si>
  <si>
    <t xml:space="preserve"> - 127. 침해사고대응 관제포털 증적
 - 127. 한화테크윈_2022_07 ISS 보고서
 - 한화비전_2023_05 ISS보고서
 - 한화비전_보안월간보고_2023년5월
 - 한화시스템(ISO27001) - IS 707803
 - 한화시스템(ISO20000) - ITMS 707805
 - 한화시스템(ISO27017) - CLOUD 707804
 - (AMS)한화테크윈외2사_월간운영현황보고_2022년08월
 - (IMS) 별첨1.한화테크윈_월간운영현황보고_2022년8월
 - (IMS) 별첨2.한화테크윈_사용자계정현황_OS_202208
 - (IMS) 별첨3.한화테크윈_사용자계정현황_DB_202208
 - (IMS) 별첨4.한화테크윈_접속로그_OS_202208
 - (IMS) 별첨5.한화테크윈_접속로그_DB_202208
 - (IMS) 한화테크윈_월간운영현황보고_2022년8월
 - 22년 8월 ITO 그룹웨어 ERP 월간 운영 보고</t>
  </si>
  <si>
    <t xml:space="preserve">ㅇ 한화비전은 한화시스템ICT로 부터 관제, 백업, 클라우드 관리 등의 서비스를 제공받고 있음
ㅇ 한화시스템ICT는 ITSM시스템을 통하여 백업일정 등 서비스 변경이 있는 경우 서비스 영향도 및 위험도 평가 결과를 작성, 이상 발생 시 복구 계획 및 방법에 관한 내용을 작성한 후 승인을 받아 처리하도록 운영되고 있음
※ 한화시스템ICT는 ISO27000, ISO27001, ISO27017 인증을 받아, 통제항목을 준수하고 있음
</t>
  </si>
  <si>
    <t>제 74 조  (변경 관리)
제 160 조  (계획 수립)
[붙임 #25] 클라우드 서비스 사용 보안 기준</t>
  </si>
  <si>
    <t xml:space="preserve"> - ITSM매뉴얼
 - 한화시스템(ISO27001) - IS 707803
 - 한화시스템(ISO20000) - ITMS 707805
 - 한화시스템(ISO27017) - CLOUD 707804
 - ITSM 변경작업 프로세스
 - ITSM 변경작업 프로세스 맵
 - ITSM 변경작업 변경처리 화면
 - ITSM 위험평가
 - ITSM 변경처리 현황
 - ITSM 작업 내역 
 - 5.22.2.기능개선 반영절차 및 화면(HR)
 - 5.22.2 ITSM 절차 및 프로세스(인프라)
 - 5.22.2 ITSM 변경관리 메뉴(NW)</t>
  </si>
  <si>
    <t xml:space="preserve"> - 이예진 사원
 - 신창중
 - 최승우
 - 김학춘
 - 황한진
 - 전재덕</t>
  </si>
  <si>
    <t xml:space="preserve"> - 경영혁신팀(HR)SS3팀 
 - 경영혁신팀(인프라)
 - ICT
 - 경영혁신팀
 - 경영혁신팀
 - 경영혁신팀</t>
  </si>
  <si>
    <t xml:space="preserve">ㅇ 클라우드 서비스 이용에 관한 기본 원칙에 대한 규정은 존재하지만, 공급자와 계약서 내에 개인정보보호 및 정보보호에 대한 책임과 역할에 대한 정의를 확인하기 어려움
</t>
  </si>
  <si>
    <t>제 159 조  (클라우드 이용 기본 원칙)
제 160 조  (계획 수립)
[붙임 #25] 클라우드 서비스 사용 보안 기준</t>
  </si>
  <si>
    <t xml:space="preserve"> - 김학춘
 - 황한진
 - 전재덕</t>
  </si>
  <si>
    <t xml:space="preserve"> - 경영혁신팀
 - 경영혁신팀
 - 경영혁신팀</t>
  </si>
  <si>
    <t>ㅇ 클라우드 서비스 사용 보안 기준으로 안전한 접속방법, 권한 체계 등 보안 통제 정책을 수립 및 이행하고 있는지 확인이 필요함
 1. 클라우드 보안기능 요건
 2. 클라우드 서비스 보안관리 방안
 3. 클라우드 보안 표준 준수 등
※ 한화시스템ICT는 ISO27000, ISO27001, ISO27017 인증을 받아, 통제항목을 준수하고 있음</t>
  </si>
  <si>
    <t xml:space="preserve">ㅇ 회사는 업무용 PC 및 내부망 내 위치한 정보시스템을 클라우드 서비스에 연결해야 하는 경우 전용선 또는 가상사설망 등 안전한 접속 수단(OTP 2차인증)을 적용할 수 있도록 규정하고 있음
ㅇ 클라우드 서비스 이용 업무 담당/관리자의 접근제어 및 통제, 로그 기록, 암호화 등 보호대책을 적용하고 있음 
※ 한화시스템ICT는 ISO27000, ISO27001, ISO27017 인증을 받아, 통제항목을 준수하고 있음
</t>
  </si>
  <si>
    <t>ㅇ 정보보호지침(BH60-0006K)
ㅇ 정보보호지침(BH60-0006K)
ㅇ 정보보호지침(BH60-0006K)
ㅇ 정보보호지침(BH60-0006K)
ㅇ 정보보호지침(BH60-0006K)
ㅇ 정보보호지침(BH60-0006K)
ㅇ (개정) 정보보호 관리 기준(제조화학)_v1.0_(230106)
ㅇ (재배포) 정보보호 양식 절차(제조화학)_v1.0_(230106)</t>
  </si>
  <si>
    <t>제 163 조  (접근 통제)
제 164 조  (암호화 관리)
제 168 조  (하이퍼바이저 보안)
제 169 조  (가상 서버 보안)
제 170 조  (가상 네트워크 보안)
제 171 조  (가상 스토리지 보안)
[붙임 #25] 클라우드 서비스 사용 보안 기준
[별첨 #26] 클라우드 서비스 체크리스트</t>
  </si>
  <si>
    <t xml:space="preserve"> - 208. SSLVPN 추가인증적용
 - 한화시스템(ISO27001) - IS 707803
 - 한화시스템(ISO20000) - ITMS 707805
 - 한화시스템(ISO27017) - CLOUD 707804
 - 23_0706_보안성 검토 결과 보고_스마트파킹(모플)
 - 23_0706_보안성 검토 결과_스마트 파킹(모플) AWS 관리자 콘솔 보안점검 결과
 - 23_0706_보안성 검토 결과_스마트 파킹(모플) 개인정보보호 보안점검 결과
 - 23_0706_보안성 검토 결과_스마트 파킹(모플) 웹 취약점 점검 결과
 - 23_0706_보안성 검토 결과_스마트 파킹(모플) 인프라 취약점 점검 결과
 - 23_0706_보안성 검토 결과_스마트 파킹(모플)
 - 한화비전_내부 클라우드 관리 시스템(ansible)_정기_진단_결과_보고서_v1.0_20230628
 - 한화비전_내부 클라우드 관리 시스템(deploy)_정기_진단_결과_보고서_v1.0_20230628
 - 한화비전_내부 클라우드 관리 시스템(jekyll)_정기_진단_결과_보고서_v1.0_20230628
 - 한화비전_내부 클라우드 관리 시스템(jenkins)_정기_진단_결과_보고서_v1.0_20230704
 - 한화비전_내부 클라우드 관리 시스템(rancher)_정기_진단_결과_보고서_v1.0_20230705
 - 한화비전_내부 클라우드 관리 시스템(registry)_정기_진단_결과_보고서_v1.0_20230628
 - 한화비전_내부 클라우드 관리 시스템_키서버_정기_진단_결과_보고서_v1.0_20230628</t>
  </si>
  <si>
    <t>ㅇ 클라우드 서비스의 보안 설정 및 운영현황을 모니터링 하고 계약 사항을 준수하는지 연 1회 이상 보안점검을 통한 위험관리를 수행하고 있음
ㅇ 정기 취약점 점검 시에 온프레미스 장비와 함께 클라우드 장비에 대해서 취약점 점검이 반기별로 진행이 되고 있음
ㅇ 클라우드 서비스 도입을 위해서 점검 대상 및 방법을 정하여 항목별 점검 영역에 대한 결과와 향후 조치 계획을 단기, 중기, 장기 수립하여 적절성 검토하고 있음
 - 클라우드 관리 30개 영역 점검
 - 개인정보 보안 54개 영역 점검
 - 웹 취약점 점검 30개 영역 점검
※ 한화시스템ICT는 ISO27000, ISO27001, ISO27017 인증을 받아, 통제항목을 준수하고 있음</t>
  </si>
  <si>
    <t>ㅇ 정보보호지침(BH60-0006K)
ㅇ (개정) 정보보호 관리 기준(제조화학)_v1.0_(230106)
ㅇ (재배포) 정보보호 양식 절차(제조화학)_v1.0_(230106)</t>
  </si>
  <si>
    <t>제 165 조  (로그 관리)
[붙임 #25] 클라우드 서비스 사용 보안 기준
[별첨 #26] 클라우드 서비스 체크리스트</t>
  </si>
  <si>
    <t xml:space="preserve"> - 166. Azure 클라우드 관리자 페이지 점검결과 공유 건
 - 166. 대외클라우드 대상 침입탐지 운영 내용
 - 한화시스템(ISO27001) - IS 707803
 - 한화시스템(ISO20000) - ITMS 707805
 - 한화시스템(ISO27017) - CLOUD 707804
 - 23_0706_보안성 검토 결과 보고_스마트파킹(모플)
 - 23_0706_보안성 검토 결과_스마트 파킹(모플) AWS 관리자 콘솔 보안점검 결과
 - 23_0706_보안성 검토 결과_스마트 파킹(모플) 개인정보보호 보안점검 결과
 - 23_0706_보안성 검토 결과_스마트 파킹(모플) 웹 취약점 점검 결과
 - 23_0706_보안성 검토 결과_스마트 파킹(모플) 인프라 취약점 점검 결과
 - 23_0706_보안성 검토 결과_스마트 파킹(모플)
 - 한화비전_내부 클라우드 관리 시스템(ansible)_정기_진단_결과_보고서_v1.0_20230628
 - 한화비전_내부 클라우드 관리 시스템(deploy)_정기_진단_결과_보고서_v1.0_20230628
 - 한화비전_내부 클라우드 관리 시스템(jekyll)_정기_진단_결과_보고서_v1.0_20230628
 - 한화비전_내부 클라우드 관리 시스템(jenkins)_정기_진단_결과_보고서_v1.0_20230704
 - 한화비전_내부 클라우드 관리 시스템(rancher)_정기_진단_결과_보고서_v1.0_20230705
 - 한화비전_내부 클라우드 관리 시스템(registry)_정기_진단_결과_보고서_v1.0_20230628
 - 한화비전_내부 클라우드 관리 시스템_키서버_정기_진단_결과_보고서_v1.0_20230628</t>
  </si>
  <si>
    <t>ㅇ 구체적인 대응 복구절차가 마련되어 있으며, 연 1회 이상 정보보호를 위한 모의훈련을 실시하고 있음</t>
  </si>
  <si>
    <t xml:space="preserve">ㅇ 정보보호지침(BH60-0006K)
ㅇ (개정) 정보보호 관리 기준(제조화학)_v1.0_(230106)
ㅇ (재배포) 정보보호 양식 절차(제조화학)_v1.0_(230106)
ㅇ (재배포) 정보보호 양식 절차(제조화학)_v1.0_(230106)
ㅇ (재배포) 정보보호 양식 절차(제조화학)_v1.0_(230106)
</t>
  </si>
  <si>
    <t>제 9 장 정보보호 사고 대응
[붙임 #12] 위기경보 발령 및 침해사고 대응
[별첨 #12] 위기경보에 따른 침해사고 유형 및 상황
[별첨 #13] 침해사고 보고 체계 및 주요내용
[별첨 #14] 침해사고 보고 대응 절차 및 체계</t>
  </si>
  <si>
    <t xml:space="preserve"> - 정보보호지침(BH60-0006K) 제 9 장 정보보호 사고 대응
 - [붙임 #12] 위기경보 발령 및 침해사고 대응
 - [별첨 #12] 위기경보에 따른 침해사고 유형 및 상황
 - [별첨 #13] 침해사고 보고 체계 및 주요내용
 - [별첨 #12] 위기경보에 따른 침해사고 유형 및 상황</t>
  </si>
  <si>
    <t>ㅇ 보안사고 발생시 내부 담당 부서의 전문가와 연락할 수 있는 연락망과 보고체계가 존재하고, 개인정보 유출 시 KISA에 신고하도록 연락 체계가 존재함
ㅇ 한화비전은 한화시스템ICT를 통해 관제 서비스를 제공받고 있으며, 보안 동향 및 월간 침해현황, 전년도 대비 통계, 침해 재발 방지 조치 등의 내용이 포함된 월별 ISS 보고를 받고 있음 
※ 한화시스템ICT는 ISO27000, ISO27001, ISO27017 인증을 받아, 통제항목을 준수하고 있음</t>
  </si>
  <si>
    <t>ㅇ 정보보호지침(BH60-0006K)
ㅇ 정보보호지침(BH60-0006K)
ㅇ [HSC_ICT-I01] 정보보안지침
ㅇ 개인정보보호 업무처리 규정(BH60-0003K)</t>
  </si>
  <si>
    <t>제 62 조  (사고 인지)
제 63 조  (사고 조사)
제 37 조  (사고 분석 및 조사)
[부속서 1] 5. 개인정보 유출 통지 및 신고</t>
  </si>
  <si>
    <t xml:space="preserve"> - 127. 한화테크윈_2022_07 ISS 보고서
 - 한화비전_보안월간보고_2023년4월
 - 127. 침해사고대응 관제포털 증적
 - 한화시스템(ISO27001) - IS 707803
 - 한화시스템(ISO20000) - ITMS 707805
 - 한화시스템(ISO27017) - CLOUD 707804
 - 한화비전_2023_05 ISS보고서
 - ISS 보안서비스 소개자료_23
 - 티켓처리 프로세스_20191030
 - 한화비전_보안월간보고_2023년5월
 - 개인정보보호 업무처리 규정 (BH60-0003K) [부속서 1] 5. 개인정보 유출 통지 및 신고
 - 한화비전 보고체계 및 위임전결기준(24차개정) 상황보고 지침, 대처방안
 - 한화비전 보고체계 및 위임전결기준(24차개정) 보안 사고 주요현안 보고체계
 - 한화비전 보고체계 유형별 담당부서 및 연락처</t>
  </si>
  <si>
    <t xml:space="preserve">ㅇ 보안사고 모니터링 계획을 수립하고 있음
 1) 중요도에 따른 보안사고 분류, 보고체계 및 대응요령 : [별첨 #12] 위기경보에 따른 침해사고 유형 및 상황, [별첨 #13] 침해사고 보고 체계 및 주요내용, [별첨 #14] 침해사고 보고 대응 절차 및 체계
 2) 모니터링 및 대응 방법 : 제 62 조  (사고 인지)
 3) 대응 조직 및 인력 : [붙임 #12] 위기경보 발령 및 침해사고 대응 
 4) 모니터링 및 대응 절차 : [별첨 #14] 침해사고 보고 대응 절차 및 체계
 5) 모니터링 및 대응 보고 및 승인 방법 : 
</t>
  </si>
  <si>
    <t xml:space="preserve"> - 127. 한화테크윈_2022_07 ISS 보고서
 - 한화비전_보안월간보고_2023년4월
 - 한화비전_2023_05 ISS보고서
 - 한화비전_보안월간보고_2023년5월</t>
  </si>
  <si>
    <t xml:space="preserve">ㅇ 정보보안 이벤트 발생 시 한화ICT 보안관제 조직에서 1차적인 보고절차 후 한화비전의 보안전담조직에서 평가 및 승인 절차를 거쳐 결정하고 그에 따른 조치를 수행하고 있음
ㅇ '[별첨 #12] 위기경보에 따른 침해사고 유형 및 상황'에 따라 분류 기준을 정의하고 있음
</t>
  </si>
  <si>
    <t xml:space="preserve">ㅇ 정보보호지침(BH60-0006K)
ㅇ (개정) 정보보호 관리 기준(제조화학)_v1.0_(230106)
ㅇ (재배포) 정보보호 양식 절차(제조화학)_v1.0_(230106)
</t>
  </si>
  <si>
    <t>제 63 조  (사고 조사)
[붙임 #12] 위기경보 발령 및 침해사고 대응
[별첨 #12] 위기경보에 따른 침해사고 유형 및 상황</t>
  </si>
  <si>
    <t xml:space="preserve"> - 정보보호지침(BH60-0006K) 제 63 조 (사고 조사)
 - [붙임 #12] 위기경보 발령 및 침해사고 대응
 - [별첨 #12] 위기경보에 따른 침해사고 유형 및 상황</t>
  </si>
  <si>
    <t>ㅇ 침해사고대응 프로세스가 마련되어 있으며, 정보보안 사고 시 프로세스에 따라 대응 절차를 문서화하고 있음</t>
  </si>
  <si>
    <t>ㅇ 정보보호지침(BH60-0006K)
ㅇ (개정) 정보보호 관리 기준(제조화학)_v1.0_(230106)
ㅇ (재배포) 정보보호 양식 절차(제조화학)_v1.0_(230106)
ㅇ [HSC_ICT-I01] 정보보안지침
ㅇ 정보보안관리가이드</t>
  </si>
  <si>
    <t>제 64 조  (사고 보고)
[붙임 #12] 위기경보 발령 및 침해사고 대응
[별첨 #14] 침해사고 보고 대응 절차 및 체계
제 37 조  (사고 분석 및 조사)
[가이드 #9] 위기 경보 발령 및 침해사고 대응 가이드</t>
  </si>
  <si>
    <t xml:space="preserve"> - 정보보호지침(BH60-0006K) 제 64 조 (사고 보고)
 - [붙임 #12] 위기경보 발령 및 침해사고 대응
 - [별첨 #14] 침해사고 보고 대응 절차 및 체계
 - 한화비전 보고체계 및 위임전결기준(24차개정) 표지
 - 한화비전 보고체계 및 위임전결기준(24차개정) 상황보고 지침, 대처방안
 - 한화비전 보고체계 및 위임전결기준(24차개정) 보안 사고 주요현안 보고체계
 - 한화비전 보고체계 유형별 담당부서 및 연락처
 - 한화비전_2023_05 ISS보고서
 - [가이드 #9] 위기 경보 발령 및 침해사고 대응 가이드 p1 ~ P11
</t>
  </si>
  <si>
    <t>(한화비전)
ㅇ 한화비전은 한화시스템 ICT로부터 보안 서비스를 제공받아 보안사고에 대한 처리 및 종결에 관한 내용에 대해 사고내용, 보안사고 통계 등을 월별로 보고받고 있음
 - 티켓처리 프로세스
 - ISS 보고서
※ 한화시스템ICT는 ISO27000, ISO27001, ISO27017 인증을 받아, 통제항목을 준수하고 있음</t>
  </si>
  <si>
    <t>ㅇ 정보보호지침(BH60-0006K)
ㅇ 정보보호지침(BH60-0006K)
ㅇ (개정) 정보보호 관리 기준(제조화학)_v1.0_(230106)
ㅇ (개정) 정보보호 관리 기준(제조화학)_v1.0_(230106)
ㅇ (개정) 정보보호 관리 기준(제조화학)_v1.0_(230106)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(재배포) 정보보호 양식 절차(제조화학)_v1.0_(230106)</t>
  </si>
  <si>
    <t>제 63 조  (사고 조사)
제 64 조  (사고 보고)
[붙임 #12] 위기경보 발령 및 침해사고 대응
[붙임 #21] 티켓 관리 운영 기준
[붙임 #17] 악성코드 대응 기준
[별첨 #12] 위기경보에 따른 침해사고 유형 및 상황
[별첨 #13] 침해사고 보고 체계 및 주요내용
[별첨 #14] 침해사고 보고 대응 절차 및 체계
[별첨 #19] 티켓 발생 보고서
[별첨 #20] 악성코드 조치 결과 보고서
[별첨 #21] 데이터 외부 전송 사후 소명서</t>
  </si>
  <si>
    <t xml:space="preserve"> - 127. 한화테크윈_2022_07 ISS 보고서
 - 127. 침해사고대응 관제포털 증적
 - 한화비전_2023_05 ISS보고서
 - 티켓처리 프로세스_20191030
 - 한화시스템(ISO27001) - IS 707803
 - 한화시스템(ISO20000) - ITMS 707805
 - 한화시스템(ISO27017) - CLOUD 707804
 - 5.27.1_2306 ISS 보고서 내 침해차단 티켓 상세</t>
  </si>
  <si>
    <t>(한화비전)
ㅇ  정보보호 담당자는 연 1회 이상 정보보호 사고 대응 모의 훈련을 실시해야 하고, 모의훈련 종료 후 문제점과 개선방안을 정보보호 최고책임자에게 보고하도록 규정되어 있음 
 1. 악성코드 및 해킹 이메일 모의훈련
 2. 서비스 거부 공격 대응훈련
 3. 개인정보 유∙노출 대응훈련
 4. 재해 복구 훈련((23년 10월 예정)
ㅇ 매년 정기적인 취약점 점검을 시행하여 최신 취약점 등에 관하여 점검 및 이행점검을 실시하고 있음</t>
  </si>
  <si>
    <t xml:space="preserve">ㅇ 정보보호지침(BH60-0006K)
ㅇ 정보보호지침(BH60-0006K)
ㅇ (개정) 정보보호 관리 기준(제조화학)_v1.0_(230106)
ㅇ (개정) 정보보호 관리 기준(제조화학)_v1.0_(230106)
ㅇ (개정) 정보보호 관리 기준(제조화학)_v1.0_(230106)
ㅇ (재배포) 정보보호 양식 절차(제조화학)_v1.0_(230106)
ㅇ (재배포) 정보보호 양식 절차(제조화학)_v1.0_(230106)
ㅇ (재배포) 정보보호 양식 절차(제조화학)_v1.0_(230106)
</t>
  </si>
  <si>
    <t xml:space="preserve">제 65 조  (재발방지 대책 수립)
제 68 조  (사고 대응 모의훈련)
[붙임 #12] 위기경보 발령 및 침해사고 대응
[붙임 #21] 티켓 관리 운영 기준
[붙임 #17] 악성코드 대응 기준
[별첨 #12] 위기경보에 따른 침해사고 유형 및 상황
[별첨 #13] 침해사고 보고 체계 및 주요내용
[별첨 #14] 침해사고 보고 대응 절차 및 체계
</t>
  </si>
  <si>
    <t xml:space="preserve"> - 한화시스템(ISO27001) - IS 707803
 - 한화시스템(ISO20000) - ITMS 707805
 - 한화시스템(ISO27017) - CLOUD 707804
 - (상반기)'23년_한화비전_취약점 진단 결과_202305
 - `23년 한화비전_정기_ 취약점 상세내역_(웹)_202305
 - `23년 한화비전_정기_ 취약점 상세내역_(인프라)_202305
 - 23년도_상반기_해킹메일 훈련결과보고서_한화비전
 - 23년 메일 훈련 위반 임직원 리스트
 - IT06_C1_재해복구훈련 계획</t>
  </si>
  <si>
    <t xml:space="preserve">ㅇ 한화비전은 한화시스템ICT로 부터 관제 서비스를 제공받고 있으며, 재발방지를 위해 보안위반 사고에 대한 대응조치 결과와 소명서를 문서화 하는 등 조치를 취하고 있음
ㅇ 보안 동향 관련 유사한 사고 사례를 그룹웨어 게시판을 통하여 공지하고 있음
※ 한화시스템ICT는 ISO27000, ISO27001, ISO27017 인증을 받아, 통제항목을 준수하고 있음
</t>
  </si>
  <si>
    <t xml:space="preserve">ㅇ 정보보호지침(BH60-0006K)
ㅇ (개정) 정보보호 관리 기준(제조화학)_v1.0_(230106)
ㅇ (개정) 정보보호 관리 기준(제조화학)_v1.0_(230106)
ㅇ (개정) 정보보호 관리 기준(제조화학)_v1.0_(230106)
ㅇ (재배포) 정보보호 양식 절차(제조화학)_v1.0_(230106)
ㅇ (재배포) 정보보호 양식 절차(제조화학)_v1.0_(230106)
ㅇ (재배포) 정보보호 양식 절차(제조화학)_v1.0_(230106)
</t>
  </si>
  <si>
    <t xml:space="preserve">제 65 조  (재발방지 대책 수립)
[붙임 #12] 위기경보 발령 및 침해사고 대응
[붙임 #21] 티켓 관리 운영 기준
[붙임 #17] 악성코드 대응 기준
[별첨 #12] 위기경보에 따른 침해사고 유형 및 상황
[별첨 #13] 침해사고 보고 체계 및 주요내용
[별첨 #14] 침해사고 보고 대응 절차 및 체계
</t>
  </si>
  <si>
    <t xml:space="preserve"> - 한화시스템(ISO27001) - IS 707803
 - 한화시스템(ISO20000) - ITMS 707805
 - 한화시스템(ISO27017) - CLOUD 707804
 - 한화비전_ISS 보안관제 보고서 2023_06
 - 23_0707_업무용 노트북 취급 주의사항 공지
 - 5.27.3 정보보호 사고 교육 - 그룹웨어 게시판 공지
 - 티켓처리 프로세스_20191030
 - 침해사고 대응 관제 포털1_전체
 - 침해사고 대응 관제 포털2_보안관제보고서_문서화
 - 침해사고 대응 관제 포털3_보안동향
 - 침해사고 대응 관제 포털4_취약점 공지
 - 침해사고 대응 관제 포털5_외부위협정보 업데이트</t>
  </si>
  <si>
    <t>ㅇ 한화비전은 한화시스템ICT로 부터 ISS 보안 관제 서비스를 제공 받아 이상징후 및 침해사고에 대한 관리를 티켓서비스로 관리하며, 티켓이 발급되면 담당자가 위반자로부터 소명서를 받거나 대응조치내역 보고서를 받아 다시 한화시스템ICT의 승인을 받아 종결처리 하고 있음
ㅇ 티켓에 대한 조치 완료 현황, 공격시도 IP를 그룹웨어 방화벽에서 차단하는 등 재발 방지대책이 포함된 월별 조치 현황을 보고받고 있음 
※ 한화시스템ICT는 ISO27000, ISO27001, ISO27017 인증을 받아, 통제항목을 준수하고 있음</t>
  </si>
  <si>
    <t>ㅇ 정보보호지침(BH60-0006K)
ㅇ 정보보호지침(BH60-0006K)
ㅇ 정보보호지침(BH60-0006K)
ㅇ 정보보호지침(BH60-0006K)
ㅇ 정보보호지침(BH60-0006K)
ㅇ (개정) 정보보호 관리 기준(제조화학)_v1.0_(230106)
ㅇ (개정) 정보보호 관리 기준(제조화학)_v1.0_(230106)
ㅇ (개정) 정보보호 관리 기준(제조화학)_v1.0_(230106)
ㅇ (개정) 정보보호 관리 기준(제조화학)_v1.0_(230106)
ㅇ (개정) 정보보호 관리 기준(제조화학)_v1.0_(230106)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(재배포) 정보보호 양식 절차(제조화학)_v1.0_(230106)</t>
  </si>
  <si>
    <t>제 65 조  (재발방지 대책 수립)
제 79 조  (로그 보관)
제 80 조  (로그 점검)
제 77 조  (백업 및 복구 관리)
제 78 조  (장애 관리)
[붙임 #14] 백업 관리 기준
[붙임 #12] 위기경보 발령 및 침해사고 대응
[붙임 #15] 정보시스템 로그 관리
[붙임 #21] 티켓 관리 운영 기준
[붙임 #17] 악성코드 대응 기준
[별첨 #12] 위기경보에 따른 침해사고 유형 및 상황
[별첨 #13] 침해사고 보고 체계 및 주요내용
[별첨 #14] 침해사고 보고 대응 절차 및 체계
[별첨 #19] 티켓 발생 보고서
[별첨 #20] 악성코드 조치 결과 보고서
[별첨 #21] 데이터 외부 전송 사후 소명서</t>
  </si>
  <si>
    <t xml:space="preserve"> - 한화시스템(ISO27001) - IS 707803
 - 한화시스템(ISO20000) - ITMS 707805
 - 한화시스템(ISO27017) - CLOUD 707804
 - ISS 보안서비스 보안관제 티켓서비스
 - 티켓처리 프로세스_20191030
 - 한화비전_2023_05 ISS보고서
 - 한화비전_보안월간보고_2023년5월</t>
  </si>
  <si>
    <t xml:space="preserve"> - 최승우
 - 김학춘
 - 전재덕</t>
  </si>
  <si>
    <t xml:space="preserve"> - ICT
 - 경영혁신팀
 - 경영혁신팀</t>
  </si>
  <si>
    <t xml:space="preserve">ㅇ 보안사고 처리 및 관련 복구 절차가 존재하고 관련 사항에 대해 로깅 및 모니터링을 실시하고 있음
ㅇ 민형사상 법적 조치를 한 내역이 존재하지 않아 보안사고 유사사례 동향 공유로 교육을 대체하고, 처리티켓 보관 및 이벤트 로깅을 통해 증거자료를 확보하고 있음
※ 한화시스템ICT는 ISO27000, ISO27001, ISO27017 인증을 받아, 통제항목을 준수하고 있음
</t>
  </si>
  <si>
    <t xml:space="preserve">ㅇ 정보보호지침(BH60-0006K)
ㅇ 정보보호지침(BH60-0006K)
</t>
  </si>
  <si>
    <t xml:space="preserve">제 66 조  (사고 징계 처리)
제 67 조  (사고 손해배상 보장)
</t>
  </si>
  <si>
    <t xml:space="preserve"> - 한화시스템(ISO27001) - IS 707803
 - 한화시스템(ISO20000) - ITMS 707805
 - 한화시스템(ISO27017) - CLOUD 707804
 - ISS 보안서비스 보안관제 티켓서비스
 - 티켓처리 프로세스_20191030
 - 한화비전_2023_05 ISS보고서
 - 한화비전_보안월간보고_2023년5월
 - 23_0707_업무용 노트북 취급 주의사항 공지
 - 5.28.2 정보보호 사고 교육 - 그룹웨어 게시판 공지
 - 침해사고 대응 관제 포털1_전체
 - 침해사고 대응 관제 포털2_보안관제보고서_문서화
 - 침해사고 대응 관제 포털3_보안동향
 - 침해사고 대응 관제 포털4_취약점 공지
 - 침해사고 대응 관제 포털5_외부위협정보 업데이트</t>
  </si>
  <si>
    <t xml:space="preserve"> - 최승우</t>
  </si>
  <si>
    <t xml:space="preserve"> - ICT</t>
  </si>
  <si>
    <t xml:space="preserve">ㅇ 한화비전은 한화시스템ICT에서 업무연속성과 관련된 서비스를 제공받고 있으며, 그에 따라 업무연속성 계획을 수립하고 있음
※ 한화시스템ICT는 ISO27000, ISO27001, ISO27017 인증을 받아, 백업서비스 및 사이트복구 서비스 등을 제공하고 있음
</t>
  </si>
  <si>
    <t>제 78 조  (장애 관리)</t>
  </si>
  <si>
    <t xml:space="preserve"> - 한화시스템(ISO27001) - IS 707803
 - 한화시스템(ISO20000) - ITMS 707805
 - 한화시스템(ISO27017) - CLOUD 707804
 - 5.29.1 센터 재해대응 매뉴얼(인프라)
 - IT06_C1_재해복구계획 수립</t>
  </si>
  <si>
    <t xml:space="preserve"> - 신창중
 - 최승우</t>
  </si>
  <si>
    <t xml:space="preserve"> - 경영혁신팀(인프라)
 - ICT</t>
  </si>
  <si>
    <t xml:space="preserve">ㅇ 한화비전은 한화시스템ICT에서 업무연속성과 관련된 서비스를 제공받아 장애대응 프로세스를 갖추고 있으며 일정 주기로 보고를 받고 있음
※ 한화시스템ICT는 ISO27000, ISO27001, ISO27017 인증을 받아, 백업서비스 및 사이트복구 서비스 등을 제공하고 있음
</t>
  </si>
  <si>
    <t xml:space="preserve"> - 220. 2022년 모의재해복구훈련 결과서
 - 5.29.2 장애대응 프로세스(인프라)
 - 한화시스템(ISO27001) - IS 707803
 - 한화시스템(ISO20000) - ITMS 707805
 - 한화시스템(ISO27017) - CLOUD 707804
</t>
  </si>
  <si>
    <t xml:space="preserve">ㅇ 한화비전은 한화시스템ICT에서 업무연속성과 관련된 서비스를 제공받아 서비스 중단 장애상황에 대한 모의 훈련을 매년 실시하며, 결과에 대하여 보고를 받고 있음
※ 한화시스템ICT는 ISO27000, ISO27001, ISO27017 인증을 받아, 백업서비스 및 사이트복구 서비스 등을 제공하고 있음
</t>
  </si>
  <si>
    <t xml:space="preserve"> - 218. 정보보호수준평가_소산백업_판교
 - 216. 정보보호수준평가_Veeam_Backup_판교
 - 220. 2022년 모의재해복구훈련 결과서
 - 한화시스템(ISO27001) - IS 707803
 - 한화시스템(ISO20000) - ITMS 707805
 - 한화시스템(ISO27017) - CLOUD 707804
 - 5.29.3 모의재해복구계획(인프라)
 - 5.29.3 백업데이터 관리대장(인프라)</t>
  </si>
  <si>
    <t xml:space="preserve">ㅇ 한화비전은 한화시스템ICT에서 업무연속성과 관련된 서비스를 제공받아 누수, 화재 등 재해 유형을 식별하고 유형별 피해규모 및 업무영향도를 고려하여 관리되고 있으며 매년 보고를 받고 있음
※ 한화시스템ICT는 ISO27000, ISO27001, ISO27017 인증을 받아, 백업서비스 및 사이트복구 서비스 등을 제공하고 있음
</t>
  </si>
  <si>
    <t xml:space="preserve"> - 한화시스템(ISO27001) - IS 707803
 - 한화시스템(ISO20000) - ITMS 707805
 - 한화시스템(ISO27017) - CLOUD 707804
 - 5.30.1 센터 재해대응 매뉴얼(인프라)
 - 비전_ 자산관리대장_ISO27001_230725</t>
  </si>
  <si>
    <t xml:space="preserve"> - 신창중)
 - 최승우</t>
  </si>
  <si>
    <t xml:space="preserve"> - 경영혁신팀(인프라
 - ICT</t>
  </si>
  <si>
    <t xml:space="preserve">ㅇ 한화비전은 한화시스템ICT에서 업무연속성과 관련된 서비스를 제공받아 복구 목표시간과 복구 목표지점에 대하여 정의하고 있음
※ 한화시스템ICT는 ISO27000, ISO27001, ISO27017 인증을 받아, 백업서비스 및 사이트복구 서비스 등을 제공하고 있음
</t>
  </si>
  <si>
    <t xml:space="preserve"> - 한화시스템(ISO27001) - IS 707803
 - 한화시스템(ISO20000) - ITMS 707805
 - 한화시스템(ISO27017) - CLOUD 707804
 - 5.30.2 센터 재해대응 매뉴얼(인프라)
 - 5.30.2 재해 복구 계획(인프라)</t>
  </si>
  <si>
    <t xml:space="preserve">ㅇ 한화비전은 한화시스템ICT에서 업무연속성과 관련된 서비스를 제공받아 누수 상황, 화재 및 침수 상황 등 사무실, 서버실, 기반시설 등 시스템에 따라 유형 및 상황별 대처 방법, 비상시 복구조직, 비상연락망을 관리하고 있으며 관리 내용에 대하여 보고를 받고 있음
※ 한화시스템ICT는 ISO27000, ISO27001, ISO27017 인증을 받아, 백업서비스 및 사이트복구 서비스 등을 제공하고 있음
</t>
  </si>
  <si>
    <t xml:space="preserve"> - 한화시스템(ISO27001) - IS 707803
 - 한화시스템(ISO20000) - ITMS 707805
 - 한화시스템(ISO27017) - CLOUD 707804
 - 5.30.3 센터 재해대응 매뉴얼(인프라)
 - IT06_C1_재해복구계획 수립</t>
  </si>
  <si>
    <t xml:space="preserve">정보시스템에 대해 관련된 모든 법, 규제, 계약, 정책, 기술상의 요구사항을 정의하고 문서화하고 있습니까?
 - 산업기술의 유출방지 및 보호에 관한 법률
 - 정보통신망 이용 촉진 및 정보보호 등에 관한 법률
 - 개인정보보호법
 - 부정경쟁방지 및 영업비밀보호에 관한 법률
 - 상기 법률 하위문서 및 매뉴얼 등
</t>
  </si>
  <si>
    <t>ㅇ 회사는 정보보호 지침 내 정보보호, 개인정보보호 등 관련한 법률 요구사항을 포함하고 있음</t>
  </si>
  <si>
    <t xml:space="preserve">제 5 조  (법률 요구사항)
</t>
  </si>
  <si>
    <t xml:space="preserve"> - 정보보호지침(BH60-0006K) 제 5 조 (법률 요구사항)</t>
  </si>
  <si>
    <t xml:space="preserve">ㅇ 임직원 및 협력업체 대상으로 필수 보안 프로그램 설치를 의무화 하도록 규정이 마련되어 있고, 부득이하게 미설치할 경우 업무목적, 기간 등을 기재하여 정보보호 담당자의 승인을 얻도록 절차가 구현되어 있음
ㅇ 불법 소프트웨어를 사용할 경우 처벌을 받을 수 있음을 명시하였고, 반기 1회 이상 소프트웨어 불법 소프트웨어 사용 여부를 점검하도록 절차가 마련되어 있음
ㅇ 한화비전은 한화시스템ICT로부터 상용메신저(카카오톡) 등 SW 사용 현황에 관하여 보안월간보고를 받고 있으며, SW 구매 및 사용시 신청서를 작성하고 있음
</t>
  </si>
  <si>
    <t xml:space="preserve">제 117 조  (필수 보안 프로그램 설치)
제 118 조  (불법 소프트웨어 설치 통제)
</t>
  </si>
  <si>
    <t xml:space="preserve">ㅇ 업무용 PC 및 저장매체 내 정보보호 관련 암호화 대상 정보 및 개인정보를 포함한 중요 정보 저장 시 필수보안프로그램 중 하나인 DRM으로 문서를 암호화하고 있음
ㅇ 방화벽을 이용하여 비인가자의 무단 액세스를 차단하고, 인가자에 대한 접속만을 허가하고 있음
ㅇ 중요시스템에 대하여는 손실과 파괴, 위조된 데이터가 있더라도 복구할 수 있도록 일정 주기로 백업을 실시하고 있음
ㅇ 예외적으로 복호화가 필요한 문서에 대해서는 신청을 받아 처리하고 있음
</t>
  </si>
  <si>
    <t xml:space="preserve">제 150 조  (암호화 조치)
제 151 조  (암호화 알고리즘)
제 152 조  (네트워크 전송 시)
제 153 조  (휴대용 저장매체 활용 시)
제 154 조  (업무시스템의 개인정보 저장 시)
제 155 조  (업무용 PC의 개인정보 저장 시)
</t>
  </si>
  <si>
    <t xml:space="preserve"> - DRM 증적 SoftCamp
 - DRM 증적 SoftCamp_일괄암호화
 - 비업무 사이트 차단
 - 비전_방화벽 현황_20230703
 - 필수보안SW정책(NAC)
 - 백업데이터 관리대장(인프라)
 - 백업점검일지(인프라)
 - DRM 문서 암호해제(복호화) 권한 신청(타인)
 - DRM 문서 프린트 마킹 예외신청 
 - 정보보호지침(BH60-0006K) 제 77 조 (백업 및 복구 관리)</t>
  </si>
  <si>
    <t>ㅇ 별도의 개인정보 내부관리 계획인 개인정보보호 업무처리 규정이 존재하고, 개인정보보호와 관련된 법령을 기준으로 개인정보 처리 시스템을 운영하고 있음</t>
  </si>
  <si>
    <t>ㅇ 정보보호지침(BH60-0006K)
ㅇ 정보보호지침(BH60-0006K)
ㅇ 개인정보보호 업무처리 규정(BH60-0003K)</t>
  </si>
  <si>
    <t>정보보호활동업무절차규정서
제 5 조  (법률 요구사항)
제4조(적용 법령)</t>
  </si>
  <si>
    <t xml:space="preserve"> - 정보보호지침(BH60-0006K) 서문
 - 정보보호지침(BH60-0006K) 제 5 조 (법률 요구사항)
 - 개인정보보호 업무처리 규정 (BH60-0003K) 제4조(적용 법령)</t>
  </si>
  <si>
    <t xml:space="preserve"> - 김현도</t>
  </si>
  <si>
    <t xml:space="preserve"> - 법무팀</t>
  </si>
  <si>
    <t xml:space="preserve">정보보호 위원회는 정책 및 절차 등에 관하여 정기적 혹은 중대한 변화가 발생할 경우 독립적으로 검토활동을 수행하는가?
</t>
  </si>
  <si>
    <t>ㅇ 정보보호 위원회를 통해 정보보호 업무의 추진 목표 및 계획 등 전사 차원의 정보보호 관련 사항을 심의∙의결 논의하고 있음
ㅇ 정보보호 실무협의회를 통해 전사 정보보호 연간 계획 검토 등 정보보호 위원회의 심의∙의결사항에 대한 검토, 세부 이행방안 수립, 원활한 정보보호 활동을 위한 조정 등 정보보호 실무 업무를 논의하고 있음
ㅇ 23년 7월 스마트파킹(모플)의 보안성 검토에 대한 정보보호 위원회와 정보보호 실무협의회가 진행되었음</t>
  </si>
  <si>
    <t xml:space="preserve">제 16 조  (정보보호 위원회)
제 17 조  (정보보호 실무협의회)
</t>
  </si>
  <si>
    <t xml:space="preserve"> - 014 정보보호 실무협의회 회의록 2022.04.07
 - 014 정보보호 실무협의회 회의록 2022.07.20
 - 23_0706_정보보호실무협의회 회의록_스캔본(서명포함)
 - 5.35.1_정보보호위원회 회의록_07072023</t>
  </si>
  <si>
    <t>ㅇ 정보보호 목표 수준을 설정하여 정보보호 정책 준수 여부를 검토하기 위해 정보보호 수준 평가: 회사의 종합적인 정보보호 수준 측정하고 개선하고 있으며 정기적으로 취약점 진단을 실시하고 있음
ㅇ 한화비전은 한화시스템ICT를 통해 보안서비스를 제공받고 있으며, 실시간 과제를 받아 수시로 이슈 사항을 체크하고, 월별로 현화 통계자료를 보고받고 있음</t>
  </si>
  <si>
    <t>ㅇ 정보보호지침(BH60-0006K)
ㅇ 정보보호지침(BH60-0006K)
ㅇ (개정) 정보보호 관리 기준(제조화학)_v1.0_(230106)
ㅇ (재배포) 정보보호 양식 절차(제조화학)_v1.0_(230106)</t>
  </si>
  <si>
    <t>제 41 조  (정보보호 점검) 
제 42 조  (정보보호 수준 평가)
[붙임 #8] 정보보호 수준 평가 운영 기준
[별첨 #8] 정보보호 수준 평가 체크리스트</t>
  </si>
  <si>
    <t xml:space="preserve"> - 22년 테크윈 정보보호수준평가_221006_제출
 - (상반기)'22년_한화테크윈_취약점 진단 결과
 - (상반기)'23년_한화비전_취약점 진단 결과_202305
 - `23년 한화비전_정기_ 취약점 상세내역_(웹)_202305
 - `23년 한화비전_정기_ 취약점 상세내역_(인프라)_202305
 - 한화비전_2023_05 ISS보고서
 - 한화비전_보안월간보고_2023년5월</t>
  </si>
  <si>
    <t>ㅇ 정기적으로 취약점 진단 및 점검활등이 이루어지고 있으며, 정보보호 수준 평가를 진행하고 있음
ㅇ 23년 정기 취약점 점검을 행정안전부, KISA, OWASP TOP 10 등 유력한 정보기관에서 제공하는 점검기준으로 진단을 하였고, 이에 따른 상세 결과를 도출하여 관리하고 있음</t>
  </si>
  <si>
    <t>제 83 조  (취약점 점검 및 분석)
제 84 조  (취약점 점검 후속조치)
[붙임 #18] 취약점 진단 및 관리 기준</t>
  </si>
  <si>
    <t xml:space="preserve"> - (상반기)'22년_한화테크윈_취약점 진단 결과
 - (상반기)'23년_한화비전_취약점 진단 결과_202305
 - `23년 한화비전_정기_ 취약점 상세내역_(웹)_202305
 - `23년 한화비전_정기_ 취약점 상세내역_(인프라)_202305
 - (테크윈) 2022년 정보보호 수준평가 결과 및 피드백
 - 22년 테크윈 정보보호수준평가_221006_제출
 - 2022년정보보호수준평가결과보고_22.10.07_결재(완)</t>
  </si>
  <si>
    <t xml:space="preserve">ㅇ 정보보호 지침과 개인정보보호 업무처리 규정을 표준 지침으로 두고 있고, 세부적으로 관리가 필요한 내용에 대해서는 관련 지침을 따로 마련하여 모든 사용자가 접근할 수 있도록 업무지원포털을 통해 게시 및 관리하고 있음
</t>
  </si>
  <si>
    <t>ㅇ 정보보호지침(BH60-0006K)
ㅇ (개정) 정보보호 관리 기준(제조화학)_v1.0_(230106)
ㅇ (재배포) 정보보호 양식 절차(제조화학)_v1.0_(230106)
ㅇ 개인정보보호 업무처리 규정(BH60-0003K)
ㅇ 현장보완_(HTW-AEO(R)-004)물리적보안관리절차서 Rev.04 등
ㅇ BB31-0015K_SW 보안 규칙_01_20210607_1</t>
  </si>
  <si>
    <t xml:space="preserve"> - 정보보호지침(BH60-0006K) 표지
 - 정보보호 관리 기준(제조화학) 표지
 - 정보보호 양식 절차(제조화학) 표지
 - 개인정보보호 업무처리 규정 (BH60-0003K) 표지
 - 물리적보안관리절차서 표지
 - SW 보안 규칙 (BB31-0015K) 표지
 - SW형상관리규칙 표지
 - SW개발업무 규정 표지
 - BSP 업무지원포털 지침 공유</t>
  </si>
  <si>
    <t xml:space="preserve">ㅇ 물리적보안관리절차서를 두어 인사관리 담당자는 인사관계서류의 검증을 제출된 서류의 진위여부를 검증하도록 적격심사가 이루어지고 있음
 1. 경력증명서
 2. 추천서
 3. 졸업증명서 등
ㅇ 관련 서류의 검증은 다음 방법을 통해서 적격 확인을 할 수 있음
 1. 경력증명서 - 해당 회사에 유선 또는 공문발송으로 문의
 2. 졸업증명서 및 성적증명서 - 해당 학교에 공문발송, 유선확인, 홈페이지 확인
 3. 어학성적 - 해당 발행기관에 공문발송 또는 홈페이지 확인
 4. 각종 자격증 - 해당 발행기관에 유선확인 또는 홈페이지 확인
ㅇ 신규 채용된 자는 제출한 관련 서류상의 성명, 연령, 학력, 경력 기타 중요한 사항이 사실과 상이함이 판명된 때에는 채용을 취소할 수 있음
  [취업규칙; 제19조(채용취소)] 준용
</t>
  </si>
  <si>
    <t>ㅇ 정보보호지침(BH60-0006K)
ㅇ 현장보완_(HTW-AEO(R)-004)물리적보안관리절차서 Rev.04
ㅇ 현장보완_(HTW-AEO(R)-004)물리적보안관리절차서 Rev.04
ㅇ 취업규칙
ㅇ 취업규칙
ㅇ 취업규칙
ㅇ 취업규칙
ㅇ 취업규칙</t>
  </si>
  <si>
    <t>제 18 조  (정보보호 서약서 징구 및 보관)
27 인사관계서류의 검증
28 채용 예정자의 이력 점검
제 12 조 (채용절차)
제 13 조 (채용기준)
제 14 조 (채용결격)
제 19 조 (채용취소)
제 20 조 (인사관계서류)</t>
  </si>
  <si>
    <t xml:space="preserve"> - 6.1.1_면담확인서
</t>
  </si>
  <si>
    <t xml:space="preserve"> - 편장윤 대리</t>
  </si>
  <si>
    <t xml:space="preserve"> - 인사기획팀</t>
  </si>
  <si>
    <r>
      <rPr>
        <rFont val="Malgun Gothic"/>
        <color theme="1"/>
        <sz val="11.0"/>
      </rPr>
      <t>6.1.2</t>
    </r>
  </si>
  <si>
    <t xml:space="preserve">ㅇ 물리보안 담당자는 신규 채용인력에게 정보보호 지침 준수 및 비밀유지 내용이 명시된 임직원 정보보호서약서를 징구하고 있음
ㅇ 개인정보, 인사정보, 영업정보, 산업기술정보 등 취급 업무와 정보보호 관리체계 운영 업무 등의 직무를 수행하는 최소한의 임직원을 주요 직무자로 지정하도록 보안대책에 적합하게 수행하고 있음.
</t>
  </si>
  <si>
    <t xml:space="preserve">ㅇ 정보보호지침(BH60-0006K)
ㅇ 정보보호지침(BH60-0006K)
ㅇ (개정) 정보보호 관리 기준(제조화학)_v1.0_(230106)
ㅇ (개정) 정보보호 관리 기준(제조화학)_v1.0_(230106)
</t>
  </si>
  <si>
    <t xml:space="preserve">제 18 조  (정보보호 서약서 징구 및 보관)
제 20 조  (주요 직무자 지정 및 감독)
[별첨 #1] 임직원 정보보호서약서
[별첨 #5] 협력업체 인원 정보보호서약서(투입 시)
</t>
  </si>
  <si>
    <t xml:space="preserve"> - 6.1.2_정보보호서약서(1) ~ (3)
 - 033 교육확인증(PIS FAIR 2022)</t>
  </si>
  <si>
    <t xml:space="preserve">ㅇ 임직원 신규 채용인력에게 정보보호 지침 준수 및 비밀유지 내용이 명시된 임직원 정보보호 서약서(영업비밀 보호 및 경업금지 서약서)를 징구하고 있음
ㅇ 협력업체 계약시 인원, 외부 용역 인원, 외주 계약 인원 등을 구별하여 제안 요청서를 작성하고, 투입 인력에 대한 정보보호서약서를 징구하도록 책임사항을 명문화하고 있음
</t>
  </si>
  <si>
    <t>ㅇ 정보보호지침(BH60-0006K)
ㅇ 정보보호지침(BH60-0006K)
ㅇ 정보보호지침(BH60-0006K)
ㅇ (개정) 정보보호 관리 기준(제조화학)_v1.0_(230106)
ㅇ (개정) 정보보호 관리 기준(제조화학)_v1.0_(230106)
ㅇ (개정) 정보보호 관리 기준(제조화학)_v1.0_(230106)
ㅇ 취업규칙</t>
  </si>
  <si>
    <t>제 18 조  (정보보호 서약서 징구 및 보관)
제 27 조  (계약 체결)
제 30 조  (정보보호 서약서 징구)
[별첨 #1] 임직원 정보보호서약서
[별첨 #4] 정보보호 특약서
[별첨 #5] 협력업체 인원 정보보호서약서(투입 시)
제 28 조 (퇴직절차)</t>
  </si>
  <si>
    <t xml:space="preserve"> - 6.1.2_정보보호서약서(1) ~ (3)
 - 6.2.1_근로계약서(1) ~ (2)
 - 근로계약서
 - 정보보호 서약서(영업비밀 보호 및 경업금지 서약서)
 - 정보보호 서약서_샘플1 ~ 3
 - [별첨 #4] 정보보호 특약서</t>
  </si>
  <si>
    <t xml:space="preserve"> - 설승현 대리
</t>
  </si>
  <si>
    <t xml:space="preserve"> - 인사기획팀
</t>
  </si>
  <si>
    <t xml:space="preserve">ㅇ 교육 및 훈련을 교육의 대상, 내용, 기간 등에 따라 연 1회 이상 정기적으로 실시하도록 규정되어 있으며, 22년 6월, 23년 3월 교육을 진행하였고, 23년 12월에 교육이 예정되어 있음
ㅇ 일반 직무에 대한 보안 교육과 전문 보안을 구분하여 교육하고 있음
ㅇ 외부인력 투입시 서약서 징구와 함께 약식 면담을 진행하여 보안사항을 교육하고 있음
ㅇ 수탁사 관련된 관리 현황은 보완이 필요함
</t>
  </si>
  <si>
    <t>ㅇ 정보보호지침(BH60-0006K)
ㅇ 정보보호지침(BH60-0006K)
ㅇ 정보보호지침(BH60-0006K)
ㅇ 정보보호지침(BH60-0006K)
ㅇ 정보보호지침(BH60-0006K)</t>
  </si>
  <si>
    <t>제 19 조  (채용 시 정보보호 교육)
제 22 조  (정보보호 교육 계획 수립 및 시행)
제 23 조  (정보보호 교육 사후관리)
제 31 조  (정보보호 교육)
제 68 조  (사고 대응 모의훈련)</t>
  </si>
  <si>
    <t>ㅇ 교육 및 훈련을 교육의 대상, 내용, 기간 등에 따라 연 1회 이상 정기적으로 실시하도록 규정되어 있으며, 22년 6월, 23년 3월 교육을 진행하였음
ㅇ 일반 직무에 대한 보안 교육과 전문 보안을 구분하여 교육하고 있음
ㅇ 교육만족도 조사에 대한 사항은 보완이 필요함</t>
  </si>
  <si>
    <t xml:space="preserve">제 22 조  (정보보호 교육 계획 수립 및 시행)
제 23 조  (정보보호 교육 사후관리)
</t>
  </si>
  <si>
    <t>해킹 공격의 인지 및 대응, 정보보호 사고 발생 시 신속한 대응을 위해 정기적으로 정보보호 사고 대응 모의훈련을 계획 및 실시하고 있습니까?
 - 해킹(메일) 대응 모의 훈련
 - DDOS 대응 훈련
 - APT 공격 대응 훈련 등</t>
  </si>
  <si>
    <t xml:space="preserve">ㅇ 임원진 및 외부 인력을 교육에 포함하도록 정책이 수립되어 있으며, 교육 및 훈련이 실행되고 있음
 - 해킹(메일) 대응 모의 훈련을 실시하고 있음
 - DDOS, APT 대응 훈련 등
</t>
  </si>
  <si>
    <t>제 22 조  (정보보호 교육 계획 수립 및 시행)
제 23 조  (정보보호 교육 사후관리)
제 45 조  (점검 결과 보고)</t>
  </si>
  <si>
    <t>ㅇ 교육에 관한 정책이 절차 및 역할 등이 수립되어 있으며, 교육 및 훈련이 실행되고 있으나 정기교육 외 절차 및 역할의 변경에 의한 교육 또는 변경에 관하여 공지 또는 임직원에게 안내하는 내용에는 보완이 필요함</t>
  </si>
  <si>
    <t>ㅇ 정보보호 기본 원칙에 따라 규정 위반에 따른 징계위원회 회부하여 처벌할 수 있도록 규정이 마련되어 있음
ㅇ 취업규칙에 징계규정을 따로 두어 징계 대상행위를 상세히 열거하여 징계 대상행위의 정도에 따라 해고, 정직, 감봉, 감급, 견책으로 분류하여 징계하도록 규정이 마련되어있음.
ㅇ 징계와 별개로 민사상 및 형사상 책임을 질 수 있음을 명시하고 있음
ㅇ 한화비전은 현재 정보보호 정책 위반에 따른 징계위원회 회부내역이 없음</t>
  </si>
  <si>
    <t>ㅇ 정보보호지침(BH60-0006K)
ㅇ 취업규칙
ㅇ 취업규칙
ㅇ 취업규칙</t>
  </si>
  <si>
    <t>제 66 조  (사고 징계 처리)
제 41 조 (징계사유)
제 42 조 (징계해고 기준)
제 45 조 (민·형사상의 책임)</t>
  </si>
  <si>
    <t xml:space="preserve"> - 징계규정
 - 정보보호지침(BH60-0006K) 제 66 조 (사고 징계 처리)</t>
  </si>
  <si>
    <t xml:space="preserve"> - 이주형 대리</t>
  </si>
  <si>
    <t xml:space="preserve"> - 인사지원팀</t>
  </si>
  <si>
    <t xml:space="preserve">ㅇ 임직원과 협력업체를 구분하여 퇴직 및 계약종료 시점에 따라 정보보호 책임 및 의무와 관련된 내용을 환기하고 면담과 함께 서약서를 받아 보호조치를 시행하고 있음 
</t>
  </si>
  <si>
    <t>ㅇ 정보보호지침(BH60-0006K)
ㅇ 정보보호지침(BH60-0006K)
ㅇ 정보보호지침(BH60-0006K)
ㅇ 정보보호지침(BH60-0006K)
ㅇ 정보보호지침(BH60-0006K)
ㅇ 정보보호지침(BH60-0006K)
ㅇ 개인정보보호 업무처리 규정(BH60-0003K)
ㅇ 개인정보보호 업무처리 규정(BH60-0003K)
ㅇ (재배포) 정보보호 양식 절차(제조화학)_v1.0_(230106)
ㅇ (재배포) 정보보호 양식 절차(제조화학)_v1.0_(230106)
ㅇ (재배포) 정보보호 양식 절차(제조화학)_v1.0_(230106)</t>
  </si>
  <si>
    <t>제 24 조  (퇴직 예정자 정보 공유)
제 25 조  (퇴직 예정자 모니터링 및 사후조치)
제 26 조  (퇴직 시 보호조치)
제 33 조  (자료 회수)
제 34 조  (자료 삭제 및 권한 회수)
제 35 조  (정보보호 서약서 징구)
[붙임 #3] 퇴직 예정자 보안관리 기준
[붙임 #4] 협력업체 보안 관리 기준
[별첨 #2] 정보유출 방지 각서
[별첨 #3] 퇴직자 정보보호 서약서
[별첨 #6] 협력업체 인원 정보보호서약서(종료 시)</t>
  </si>
  <si>
    <t xml:space="preserve"> - 024. 퇴직 시 모니터링 시행 내역
 - 027. 퇴사자 서클계정 삭제 내역 및 공람 문서
 - 퇴직자 점검 관련_한화비전</t>
  </si>
  <si>
    <t xml:space="preserve"> - 설승현 대리 </t>
  </si>
  <si>
    <t>ㅇ 임직원의 채용과 협력업체의 사업 투입이 있을 때, 보안 요구사항 내용을 명시한 서약서를 징구하고, 비인가자 접근이 불가능한 안전한 장소에 보관하도록 규정하고 있음
ㅇ퇴직 예정자에 대해 서약서(영업비밀 보호 및 경업금지 서약성)를 징구하여 작성하도록 하고, 모니터링을 실시하여 노트북/PC 반납 상태, 서클ID 삭제 상태 등 담당자별로 퇴직 인원에 대한 보안 점검을 실시하고 있음.</t>
  </si>
  <si>
    <t>ㅇ 정보보호지침(BH60-0006K)
ㅇ 정보보호지침(BH60-0006K)
ㅇ 정보보호지침(BH60-0006K)
ㅇ 정보보호지침(BH60-0006K)
ㅇ 정보보호지침(BH60-0006K)
ㅇ 개인정보보호 업무처리 규정(BH60-0003K)
ㅇ 개인정보보호 업무처리 규정(BH60-0003K)
ㅇ (재배포) 정보보호 양식 절차(제조화학)_v1.0_(230106)
ㅇ (재배포) 정보보호 양식 절차(제조화학)_v1.0_(230106)
ㅇ (재배포) 정보보호 양식 절차(제조화학)_v1.0_(230106)</t>
  </si>
  <si>
    <t>제 18 조  (정보보호 서약서 징구 및 보관)
제 26 조  (퇴직 시 보호조치)
제 27 조  (계약 체결)
제 30 조  (정보보호 서약서 징구)
제 35 조  (정보보호 서약서 징구)
[붙임 #3] 퇴직 예정자 보안관리 기준
[붙임 #4] 협력업체 보안 관리 기준
[별첨 #2] 정보유출 방지 각서
[별첨 #3] 퇴직자 정보보호 서약서
[별첨 #6] 협력업체 인원 정보보호서약서(종료 시)</t>
  </si>
  <si>
    <t xml:space="preserve"> - 024. 퇴직 시 모니터링 시행 내역
 - 027. 퇴사자 서클계정 삭제 내역 및 공람 문서
 - 퇴직자 점검 관련_한화비전
 - 정보보호 서약서_샘플1 ~ 3
 - 퇴직공람 샘플</t>
  </si>
  <si>
    <t>ㅇ 회사는 외부 인터넷에서 내부망 접속이 필요한 경우 가상사설망(VPN) 또는 가상화시스템(VDI)을 활용하고 보호대책을 마련하고 있음
 1. 정보보호 담당자 승인
 2. 계정 및 패스워드 외 OTP 등 추가적인 인증 수단 적용
 3. 계정 사용 기간은 90일 이하로 제한하며 추가 사용 시 연장 신청
 4. 정보시스템 운영 부서는 모든 계정은 사용 이력 추적이 가능하도록 고정 IP주소 부여
 5. 모든 사용자는 접근 가능한 최소한의 업무시스템 지정
 6. 인터넷 접속 차단 
 7. 일정시간(최대 30분 이상) 미사용시 세션 종료 정책 적용
 8. 접속기록 및 계정발급 현황 등 분기 1회 이상 점검하고 불필요한 계정 삭제 및 권한 회수 등
 9. 1개월 이상 미 사용 시 계정 비활성화
ㅇ 매달 VDI 사용과 관련하여 정책ID, Action, 출발지, 목적지, 통신포트, 만료일에 대해서 현황을 관리하고 있으며, 방화벽으로 추가 보호대책을 구현하고 있음
최승우과장님</t>
  </si>
  <si>
    <t xml:space="preserve">제 76 조  (접근통제)
제 91 조  (네트워크 접근통제)
제 96 조  (내부망 접속 시 보호조치) </t>
  </si>
  <si>
    <t xml:space="preserve"> - 방화벽,VPN 장비_관리자 ACL
 - SSLVPN 관리자 계정 현황
 - 205. SSLVPN 필수SW 정책 적용(NAC)(양식)
 - 208. SSLVPN 추가인증적용
 - 197. SSLVPN 화면
 - 205. VDI 신청 시 MAC 등록
 - 202. VDI 화면
 - 원격 근무 관리 현황_한화비전
 - 한화비전_2023_05 ISS보고서
 - 한화비전_보안월간보고_2023년5월
 - 비전_방화벽 현황_20230703
 - 비전_VDI 원격접속 현황_20230703
 - 해외임직원VPN신청서(원격근무)(양식)
 - 방화벽 등록 신청서(양식)</t>
  </si>
  <si>
    <t>ㅇ CIRCLE의 게시판 - 정보보안 채널을 통해 보안이슈,사고 등을 게시하여 인식제고를 전파하고 있음
ㅇ 보안사고 발생시 내부 담당 부서의 전문가와 연락할 수 있는 연락망과 보고체계가 존재하고, 개인정보 유출 시 KISA에 신고하도록 연락 체계가 존재함
ㅇ 한화비전은 한화시스템ICT로 부터 이상징후 및 침해사고에 대한 관리를 ISS 보안 관제 서비스를 제공 받으며, 보안 사고, 해킹 시도, 악성코드 탐지, 외부데이터전송, E-Mail 위협 탐지 등에 대해 월별 조치 현황을 보고받고 있음 
※ 한화시스템ICT는 ISO27000, ISO27001, ISO27017 인증을 받아, 통제항목을 준수하고 있음</t>
  </si>
  <si>
    <t>ㅇ 정보보호지침(BH60-0006K)
ㅇ 정보보호지침(BH60-0006K)
ㅇ 정보보호지침(BH60-0006K)
ㅇ 정보보호지침(BH60-0006K)
ㅇ (개정) 정보보호 관리 기준(제조화학)_v1.0_(230106)
ㅇ (개정) 정보보호 관리 기준(제조화학)_v1.0_(230106)
ㅇ (개정) 정보보호 관리 기준(제조화학)_v1.0_(230106)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(재배포) 정보보호 양식 절차(제조화학)_v1.0_(230106)
ㅇ 개인정보보호 업무처리 규정 (BH60-0003K)</t>
  </si>
  <si>
    <t>제 62 조  (사고 인지)
제 63 조  (사고 조사)
제 64 조  (사고 보고)
제 65 조  (재발방지 대책 수립)
[붙임 #12] 위기경보 발령 및 침해사고 대응
[붙임 #21] 티켓 관리 운영 기준
[붙임 #17] 악성코드 대응 기준
[별첨 #12] 위기경보에 따른 침해사고 유형 및 상황
[별첨 #13] 침해사고 보고 체계 및 주요내용
[별첨 #14] 침해사고 보고 대응 절차 및 체계
[별첨 #19] 티켓 발생 보고서
[별첨 #20] 악성코드 조치 결과 보고서
[별첨 #21] 데이터 외부 전송 사후 소명서
[부속서 1] 5. 개인정보 유출 통지 및 신고</t>
  </si>
  <si>
    <t xml:space="preserve"> - CIRCLE_ 게시판 정보보안_한화비전
 - 127. 한화테크윈_2022_07 ISS 보고서
 - 한화시스템(ISO27001) - IS 707803
 - 한화시스템(ISO20000) - ITMS 707805
 - 한화시스템(ISO27017) - CLOUD 707804
 - ISS 보안서비스 보안관제 티켓서비스
 - 티켓처리 프로세스_20191030
 - 한화비전_2023_05 ISS보고서
 - CIRCLE 게시판 업무기준 보고체계 한화비전
 - BH60-0002K_한화비전 보고체계 및 위임전결기준(24차개정)_F 상황보고 지침, 대처방안
 - BH60-0002K_한화비전 보고체계 및 위임전결기준(24차개정)_F 보안 사고 주요현안 보고체계
 - BH60-0002K_보고체계 유형별 담당부서 및 연락처
 - 개인정보보호 업무처리 규정 (BH60-0003K) [부속서 1] 5. 개인정보 유출 통지 및 신고</t>
  </si>
  <si>
    <r>
      <rPr>
        <rFont val="Malgun Gothic"/>
        <color theme="1"/>
        <sz val="11.0"/>
      </rPr>
      <t>6.8.2</t>
    </r>
  </si>
  <si>
    <t xml:space="preserve">ㅇ 정보보호 담당자는 양식 절차를 따라 연 2회 이상 취약점 점검과 홈페이지를 포함한 모든 웹 서비스를 대상으로 연 2회 모의해킹을 수행해야 하고 도출된 취약점에 대한 지속적인 개선활동을 수행하도록 보고 절차가 존재함
ㅇ 내부망 및 상용 클라우드에서 운영하는 모든 정보시스템을 대상으로 정보보호 양식 절차에 따라 연 2회 이상 취약점 진단을 수행해야 하며, 긴급 진단이 필요한 경우 추가적으로 수행하도록 하였음
</t>
  </si>
  <si>
    <t>ㅇ 정보보호지침(BH60-0006K)
ㅇ 정보보호지침(BH60-0006K)
ㅇ (개정) 정보보호 관리 기준(제조화학)_v1.0_(230106)
ㅇ (재배포) 정보보호 양식 절차(제조화학)_v1.0_(230106)
ㅇ (재배포) 정보보호 양식 절차(제조화학)_v1.0_(230106)</t>
  </si>
  <si>
    <t>제 83 조  (취약점 점검 및 분석)
제 166 조  (취약점 점검)
[붙임 #18] 취약점 진단 및 관리 기준
[별첨 #16] 위험수용 및 예외(R/A) 항목 신청서</t>
  </si>
  <si>
    <t xml:space="preserve"> - (상반기)'23년_한화비전_취약점 진단 결과_202305
 - `23년 한화비전_정기_ 취약점 상세내역_(웹)_202305
 - `23년 한화비전_정기_ 취약점 상세내역_(인프라)_202305</t>
  </si>
  <si>
    <t xml:space="preserve">ㅇ 정보보호지침과 물리적보안관리절차서를 통해 제한구역과 통제구역을 구분하여 구역별 보안사항을 규정하고 있고, 카드키를 통해 출입통제를 적용하고 있음
※ 한화시스템ICT는 ISO27000, ISO27001, ISO27017 인증을 받아, 통제항목을 준수하고 있음
</t>
  </si>
  <si>
    <t>ㅇ 정보보호지침(BH60-0006K)
ㅇ 정보보호지침(BH60-0006K)
ㅇ 정보보호지침(BH60-0006K)
ㅇ 정보보호지침(BH60-0006K)
ㅇ 정보보호지침(BH60-0006K)
ㅇ 정보보호지침(BH60-0006K)
ㅇ 현장보완_(HTW-AEO(R)-004)물리적보안관리절차서 Rev.04.
ㅇ 현장보완_(HTW-AEO(R)-004)물리적보안관리절차서 Rev.04.
ㅇ (개정) 정보보호 관리 기준(제조화학)_v1.0_(230106)
ㅇ (재배포) 정보보호 양식 절차(제조화학)_v1.0_(230106)
ㅇ (재배포) 정보보호 양식 절차(제조화학)_v1.0_(230106)</t>
  </si>
  <si>
    <t>제 46 조  (제한구역 설정)
제 47 조  (제한구역 출입통제)
제 48 조  (제한구역 전산장비 반입)
제 49 조  (통제구역 운영)
제 50 조  (통제구역 출입통제)
제 51 조  (통제구역 전산장비 반입)
15 통제구역의 설정 및 관리
22 소포 및 우편물 관리
[붙임 #9] 통제구역 운영 설비
[별첨 #10] 출입 관리대장
[별첨 #11] 통제구역 출입 대장</t>
  </si>
  <si>
    <t xml:space="preserve"> - 한화시스템(ISO27001) - IS 707803
 - 한화시스템(ISO20000) - ITMS 707805
 - 한화시스템(ISO27017) - CLOUD 707804
 - 통제구역 보안서약서
 - 통제구역 출입절차 안내서
 - 통제구역 표시지
 - 통제구역 핸드폰보관대
 - 판교 전산기계실 출입인가자 현황</t>
  </si>
  <si>
    <r>
      <rPr>
        <rFont val="Malgun Gothic"/>
        <color theme="1"/>
        <sz val="11.0"/>
      </rPr>
      <t>7.1.2</t>
    </r>
  </si>
  <si>
    <t xml:space="preserve">(한화비전)
ㅇ 전산실 외부에서 카드키를 이용하여 내부 출입이 가능하며, 내부의 경우 제한구역과 통제구역을 따로 두어 관리자 현황표와 통제구역 표시를 하고 있음
 - 통제구역 출입대장과 보안서약서 작성으로 서버실 출입통제
 - 휴대폰 제출함으로 내부 촬영 통제
 - 전산기계실은 방산시설 보호조치구역이기도 하여, 관리대상자 리스트를 통해 외부인 출입통제
※ 한화시스템ICT는 ISO27000, ISO27001, ISO27017 인증을 받아, 통제항목을 준수하고 있음
</t>
  </si>
  <si>
    <t>ㅇ 정보보호지침(BH60-0006K)
ㅇ 정보보호지침(BH60-0006K)
ㅇ 정보보호지침(BH60-0006K)
ㅇ 현장보완_(HTW-AEO(R)-004)물리적보안관리절차서 Rev.04
ㅇ 현장보완_(HTW-AEO(R)-004)물리적보안관리절차서 Rev.04
ㅇ 현장보완_(HTW-AEO(R)-004)물리적보안관리절차서 Rev.04
ㅇ 현장보완_(HTW-AEO(R)-004)물리적보안관리절차서 Rev.04
ㅇ 현장보완_(HTW-AEO(R)-004)물리적보안관리절차서 Rev.04
ㅇ (개정) 정보보호 관리 기준(제조화학)_v1.0_(230106)
ㅇ (재배포) 정보보호 양식 절차(제조화학)_v1.0_(230106)
ㅇ (재배포) 정보보호 양식 절차(제조화학)_v1.0_(230106)</t>
  </si>
  <si>
    <t>제 47 조  (제한구역 출입통제)
제 50 조  (통제구역 출입통제)
제 52 조  (출입증 발급)
15 통제구역의 설정 및 관리
16 접근통제장치(열쇠, 카드 키 등 시건장치) 관리
17 직원식별 시스템
21 불법 침입자(신원 미 확인자, 소란/난동자)대응 후 조치
22 소포 및 우편물 관리
[붙임 #9] 통제구역 운영 설비
[별첨 #10] 출입 관리대장
[별첨 #11] 통제구역 출입 대장</t>
  </si>
  <si>
    <t xml:space="preserve">(한화비전)
ㅇ 임직원과 모든 외부인은 출입증을 항시 패용하도록 하고 있으며, 출입통제를 위한 출입통제 시스템을 설치∙운영해야 하고 있고, 전자적 출입이력 관리가 불가능한 경우 [별첨 #10] 출입 관리대장 작성해야하고, 고정출입자 외 통제구역 출입에 대하여 [별첨 #11] 통제구역 출입 대장을 작성하도록 되어 있음.
※ 한화시스템ICT는 ISO27000, ISO27001, ISO27017 인증을 받아, 통제항목을 준수하고 있음
</t>
  </si>
  <si>
    <t>ㅇ 정보보호지침(BH60-0006K)
ㅇ 정보보호지침(BH60-0006K)
ㅇ 현장보완_(HTW-AEO(R)-004)물리적보안관리절차서 Rev.04
ㅇ (개정) 정보보호 관리 기준(제조화학)_v1.0_(230106)
ㅇ (재배포) 정보보호 양식 절차(제조화학)_v1.0_(230106)
ㅇ (재배포) 정보보호 양식 절차(제조화학)_v1.0_(230106)</t>
  </si>
  <si>
    <t>제 47 조  (제한구역 출입통제)
제 50 조  (통제구역 출입통제)
15 통제구역의 설정 및 관리
[붙임 #9] 통제구역 운영 설비
[별첨 #10] 출입 관리대장
[별첨 #11] 통제구역 출입 대장</t>
  </si>
  <si>
    <t xml:space="preserve"> - 05_데이터센터_출입통제관리지침_시설(최종본)
 - 071. 서버실_지문인식
 - 정보보호지침(BH60-0006K) 제 47 조 (제한구역 출입통제)
 - 정보보호지침(BH60-0006K) 제 50 조 (통제구역 출입통제)
 - 현장보완_(HTW-AEO(R)-004)물리적보안관리절차서 표지
 - 현장보완_(HTW-AEO(R)-004)물리적보안관리절차서 15 통제구역의 설정 및 관리
 - [붙임 #9] 통제구역 운영 설비
 - [별첨 #10] 출입 관리대장
 - [별첨 #11] 통제구역 출입 대장
 - 한화시스템(ISO27001) - IS 707803
 - 한화시스템(ISO20000) - ITMS 707805
 - 한화시스템(ISO27017) - CLOUD 707804</t>
  </si>
  <si>
    <r>
      <rPr>
        <rFont val="Malgun Gothic"/>
        <color theme="1"/>
        <sz val="11.0"/>
      </rPr>
      <t>7.2.2</t>
    </r>
  </si>
  <si>
    <t>(한화비전)
ㅇ 회사는 사원증, 지문, 방문증(VISTOR 용) 등을 통해 출입 권한을 생성하고 외부인의 통제 및 구분 식별하고 있고, 방문자 신청과 협력사 출입신청이 있어야 출입이 가능하도록 관리되고 있음
ㅇ 출입증은 임직원 용과 고정 출입을 하는 방문자 용으로 구분하고 있음.
 1. 협력업체 인원이 고정적으로 상주할 경우 '출입증발급신청서', '정보보호 서약서'등의 서류를 징구 후 임시 출입증 발급
 2. 임시 출입증의 발급은 부서 정보보호 책임자 승인
 3. 출입증의 발급 및 회수 현황을 출입통제 시스템 등에 기록하여 관리
※ 한화시스템ICT는 ISO27000, ISO27001, ISO27017 인증을 받아, 통제항목을 준수하고 있음
 - 출입관리대장</t>
  </si>
  <si>
    <t>ㅇ 정보보호지침(BH60-0006K)
ㅇ 정보보호지침(BH60-0006K)
ㅇ 정보보호지침(BH60-0006K)
ㅇ 현장보완_(HTW-AEO(R)-004)물리적보안관리절차서 Rev.04
ㅇ (개정) 정보보호 관리 기준(제조화학)_v1.0_(230106)
ㅇ (재배포) 정보보호 양식 절차(제조화학)_v1.0_(230106)
ㅇ (재배포) 정보보호 양식 절차(제조화학)_v1.0_(230106)</t>
  </si>
  <si>
    <t>제 52 조  (출입증 발급)
제 53 조  (출입증 관리)
제 54 조  (출입 권한 검토)
17 직원식별 시스템
[붙임 #9] 통제구역 운영 설비
[별첨 #10] 출입 관리대장
[별첨 #11] 통제구역 출입 대장</t>
  </si>
  <si>
    <r>
      <rPr>
        <rFont val="Malgun Gothic"/>
        <color theme="1"/>
        <sz val="11.0"/>
      </rPr>
      <t>7.2.3</t>
    </r>
  </si>
  <si>
    <t xml:space="preserve">(한화비전)
ㅇ 보호구역은 출입증 신청을 하여 출입증을 통해서만 출입이 가능하여 출입관리현황을 정기적으로 검토하고 있으며, 출입권한에 관하여 임직원 퇴사 등에 관하여 모니터링하고 있으며 사원증을 반납하고 있음
※ 한화시스템ICT는 ISO27000, ISO27001, ISO27017 인증을 받아, 통제항목을 준수하고 있음
</t>
  </si>
  <si>
    <t>ㅇ 정보보호지침(BH60-0006K)
ㅇ 현장보완_(HTW-AEO(R)-004)물리적보안관리절차서 Rev.04
ㅇ (개정) 정보보호 관리 기준(제조화학)_v1.0_(230106)
ㅇ (재배포) 정보보호 양식 절차(제조화학)_v1.0_(230106)
ㅇ (재배포) 정보보호 양식 절차(제조화학)_v1.0_(230106)</t>
  </si>
  <si>
    <t>제 54 조  (출입 권한 검토)
17 직원식별 시스템
[붙임 #9] 통제구역 운영 설비
[별첨 #10] 출입 관리대장
[별첨 #11] 통제구역 출입 대장</t>
  </si>
  <si>
    <r>
      <rPr>
        <rFont val="Malgun Gothic"/>
        <color theme="1"/>
        <sz val="11.0"/>
      </rPr>
      <t>7.2.4</t>
    </r>
  </si>
  <si>
    <t>(한화비전)
ㅇ 지침에서 구역별 보안사항에 관한 정책을 규정하고, 세부 지침을 정보보호 관리 기준, 정보보호 양식 절차에 '붙임'과 '별첨'으로 세부적인 보안 대책을 수립하고 있으며, 물리적보안관리절차서를 두어, 제한구역과 통제구역, 소포 및 우편물 관리 구역 등 보호구역을 세분화 하여 분류하였고, 상황에 따라서도 그 대응 및 절차에 관하여 수립한 세부적인 절차서 및 관리대장이 존재함.
※ 한화시스템ICT는 ISO27000, ISO27001, ISO27017 인증을 받아, 통제항목을 준수하고 있음</t>
  </si>
  <si>
    <t>ㅇ 정보보호지침(BH60-0006K)
ㅇ 정보보호지침(BH60-0006K)
ㅇ 정보보호지침(BH60-0006K)
ㅇ 정보보호지침(BH60-0006K)
ㅇ 정보보호지침(BH60-0006K)
ㅇ 정보보호지침(BH60-0006K)
ㅇ 현장보완_(HTW-AEO(R)-004)물리적보안관리절차서 Rev.04.
ㅇ 현장보완_(HTW-AEO(R)-004)물리적보안관리절차서 Rev.04.
ㅇ 현장보완_(HTW-AEO(R)-004)물리적보안관리절차서 Rev.04.
ㅇ 현장보완_(HTW-AEO(R)-004)물리적보안관리절차서 Rev.04.
ㅇ 현장보완_(HTW-AEO(R)-004)물리적보안관리절차서 Rev.04.
ㅇ 현장보완_(HTW-AEO(R)-004)물리적보안관리절차서 Rev.04.
ㅇ 현장보완_(HTW-AEO(R)-004)물리적보안관리절차서 Rev.04.
ㅇ (개정) 정보보호 관리 기준(제조화학)_v1.0_(230106)
ㅇ (재배포) 정보보호 양식 절차(제조화학)_v1.0_(230106)
ㅇ (재배포) 정보보호 양식 절차(제조화학)_v1.0_(230106)</t>
  </si>
  <si>
    <t>제 46 조  (제한구역 설정)
제 47 조  (제한구역 출입통제)
제 48 조  (제한구역 전산장비 반입)
제 49 조  (통제구역 운영)
제 50 조  (통제구역 출입통제)
제 51 조  (통제구역 전산장비 반입)
12 적용 범위
13.6 제한구역
13.7 통제구역
14 책임과 권한
15 통제구역의 설정 및 관리
17 직원식별 시스템
21 불법 침입자(신원 미 확인자, 소란/난동자)대응 후 조치
[붙임 #9] 통제구역 운영 설비
[별첨 #10] 출입 관리대장
[별첨 #11] 통제구역 출입 대장</t>
  </si>
  <si>
    <t xml:space="preserve"> - 정보보호지침(BH60-0006K) 제 46 조 (제한구역 설정)
 - 정보보호지침(BH60-0006K) 제 47 조 (제한구역 출입통제)
 - 정보보호지침(BH60-0006K) 제 48 조 (제한구역 전산장비 반입)
 - 정보보호지침(BH60-0006K) 제 49 조 (통제구역 운영)
 - 정보보호지침(BH60-0006K) 제 50 조 (통제구역 출입통제)
 - 정보보호지침(BH60-0006K) 제 51 조 (통제구역 전산장비 반입)
 - 현장보완_(HTW-AEO(R)-004)물리적보안관리절차서 12 적용 범위
 - 현장보완_(HTW-AEO(R)-004)물리적보안관리절차서 13.6 제한구역, 13.7 통제구역
 - 현장보완_(HTW-AEO(R)-004)물리적보안관리절차서 14 책임과 권한
 - 현장보완_(HTW-AEO(R)-004)물리적보안관리절차서 15 통제구역의 설정 및 관리
 - 현장보완_(HTW-AEO(R)-004)물리적보안관리절차서 17 직원식별 시스템
 - 현장보완_(HTW-AEO(R)-004)물리적보안관리절차서 21 불법 침입자 대응 후 조치
 - [붙임 #9] 통제구역 운영 설비
 - [별첨 #10] 출입 관리대장
 - [별첨 #11] 통제구역 출입 대장
 - 한화시스템(ISO27001) - IS 707803
 - 한화시스템(ISO20000) - ITMS 707805
 - 한화시스템(ISO27017) - CLOUD 707804</t>
  </si>
  <si>
    <r>
      <rPr>
        <rFont val="Malgun Gothic"/>
        <color theme="1"/>
        <sz val="11.0"/>
      </rPr>
      <t>7.2.5</t>
    </r>
  </si>
  <si>
    <t>(한화비전)
ㅇ 접견실 등 비인가자 접근 가능 지역이 따로 지정되어 있으며, 소포 및 우편물 관리에 관하여 정보처리설비로 부터 격리되어 있음
 - 판교본사 1층 문서수발실
※ 한화시스템ICT는 ISO27000, ISO27001, ISO27017 인증을 받아, 통제항목을 준수하고 있음</t>
  </si>
  <si>
    <t>ㅇ 정보보호지침(BH60-0006K)
ㅇ 현장보완_(HTW-AEO(R)-004)물리적보안관리절차서 Rev.04.
ㅇ (개정) 정보보호 관리 기준(제조화학)_v1.0_(230106)
ㅇ (재배포) 정보보호 양식 절차(제조화학)_v1.0_(230106)
ㅇ (재배포) 정보보호 양식 절차(제조화학)_v1.0_(230106)</t>
  </si>
  <si>
    <t>제 46 조  (제한구역 설정)
22 소포 및 우편물 관리
[붙임 #9] 통제구역 운영 설비
[별첨 #10] 출입 관리대장
[별첨 #11] 통제구역 출입 대장</t>
  </si>
  <si>
    <t>ㅇ 임직원은 사무실 등 개인 업무 공간에 관하여 문서 보관 관련 사항과 자리 이석 관련 사항, 문서 폐기, 퇴근 등 장시간 이석 시 문서 보관 사항 등에 관한 물리적 보호를 설계하고 구현하였음
ㅇ 사무실 등 시설 출입은 카드키를 기반으로 인가된 공간에 대해서만 출입이 가능하도록 통제하고 있음</t>
  </si>
  <si>
    <t>제 44 조  (사무실 보안 점검)
제 55 조  (개인 업무 공간)
[별첨 #9] 사무실 보안 점검 체크리스트</t>
  </si>
  <si>
    <t xml:space="preserve">(한화비전)
ㅇ 임직원과 모든 외부인의 출입에 관하여 출입통제를 시스템을 설치 및 운영하고 있으며, 출입기록을 보존하고 있음.
 -  [별첨 #10] 출입 관리대장
 -  [별첨 #11] 통제구역 출입 대장
ㅇ 회사 내부는 제한구역으로 방문자 및 협력사 출입 관련하여 신청을 받아 승인 이후 출입이 가능함
ㅇ 통제구역은 카드키를 이용하여 접근 가능하며, 출입인가자만이 출입할 수 있도록 관리되고 있음
※ 한화시스템ICT는 ISO27000, ISO27001, ISO27017 인증을 받아, 통제항목을 준수하고 있음
</t>
  </si>
  <si>
    <t>ㅇ 정보보호지침(BH60-0006K)
ㅇ 정보보호지침(BH60-0006K)
ㅇ 현장보완_(HTW-AEO(R)-004)물리적보안관리절차서 Rev.04
ㅇ 현장보완_(HTW-AEO(R)-004)물리적보안관리절차서 Rev.04
ㅇ (개정) 정보보호 관리 기준(제조화학)_v1.0_(230106)
ㅇ (재배포) 정보보호 양식 절차(제조화학)_v1.0_(230106)
ㅇ (재배포) 정보보호 양식 절차(제조화학)_v1.0_(230106)</t>
  </si>
  <si>
    <t>제 47 조  (제한구역 출입통제)
제 50 조  (통제구역 출입통제)
15 통제구역의 설정 및 관리
17 직원식별 시스템
[붙임 #9] 통제구역 운영 설비
[별첨 #10] 출입 관리대장
[별첨 #11] 통제구역 출입 대장</t>
  </si>
  <si>
    <r>
      <rPr>
        <rFont val="Malgun Gothic"/>
        <color theme="1"/>
        <sz val="11.0"/>
      </rPr>
      <t>7.4.2</t>
    </r>
  </si>
  <si>
    <t xml:space="preserve">(한화비전)
ㅇ 물리보안 담당자는 다음 사항에 관하여 출입증 발급 현황 및 출입 권한의 적정성을 정기적 검토를 통하여 이상 발급 및 불필요 권한 발견 시 출입권한을 회수하는 등의 조치를 취하도록 규정되어 있음
 1. 업무 목적에 적합한 출입권한 부여
 2. 절차에 부합하는 출입권한 부여
 3. 퇴직자 또는 직무변경자의 출입권한 삭제, 조정 및 출입증 회수 등
※ 한화시스템ICT는 ISO27000, ISO27001, ISO27017 인증을 받아, 통제항목을 준수하고 있음
</t>
  </si>
  <si>
    <r>
      <rPr>
        <rFont val="Malgun Gothic"/>
        <color theme="1"/>
        <sz val="11.0"/>
      </rPr>
      <t>7.4.3</t>
    </r>
  </si>
  <si>
    <t>ㅇ 보호구역 내로 진입하기 위해서는 휴대폰 카메라 봉인지 부착을 해야하며, 출입시에는 휴대물품 엑스레이 통과 및 감시인원이 배치되어 있음
ㅇ 통제구역에 대하여 CCTV는 항상 정상 가동 상태를 유지하도록 하며 장애 발생 시 물리보안 부서에게 전달하고 순찰 강화 등의 조치를 취한 후 수리하도록 강화된 감시가 이루어 지고 있음 
 - 1. 통제구역 설비 2. 전력 설비 3. 소화 및 소방 설비 4. CCTV 5. 공조 설비 6. 장비 배치 7. 케이블 보호
※ 한화시스템ICT는 ISO27000, ISO27001, ISO27017 인증을 받아, 통제항목을 준수하고 있음</t>
  </si>
  <si>
    <t>ㅇ 정보보호지침(BH60-0006K)
ㅇ (개정) 정보보호 관리 기준(제조화학)_v1.0_(230106)
ㅇ (재배포) 정보보호 양식 절차(제조화학)_v1.0_(230106)
ㅇ (재배포) 정보보호 양식 절차(제조화학)_v1.0_(230106)</t>
  </si>
  <si>
    <t>제 49 조  (통제구역 운영)
[붙임 #9] 통제구역 운영 설비
[별첨 #10] 출입 관리대장
[별첨 #11] 통제구역 출입 대장</t>
  </si>
  <si>
    <t>ㅇ 회사는 전산실 등이 위치한 통제구역의 운영을 위해 온∙습도 관리, 화재 감지, 전력이상 모니터링, 공조설비 등을 갖추고 '[붙임 #9] 통제구역 운영 설비'에 따라 운영하고 있음
※ 한화시스템ICT는 ISO27000, ISO27001, ISO27017 인증을 받아, 통제항목을 준수하고 있음</t>
  </si>
  <si>
    <t xml:space="preserve">제 49 조  (통제구역 운영)
[붙임 #9] 통제구역 운영 설비
</t>
  </si>
  <si>
    <r>
      <rPr>
        <rFont val="Malgun Gothic"/>
        <color theme="1"/>
        <sz val="11.0"/>
      </rPr>
      <t>7.5.2</t>
    </r>
  </si>
  <si>
    <t>ㅇ 화재 수재 등에 대한 UPS 설치, 항온항습기 설치 등 운영시설에 관한 장비를 설치하고 모니터링이 이루어지고 있음
 - 전력선 이중화
 - UPS, 비상발전기, 전압유지기
 - 화재감지 및 소화설비, 누수감지기
 - CCTV, 외부침입탐지 및 경보, 출입통제시스템
 - 항온항습기 또는 에어컨 등 온·습도 조절기
ㅇ 데이터 센터 화재 대피 훈련 및 발전기 실부하 테스트, UPS 교체 등 기반시설의 환경적 위협(화재,누수 등)에 대하여 관리가 이루어지고 있음
※ 한화시스템ICT는 ISO27000, ISO27001, ISO27017 인증을 받아, 통제항목을 준수하고 있음</t>
  </si>
  <si>
    <t>ㅇ 정보보호지침(BH60-0006K)
ㅇ (개정) 정보보호 관리 기준(제조화학)_v1.0_(230106)</t>
  </si>
  <si>
    <t>제 49 조  (통제구역 운영)
[붙임 #9] 통제구역 운영 설비</t>
  </si>
  <si>
    <r>
      <rPr>
        <rFont val="Malgun Gothic"/>
        <color theme="1"/>
        <sz val="11.0"/>
      </rPr>
      <t>7.5.3</t>
    </r>
  </si>
  <si>
    <t>ㅇ 통제구역은 업무 중요도와 특성에 따라 화재, 전력이상, 비인가된 외부침입 등을 방지하기 위하여 다음과 같은 설비 및 장치를 갖추어 운영하고 있음
 - 정보시스템은 잠금 장치가 있는 랙에 설치
※ 한화시스템ICT는 ISO27000, ISO27001, ISO27017 인증을 받아, 통제항목을 준수하고 있음</t>
  </si>
  <si>
    <t>제 49 조  (통제구역 운영)
16 접근통제장치(열쇠, 카드 키 등 시건장치) 관리
[붙임 #9] 통제구역 운영 설비
[별첨 #10] 출입 관리대장
[별첨 #11] 통제구역 출입 대장</t>
  </si>
  <si>
    <t xml:space="preserve"> - 071. 서버실 RACK1
 - 071. 서버실 RACK2
 - 071. 서버실_지문인식
 - 073. 서버실 케이블 보호1
 - 073. 서버실 케이블 보호2
 - 한화시스템(ISO27001) - IS 707803
 - 한화시스템(ISO20000) - ITMS 707805
 - 한화시스템(ISO27017) - CLOUD 707804</t>
  </si>
  <si>
    <t xml:space="preserve">ㅇ 유지 보수 및 전산작업 등의 목적으로 통제구역의 출입이 필요한 경우 통제구역 관리자의 사전 승인이 필요하며 반드시 임직원이 동행하여 작업 내역을 감독하도록 보안대책이 수립되어 있으며, 시행되고 있음
</t>
  </si>
  <si>
    <t>제 49 조  (통제구역 운영)
제 50 조  (통제구역 출입통제)
[붙임 #9] 통제구역 운영 설비
[별첨 #10] 출입 관리대장
[별첨 #11] 통제구역 출입 대장</t>
  </si>
  <si>
    <t xml:space="preserve"> - 통제구역 출입절차 안내서
 - 통제구역 보안서약서
 - 통제구역 핸드폰보관대</t>
  </si>
  <si>
    <t>ㅇ 사무실 보안 점검 체크리스트가 존재하고, 책상 위에 중요 문서를 두지 않아야 하고, 저장매체도 시건 장치가 존재하는 서랍 등에 보관하도록 지침이 존재함</t>
  </si>
  <si>
    <t xml:space="preserve"> - 정보보호지침(BH60-0006K) 제 44 조 (사무실 보안 점검)
 - 정보보호지침(BH60-0006K) 제 55 조 (개인 업무 공간)
 - [별첨 #9] 사무실 보안 점검 체크리스트</t>
  </si>
  <si>
    <r>
      <rPr>
        <rFont val="Malgun Gothic"/>
        <color theme="1"/>
        <sz val="11.0"/>
      </rPr>
      <t>7.7.2</t>
    </r>
  </si>
  <si>
    <t>ㅇ 근무시간 및 퇴근시간에 대하여 비인가자에 의한 정보접근 또는 정보 손상을 방지하기 위하여 적이적으로 사무실 보안 점검을 이행하고 있음</t>
  </si>
  <si>
    <t xml:space="preserve">ㅇ 정보시스템은 (ERP, SCM, MES, HR, HPLM, OPS, BSP, 그룹웨어) 한화시스템ICT에서 설치 및 운영하고 있으며, 업무 중요도와 특성에 따라 화재, 전력이상, 비인가된 외부침입 등을 방지를 위한 설계가 되어 있음
1) 전력선 이중화
2) UPS, 비상발전기, 전압유지기
3) 화재감지 및 소화설비, 누수감지기
4) CCTV, 외부침입탐지 및 경보, 출입통제시스템
5) 항온항습기 또는 에어컨 등 온·습도 조절기 
6) 정보시스템은 잠금 장치가 있는 랙에 설치
7) 도청 또는 전자기 간섭 피해방지 설비
8) 통제구역 내 개인 소유 물품 등 불필요한 물품 보관 금지
9) 통제구역 내 무선통신망 운영 금지 등
 - 전산 장비 배치 시 화재 예방을 위해 종이, 박스 등과 같은 가연성 물질과 이격하여 배치한다. 
 - 잠금 장치가 있는 전용랙에 설치하거나 시건 장치가 마련된 별도의 공간에 배치한다.
※ 한화시스템ICT는 ISO27000, ISO27001, ISO27017 인증을 받아, 통제항목을 준수하고 있음
</t>
  </si>
  <si>
    <t xml:space="preserve">ㅇ 외부로 전자 장비를 반출하는 경우에 대해서 관리감독 하고 있으며, 사내 사용되는 전자장비는  보안프로그램을 설치하여 통제하고 있음
 - DRM, DLP 등
</t>
  </si>
  <si>
    <t>제 70 조  (폐기 시 보호조치)
제 111 조 (업무용 PC 반출·입)
[붙임 #13] 저장매체 불용처리 기준
[별첨 #10] 출입 관리대장</t>
  </si>
  <si>
    <t xml:space="preserve"> - 068. 업무지원포털-반출입 관리대장
 - DRM 문서 암호해제(복호화) 권한 신청(타인)
 - DRM 문서 프린트 마킹 예외신청
 - PC보안(CososysDLP) 정책예외신청서</t>
  </si>
  <si>
    <t xml:space="preserve">ㅇ 회사는 임직원에게 휴대용 저장매체 쓰기 권한을 통제하고 업무상 반드시 필요한 경우에 한하여 제한적으로 저장매체 쓰기 권한을 부여할 수 있으며, 임직원은 저장매체 쓰기 권한 신청 시 저장매체 사용 기간을 명시하고 상위 보직자의 승인을 득한 후 IT보안담당자의 최종 승인을 받도록 절차가 구현되어 있음
ㅇ 한화비전은 한화시스템ICT로부터 저장매체 쓰기 권한에 관현 사항 등 월간 보안운영 현황을 보고 받고 있음
</t>
  </si>
  <si>
    <t xml:space="preserve">제 126 조  (보조기억매체 사용 통제)
</t>
  </si>
  <si>
    <t xml:space="preserve"> - 휴대용 저장매체 사용 통제_한화비전
 - 휴대용 저장매체 관리대장
 - 보조기억매체 관리대장
 - USB 메모리 대여 신청서
 - 한화비전_보안월간보고_2023년5월_저장매체 쓰기 제한</t>
  </si>
  <si>
    <r>
      <rPr>
        <rFont val="Malgun Gothic"/>
        <color theme="1"/>
        <sz val="11.0"/>
      </rPr>
      <t>7.10.2</t>
    </r>
  </si>
  <si>
    <t xml:space="preserve">ㅇ 저장매체 불용처리 기준에 따라 하드디스크(SSD 등 포함)는 서비스 환경과 운영 중인 정보를 고려하여 정보시스템의 저장자료 삭제 방법을 구분하고 있음
 - 완전파괴(소각ㆍ파쇄ㆍ용해) 
</t>
  </si>
  <si>
    <t>제 70 조  (폐기 시 보호조치)
[붙임 #13] 저장매체 불용처리 기준</t>
  </si>
  <si>
    <t xml:space="preserve"> - 055. 불용자산 처리 계획 및 결과 보고
 - 055. 불용자산 처리 증적
 - 비전_ 자산관리대장_ISO27001_230725</t>
  </si>
  <si>
    <t>ㅇ NAC을 통해 접근 제어가 이루어지고 있으며휴대용 저장매체, 보조기억매체에 관한 보호대책과 불법적인 접근에 관한 보호대책이 수립되어 있으며 이행하고 있음</t>
  </si>
  <si>
    <t>제 126 조  (보조기억매체 사용 통제)
[붙임 #13] 저장매체 불용처리 기준</t>
  </si>
  <si>
    <t xml:space="preserve"> - 필수보안SW정책(NAC)
 - 인터넷 접속차단 해제신청서
 - 비전_인터넷 사이트 차단 예외 대상자 리스트_20230703</t>
  </si>
  <si>
    <t>ㅇ 장비 등에 관하여 사전에 허가 없이 다른 장소로 이동을 금지하는 규정이 존재하며 이를 이행하고 있음</t>
  </si>
  <si>
    <t xml:space="preserve">제 111 조 (업무용 PC 반출·입)
</t>
  </si>
  <si>
    <t xml:space="preserve"> - 068. 업무지원포털-반출입 관리대장</t>
  </si>
  <si>
    <t>ㅇ 화재 수재 등에 대한 UPS 설치, 항온항습기 설치 등 운영시설에 관한 장비를 설치하고 모니터링이 이루어지고 있음
※ 한화시스템ICT는 ISO27000, ISO27001, ISO27017 인증을 받아, 통제항목을 준수하고 있음</t>
  </si>
  <si>
    <t>ㅇ 정보보호지침(BH60-0006K)
ㅇ (개정) 정보보호 관리 기준(제조화학)_v1.0_(230106)
ㅇ (개정) 정보보호 관리 기준(제조화학)_v1.0_(230106)</t>
  </si>
  <si>
    <t>제 49 조  (통제구역 운영)
[붙임 #9] 통제구역 운영 설비
[붙임 #14] 백업 관리 기준</t>
  </si>
  <si>
    <t xml:space="preserve"> - 06_데이터센터 운영시설 모니터링현황
 - 한화시스템(ISO27001) - IS 707803
 - 한화시스템(ISO20000) - ITMS 707805
 - 한화시스템(ISO27017) - CLOUD 707804</t>
  </si>
  <si>
    <t>ㅇ 데이터와 정보서비스를 지원하는 케이블에 관하여 보호되고 있음
※ 한화시스템ICT는 ISO27000, ISO27001, ISO27017 인증을 받아, 통제항목을 준수하고 있음</t>
  </si>
  <si>
    <t>ㅇ (개정) 정보보호 관리 기준(제조화학)_v1.0_(230106)</t>
  </si>
  <si>
    <t>[붙임 #9] 통제구역 운영 설비</t>
  </si>
  <si>
    <t xml:space="preserve"> - 073. 서버실 케이블 보호1
 - 073. 서버실 케이블 보호2
 - 한화시스템(ISO27001) - IS 707803
 - 한화시스템(ISO20000) - ITMS 707805
 - 한화시스템(ISO27017) - CLOUD 707804</t>
  </si>
  <si>
    <t xml:space="preserve">ㅇ 한화비전은 한화시스템ICT와 유지보수 계약을 체결하여 장비의 가용성과 무결성을 위한 유지보수 서비스를 제공받고 있으며 매달 운영현황에 관하여 보고를 받고 있음
※ 한화시스템ICT는 ISO27000, ISO27001, ISO27017 인증을 받아, 통제항목을 준수하고 있음
실사
</t>
  </si>
  <si>
    <t>제 74 조  (변경 관리)
제 75 조  (용량 및 성능 관리)
[붙임 #9] 통제구역 운영 설비</t>
  </si>
  <si>
    <t xml:space="preserve"> - 한화시스템(ISO27001) - IS 707803
 - 한화시스템(ISO20000) - ITMS 707805
 - 한화시스템(ISO27017) - CLOUD 707804
 - 7.13.1 유지보수 계약 품의(인프라)
 - (IMS) 민수4사_월간운영현황보고_2023년 6월
 - (IMS) 별첨1.민수4사_월간운영현황보고_2023년 6월
 - (AMS)한화비전외2사_월간운영현황보고_2023년06월_전체
 - ′23년 6월 AMS／그룹웨어／e-HR／IMS 월간 운영 보고
 - 한화비전_사용자계정현황_OS_202306
 - 한화비전_DBSAFER_사용자계정현황_DB_202306
 - 한화비전_DBMS_계정현황_DB_202306
 - 한화비전_접속로그_OS_202306
 - 한화비전_접속로그_DB_202306</t>
  </si>
  <si>
    <t xml:space="preserve">ㅇ 정보시스템 저장매체의 고장수리, 자료복구 등을 외부인에게 의뢰할 경우 저장매체에 보관된 자료의 유출 방지를 위해 수리 및 복구를 담당하는 인원에게 정보보호서약서 징구, 정보보호 교육 등 보호조치를 적용 해야 하고 정보보호 담당자가 입회하여 작업을 감독하도록 규정되어 있음
</t>
  </si>
  <si>
    <r>
      <rPr>
        <rFont val="Malgun Gothic"/>
        <color theme="1"/>
        <sz val="11.0"/>
      </rPr>
      <t>7.14.2</t>
    </r>
  </si>
  <si>
    <t xml:space="preserve">ㅇ 개인정보 등 중요 자료 및 비밀자료(대외비 이상)를 저장한 저장매체는 폐기시 완전파괴하고 있음
</t>
  </si>
  <si>
    <t>ㅇ 모바일 환경에서 근무를 위한 한화 앱을 사용하기 위해서는 CIRCLE 내 모바일 오피스 관련 신청 및 설치를 하도록 관리되고 있음
ㅇ 노트북, 모바일 등 유무선 내부 네트워크에 접속하기 위해서는 IP를 할당 받거나 기기 등록 사용 신청에 대한 승인을 받고록 관리하고 있음</t>
  </si>
  <si>
    <t>ㅇ 정보보호지침(BH60 -0006K)
ㅇ 정보보호지침(BH60 -0006K)
ㅇ 정보보호지침(BH60 -0006K)
ㅇ (개정) 정보보호 관리 기준(제조화학)_v1.0_(230106)</t>
  </si>
  <si>
    <t>제 110 조  (모바일 서비스 보안)
제 130 조  (회사자산 내 모바일 디바이스의 보호조치)
제 131 조  (업무자료 유출 통제)
[붙임 #20] 모바일 서비스 보안 기준</t>
  </si>
  <si>
    <t xml:space="preserve"> - 한화시스템(ISO27001) - IS 707803
 - 한화시스템(ISO20000) - ITMS 707805
 - 한화시스템(ISO27017) - CLOUD 707804
 - DRM 문서 암호해제(복호화) 권한 신청(타인)(양식)
 - DRM 문서 프린트 마킹 예외신청(양식)
 - 그룹웨어(서클) 가입신청서(양식)
 - 그룹웨어(서클) 가입신청서 및 연장신청서(협력사용)(양식)
 - 모바일기기 WIFI 서비스 신청서(양식)
 - 무선 AP 등록 신청서(WIPS)(양식)
 - 사용자 엔드포인트 장치 앱
 - 유무선 IP주소 및 LAN Cable 설치신청서(양식)
 - 모바일 앱 화면</t>
  </si>
  <si>
    <r>
      <rPr>
        <rFont val="Malgun Gothic"/>
        <color theme="1"/>
        <sz val="11.0"/>
      </rPr>
      <t>8.1.2</t>
    </r>
  </si>
  <si>
    <t xml:space="preserve">ㅇ 전산기기지급대장 및 전산기기 사용자 변경 신청서 등을 작성하여 지급 및 대여의 이력 관리를 실시하고 있음
</t>
  </si>
  <si>
    <t>ㅇ 정보보호지침(BH60 -0006K)
ㅇ (재배포) 정보보호 양식 절차(제조화학)_v1.0_(230106)
ㅇ [HSC_ICT_I01] 정보보안지침</t>
  </si>
  <si>
    <t>제 44 조  (사무실 보안 점검)
[별첨 #9] 사무실 보안 점검 체크리스트
제 117 조  (업무용 PC 신청)</t>
  </si>
  <si>
    <t xml:space="preserve"> - 업무용 Network 장비 신청서
 - 전산기기 사용자 변경 신청서
 - 전산기기지급대장</t>
  </si>
  <si>
    <t xml:space="preserve">ㅇ 특수 접근 권한의 할당 및 사용에 관하여 서버 계정 신청 및 서버 및 DB 접근제한 신청서를 작성하여 승인을 받도록 관리되어지고 있음
ㅇ 한화비전은 한화시스템ICT로부터 특수 권한 사용자 계정 현황에 대해서 월간 운영 현황을 보고받고 있음
ㅇ HR의 경우 admin 권한 소유자만 타이용자에게 권한을 부여할 수 있음
</t>
  </si>
  <si>
    <t>제 72 조  (사용자 계정 관리)
[별첨 #15] 사용자 계정 및 접근권한 등록
제 165 조 계정 및 권한 관리</t>
  </si>
  <si>
    <t xml:space="preserve"> - 서버 계정 신청서(접근제어 포함)
 - 서버 및 DB 접근권한 신청서
 - (IMS) 별첨2.한화테크윈_사용자계정현황_OS_202208
 - (IMS) 별첨3.한화테크윈_사용자계정현황_DB_202208
 - (IMS) 한화테크윈 월간운영보고 시스템 모니터링 보고서(슈퍼유저 접근 관리)
 - 8.2.1.특수접근권한부여(HR)
 - 8.2.1 슈퍼계정 검토 및 보고(인프라)
 - 8.2.1 슈퍼계정 권한부여(인프라)
 - 8.2.1 하이웨어 계정 관리(NW)</t>
  </si>
  <si>
    <t xml:space="preserve"> - 이예진 사원
 - 신창중
 - 최승우</t>
  </si>
  <si>
    <t xml:space="preserve"> - 경영혁신팀(HR)SS3팀
 - 경영혁신팀(인프라)
 - ICT</t>
  </si>
  <si>
    <r>
      <rPr>
        <rFont val="Malgun Gothic"/>
        <color theme="1"/>
        <sz val="11.0"/>
      </rPr>
      <t>8.2.2</t>
    </r>
  </si>
  <si>
    <t xml:space="preserve">ㅇ 서버 계정을 할당 받아 서버 및 DB 접근 권한을 신청하여 승인받은 사용자가 해당 서버 및 DB에 접근하는 경우, 장비명과 IP, 사용 시간 및 접속 시간에 대한 로그를 기록하고 있음
ㅇ 한화비전은 한화시스템ICT로부터 특수 권한 사용자 계정 현황에 대해서 월간 운영 현황을 보고받고 있음
ㅇ HR의 경우 admin 권한 소유자 접속시마다 로그를 기록하고 있음
ㅇ 온프레미스와 클라우드에 관한 내용은 한 번에 관리하고 있음
</t>
  </si>
  <si>
    <t>ㅇ 정보보호지침(BH60 -0006K)
ㅇ 정보보호지침(BH60 -0006K)
ㅇ (개정) 정보보호 관리 기준(제조화학)_v1.0_(230106)</t>
  </si>
  <si>
    <t xml:space="preserve"> - (IMS) 별첨4.한화테크윈_접속로그_OS_202208
 - (IMS) 별첨5.한화테크윈_접속로그_DB_202208
 - (IMS) 한화테크윈 월간운영보고 시스템 모니터링 보고서(슈퍼유저 접근 관리)
 - 8.2.2.특수권한로그(HR)
 - 8.2.2 하이웨어 장비접근기록(NW)</t>
  </si>
  <si>
    <t xml:space="preserve"> - 경영혁신팀(HR) SS3팀 
 - 경영혁신팀(인프라)
 - ICT</t>
  </si>
  <si>
    <t xml:space="preserve">ㅇ 직무 분리 기준에 따라 정보접근권한을 제한하고 있으며, 서버, 네트워크, 데이터베이스, 정보보호 시스템 등 차별화된 접근권한을 설정하도록 정책을 수립하여 적용하고 있음
</t>
  </si>
  <si>
    <t>ㅇ 정보보호지침(BH60 -0006K)
ㅇ [HSC_ICT_I01] 정보보안지침</t>
  </si>
  <si>
    <t>제 136 조  (접근권한 관리)
제 145 조 (접근권한 관리)</t>
  </si>
  <si>
    <t xml:space="preserve"> - 그룹웨어(서클) 가입신청서
 - 그룹웨어(서클) 가입신청서 및 연장신청서(협력사용)
 - (IMS) 별첨2.한화테크윈_사용자계정현황_OS_202208
 - (IMS) 별첨3.한화테크윈_사용자계정현황_DB_202208
 - VDI 신청서(원격근무)
 - 모바일기기 WIFI 서비스 신청서
 - 무선 AP 등록 신청서(WIPS)
 - 방화벽 등록 신청서
 - 보안 SW 미설치 PC 네트워크 접속 신청
 - 업무용 Network 장비 신청서
 - 유무선 IP주소 및 LAN Cable 설치신청서
 - 해외임직원VPN신청서(원격근무)
 - 8.3.1.접근통제관리현황(HR)
 - 8.3.1 사용자별 서버접근통제 관리현황(인프라)</t>
  </si>
  <si>
    <t xml:space="preserve">ㅇ Java EE workspace 개발도구를 활용하여 소스코드를 개발하고 있고, HPLM으로 사용자 등록을 신청하고 승인받아, VisualSVN Server에 등록된 사용자만 소스코드에 접근이 가능하도록 관리하고 있음
ㅇ 형상관리 시스템 접근 권한은 HPLM의 운영 담당하고 있는 한화시스템의 운영담당자만 가지고 있으며, HPLM의 일반 사용자는 접근 불가하고, HPLM 운영담당자 또한 담당에 따라 사용 권한을 달리 부여하여 통제가 이루어지고 있음
</t>
  </si>
  <si>
    <t>ㅇ BB31 -0003K_SW형상관리규칙_rev09_2209191</t>
  </si>
  <si>
    <t>제 5 조 조직 및 책임과 권한
별첨4. SW 형상관리 시스템</t>
  </si>
  <si>
    <t xml:space="preserve"> - HPLM시스템 소스코드 및 개발도구
 - HPLM시스템 형상관리도구 및 형상관리 권한
 - HPLM시스템 화면 접근권한(사용자)
 - 8.4.1.형상관리시스템접근권한관리화면(HR)</t>
  </si>
  <si>
    <t xml:space="preserve"> - 황의예
 - 김태형 대리
 - 이예진 사원
 - 김윤기 대리
 - 최승우</t>
  </si>
  <si>
    <t xml:space="preserve"> - 개발기획팀
 - 개발기획팀(ICT)
 - 경영혁신팀(HR)SS3팀 
 - 경영혁신팀(그룹웨어)
 - ICT</t>
  </si>
  <si>
    <t xml:space="preserve">ㅇ 1차 인증은 사용자 계정과 비밀번호로 인증이 이루어지며, 2차 인증은 OTP 인증을 받아야 시스템에 접근이 가능하도록 인증 절차를 적용하고 있음
ㅇ 원격접속 등 중요 업무시스템 접근 시 강화된 추가인증 및 보안 절차를 적용하고 있음
</t>
  </si>
  <si>
    <t>ㅇ 정보보호지침(BH60 -0006K)
ㅇ 정보보호지침(BH60 -0006K)
ㅇ [HSC_ICT_I01] 정보보안지침
ㅇ [HSC_ICT_I01] 정보보안지침
ㅇ [HSC_ICT_I01] 정보보안지침
ㅇ [HSC_ICT_I01] 정보보안지침
ㅇ [HSC_ICT_I01] 정보보안지침</t>
  </si>
  <si>
    <t>제 73 조  (사용자 패스워드 관리)
제 87 조  (서버 접근통제)
제 90 조  (서버 접근통제)
제 99 조  (네트워크 장비의 접근통제)
제 115 조  (관리자용 시스템 접근통제)
제 146 조  (접근통제 관리)
제 166 조  (접근 통제)</t>
  </si>
  <si>
    <t xml:space="preserve"> - 8.5.1 1차인증 ID_PW(인프라)
 - 8.5.1 2차인증 OTP(인프라)
 - 8.5.1 하이웨어 계정별 접속 시스템 관리(NW)
 - 8.5.1 OTP 2차인증(인프라)
 - 8.5.1 2차인증 OTP(인프라)
 - 8.5.1 추가인증및보안정책_그룹웨어
 - 8.5.1 패스워드 정책 (인프라)
 - 8.5.1 VDI 화면
 - 8.5.1 SSLVPN 추가인증적용</t>
  </si>
  <si>
    <t xml:space="preserve"> - 신장중
 - 최승우</t>
  </si>
  <si>
    <t xml:space="preserve">ㅇ 한화비전은 한화시스템ICT로부터 회선 사용량, 구간 트레픽 사용률, 서버 메모리 및 CPU 사용률과 임계치관련 동계를 월간운영보고를 통해 받고 있음
ㅇ 임계치 초과시 SMS를 통해 대상, 호스트명, 발생일시, 심각도, 내용에 관하여 알림을 받고 있음
</t>
  </si>
  <si>
    <t xml:space="preserve">제 75 조  (용량 및 성능 관리)
제 78 조  (운영 관리)
</t>
  </si>
  <si>
    <t xml:space="preserve"> - 075. 데이터센터 운영시설 모니터링현황
 - (IMS) 한화테크윈 월간운영보고 회선사용량
 - (IMS) 한화테크윈 월간운영보고 구간 트레픽 사용률(관문, 사업장)
 - (IMS) 한화테크윈 월간운영보고 서버 메모리 사용률
 - (IMS) 한화테크윈 월간운영보고 서버CPU사용률
 - 8.6.1 임계치 초과시 이벤트 알람(인프라)
 - 8.6.1 NMS 네트워크 리소스 관리(NW)</t>
  </si>
  <si>
    <t xml:space="preserve">ㅇ 사용중인 정보시스템 및 PC들은 백신 프로그램을 설치하여 운영하고 있으며, 사고사례 발생 시 전사 공유를 통해 재발방지대책을 마련하고 있음
- 1일 1회 이상 백신 엔진 업데이트 수행
- 정기적으로 백신 프로그램을 이용한 악성코드 검사 실시
- 신규 정보시스템 설치 시 악성코드 검사 실시
- 메일 서버의 경우, 보안기능 설정
- 정보시스템 내 설치 및 저장할 프로그램에 대해 사전 악성코드 검사 실시
ㅇ 백신과 관련하여 한화비전은 V3 EPP와 APC로 담당자가 정책설정을 하여 1일 1회 이상 백신으로 검사하도록 설정이 되어있고, 사용자들은 필수 보안 프로그램인 백신을 설치하여야 내부망 접근이 가능도록 통제하고 있음
</t>
  </si>
  <si>
    <t>ㅇ 정보보호지침(BH60 -0006K)
ㅇ [HSC_ICT_I01] 정보보안지침
ㅇ [HSC_ICT_I01] 정보보안지침</t>
  </si>
  <si>
    <t>제 82 조  (백신 운영)
제 84 조  (악성코드 유입 방지)
제 131 조  (악성코드 유입 방지)</t>
  </si>
  <si>
    <t xml:space="preserve"> - 183. APC 설정내역(백신자동업데이트)
 - 22년 테크윈 정보보호수준평가 221006 악성 백신프로그램설치
 - 8.7 백신 설치 중앙 관리 관련</t>
  </si>
  <si>
    <t xml:space="preserve">ㅇ 정보시스템에 대해 매년 2회 이상 정기 취약점 점검을 실시하고 도출된 취약점 제거 등 개선 조치하고 있음
ㅇ 클라우드 취약점 점검은 연 1회 이상 실시하고 취약점 외 클라우드 서비스의 특성에 따른 고유 위험에 대해서도 추가적인 점검을 실시하고 있음
</t>
  </si>
  <si>
    <t>ㅇ 정보보호지침(BH60 -0006K)
ㅇ 정보보호지침(BH60 -0006K)
ㅇ (개정) 정보보호 관리 기준(제조화학)_v1.0_(230106)
ㅇ [HSC_ICT_I01] 정보보안지침
ㅇ [HSC_ICT_I01] 정보보안지침</t>
  </si>
  <si>
    <t>제 83 조  (취약점 점검 및 분석)
제 84 조  (취약점 점검 후속조치)
[붙임 #18] 취약점 진단 및 관리 기준
제 85 조  (취약점 점검 및 분석)
제 86 조  (취약점 점검 후속 조치)</t>
  </si>
  <si>
    <t xml:space="preserve"> - (상반기)'22년_한화테크윈_취약점 진단 결과
 - `22년_상반기_한화테크윈_보안장비_점검결과
 - 22년_한화테크윈_모의침투_상세결과보고서_v.1.0
 - `22년 한화테크윈_정기_ 취약점 상세내역_(웹)_202204
 - (상반기)'23년_한화비전_취약점 진단 결과_202305
 - `23년 한화비전_정기_ 취약점 상세내역_(웹)_202305
 - `23년 한화비전_정기_ 취약점 상세내역_(인프라)_202305</t>
  </si>
  <si>
    <r>
      <rPr>
        <rFont val="Malgun Gothic"/>
        <color theme="1"/>
        <sz val="11.0"/>
      </rPr>
      <t>8.8.2</t>
    </r>
  </si>
  <si>
    <t xml:space="preserve">ㅇ 주기적으로 과학기술정보통신부의 "주요정보통신기반시설 기술적 취약점 분석평가 가이드"를 기반으로 정보시스템에 대한 기술적 취약점 진단과 웹서비스에 대한 모의해킹을 수행하고 있음
</t>
  </si>
  <si>
    <t>제 83 조  (취약점 점검 및 분석)
제 85 조  (취약점 점검 및 분석)
제 147 조  (시큐어코딩 및 취약점 점검)</t>
  </si>
  <si>
    <t xml:space="preserve">ㅇ 형상관리 계획서와 테스트 설계서와 결과서를 문서화하여 관리하고 있고, 형상관리 계획서에는 형상항목 식별, 형상관리 환경, 형상 권한 통제, 형상관리 감사, 형상활동 모니터링에 관한 내용을 기반으로 형상관리가 이루어짐
ㅇ 일정 주기를 기준으로 정기배포를 진행하며 매주 작업 진행 건에 대해 문서화 하여 결재 처리하고 있음
ㅇ ITSM을 통해 형상에 대한 변경, 테스트 설계 및 결과에 대한 문서화가 이루어지고 있음
</t>
  </si>
  <si>
    <t xml:space="preserve">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t>
  </si>
  <si>
    <t xml:space="preserve"> - 5. 조직 및 책임과 권한
 - 6. 업무 절차
 - 별첨2. SCCB 운영지침
 - 별첨3. SW 형상 상태 보고서
 - 별첨4. SW 형상관리 시스템
 - 별첨5. SW 유지보수관리 프로세스 상의 베이스 라인 설정 방법 및 시점
 - 별첨6. SW 버전 표기법
 - 별첨7. SW 소스코드 브렌치 관리 규칙
 - 별첨8. 산출물 전결 기준 및 기록 보관</t>
  </si>
  <si>
    <t xml:space="preserve"> - 8.9.1.형상관리문서(ERP)
 - 8.9.1_형상관리_그룹웨어
 - 8.9.1 ITSM 형상관리(NW)
 - ITSM 변경작업 프로세스
 - ITSM 변경작업 프로세스 맵
 - ITSM 변경작업 변경처리 화면
 - ITSM 위험평가
 - ITSM 변경처리 현황
 - ITSM 작업 내역 </t>
  </si>
  <si>
    <t xml:space="preserve"> - 정용덕
 - 김윤기 대리
 - 최승우</t>
  </si>
  <si>
    <t xml:space="preserve"> - S-ERP
 - 경영혁신팀(그룹웨어)
 - ICT</t>
  </si>
  <si>
    <r>
      <rPr>
        <rFont val="Malgun Gothic"/>
        <color theme="1"/>
        <sz val="11.0"/>
      </rPr>
      <t>8.9.2</t>
    </r>
  </si>
  <si>
    <t xml:space="preserve">ㅇ 형상변경이 요청에 영향도를 평가한 뒤 담당자의 승인 또는 담당 부서 회의를 통해 영향분석 및 평가에 대한 심의 수행이 이루어 지고 있음
</t>
  </si>
  <si>
    <t>5.5 SW 형상 통제 위원회(SCCB)</t>
  </si>
  <si>
    <t xml:space="preserve"> - 8.9.2.형상분석(ERP)
 - 8.9.2_형상관리_그룹웨어
 - ITSM 위험평가
 - 8.9.2 ITSM 변경처리(NW)</t>
  </si>
  <si>
    <t xml:space="preserve">ㅇ SW 형상 항목에 대해 변경 사항이 발생한 경우, 변경 요청 자는 변경 사유, 변경 형상 항목, 변경 내용을 SW 개발자에게 전달하고 있음
ㅇ 요청사항은 형상관리시스템(ITSM 등) 내의 ‘Change Request’에 등록되어 생성되고, 운영개발자는 영향도분석 수행후, 설계서를 작성하여 개발자에게 배정하여 절차가 진행됨
</t>
  </si>
  <si>
    <t>ㅇ BB31 -0003K_SW형상관리규칙_rev09_2209191
ㅇ BB31 -0003K_SW형상관리규칙_rev09_2209191</t>
  </si>
  <si>
    <t>6.2.1.3. 세부 작업
6.4.1. 소스코드 개발</t>
  </si>
  <si>
    <t xml:space="preserve"> - 8.9.3 형상관리문서(ERP)
 - 8.9.3 형상분석(ERP)
 - 8.9.3 ITSM 변경처리 공유(NW)
 - 8.9.3_형상관리_그룹웨어
 - ITSM 변경작업 변경처리 화면
 - ITSM 작업 내역 
 - ITSM매뉴얼</t>
  </si>
  <si>
    <t>ㅇ 개인정보의 이용 및 보유기간을 정하여 개인정보를 관리하며, 보유 및 이용기간은 필요 최소한의 기간으로 정하고 있음
ㅇ 정보시스템 기타 저장매체에 대하여 불용처리 시에 HDD를 물리적 폐기하고 출력서류의 경우 문서 폐기함으로 파쇄하고 있음
ㅇ 임직원 퇴사 등 PC 반납에 관하여 초기화 및 OS 재설치가 이루어 지고 있음</t>
  </si>
  <si>
    <t>ㅇ 개인정보보호 업무처리 규정(BH60 -0003K)
ㅇ 개인정보보호 업무처리 규정(BH60 -0003K)
ㅇ 개인정보보호 업무처리 규정(BH60 -0003K)
ㅇ 개인정보보호 업무처리 규정(BH60 -0003K)
ㅇ 개인정보보호 업무처리 규정(BH60 -0003K)</t>
  </si>
  <si>
    <t>제 8 조  (개인정보의 단계별 처리)
[서식 12] 입사지원자 개인정보 수집·이용 동의서
[서식 14] 임직원 개인정보 수집·이용 동의서
[서식 16] 퇴사자 개인정보 보존 동의서
[서식 20] 방문자 개인정보수집·이용 동의서</t>
  </si>
  <si>
    <t xml:space="preserve">ㅇ 테스트서버 사용자 정보 마스킹하고 전화번호에 대해 의미없는 값으로 치환(1234-1234)하게 되어 있음
ㅇ OPS, SCM 등 일부 시스템에서는 그룹웨어 ID, 직위, 법인, 부서, 메일정보 이외에는 사용자 정보 자체를 활용하지 않아 목적에 따른 개인정보 조회 및 출력에 차이를 두어 개인정보 노출을 감소하기 위한 관리가 이루어지고 있음
ㅇ 운영서버는 사원 조회 목적으로 관리하기 때문에 정보에 대하여 마스킹처리를 하고 있지 않음
</t>
  </si>
  <si>
    <t xml:space="preserve">ㅇ 정보보호지침(BH60 -0006K)
</t>
  </si>
  <si>
    <t>제 108 조  (접근권한 부여)</t>
  </si>
  <si>
    <t xml:space="preserve"> - 한주원 사원
 - 최승우
 - 한승희 과장
 - 김윤기 대리
 - 오국경 과장</t>
  </si>
  <si>
    <t xml:space="preserve"> - 경영혁신팀(BSP)
 - ICT
 - 경영혁신팀(SCM)
 - 경영혁신팀(그룹웨어)
 - 경영혁신팀(OPS)</t>
  </si>
  <si>
    <t>ㅇ 네트워크 차단 솔루션(NAC)을 통해 IP 및 MAC 기반 접근을 제한하고 PC보안솔루션(DLP), 문서보안솔루션(DRM)을 통해 데이터 유출 방지를 차단하고 있음</t>
  </si>
  <si>
    <t xml:space="preserve">ㅇ 정보보호지침(BH60 -0006K)
ㅇ 정보보호지침(BH60 -0006K)
ㅇ 정보보호지침(BH60 -0006K)
ㅇ 정보보호지침(BH60 -0006K) </t>
  </si>
  <si>
    <t>제 25 조  (퇴직 예정자 모니터링 및 사후조치)
제 72 조  (사용자 계정 관리)
제 79 조  (로그 보관)
제 80 조  (로그 점검)</t>
  </si>
  <si>
    <t xml:space="preserve"> - 코소시스DLP 관리자 계정 증적1(접근통제,PW변경주기)
 - DRM 문서 암호해제(복호화) 권한 신청(타인)
 - DRM 문서 프린트 마킹 예외신청
 - PC보안(CososysDLP) 정책예외신청서
 - 유무선 IP주소 및 LAN Cable 설치신청서
 - DRM 증적 SoftCamp
 - DRM 증적 SoftCamp_일괄암호화
 - 한화비전_보안월간보고_2023년5월_저장매체 쓰기 제한</t>
  </si>
  <si>
    <r>
      <rPr>
        <rFont val="Malgun Gothic"/>
        <color theme="1"/>
        <sz val="11.0"/>
      </rPr>
      <t>8.12.2</t>
    </r>
  </si>
  <si>
    <t xml:space="preserve">ㅇ 사내 NW접속전산기기 현황 관리를 통해 IP를 부여하고 필수 보안 설치 현황관리를 통제하고 있음
ㅇ 무선 네트워크 장비(AP)의 비 인가 접근 및 불법적인 접속 등을 예방하고 있음
1. 무선 네트워크 내 기기 등록 통제(IP주소, MAC 통제)
2. 관리자 페이지는 계정 및 패스워드 외 MAC 접근통제
</t>
  </si>
  <si>
    <t>제 95 조  (무선 네트워크 장비 운영)</t>
  </si>
  <si>
    <t xml:space="preserve"> - 별첨7 정보보안 운영내역(pclient)
 - 모바일기기 WIFI 서비스 신청서(양식)
 - 무선 AP 등록 신청서(WIPS)(양식)
 - 유무선 IP주소 및 LAN Cable 설치신청서(양식)
 - 205. SSLVPN 필수SW 정책 적용(NAC)
 - 민수3사_WIPS_증적1 ~ 5</t>
  </si>
  <si>
    <t xml:space="preserve">ㅇ 한화비전은 한화ICT로부터 장애를 대비하하기 위한 정보시스템 백업 계획을 수립하여 이행하고 있으며, 정기적으로 복구테스트를 실시하고 이에 대한 보고를 받고 있음
ㅇ 23년 재해복구테스트는 8월 4주차에 예정되어 있음
※ 한화시스템ICT는 ISO27000, ISO27001, ISO27017 인증을 받아, 백업서비스 및 사이트복구 서비스 등을 제공하고 있음
</t>
  </si>
  <si>
    <t>ㅇ 정보보호지침(BH60 -0006K)
ㅇ (개정) 정보보호 관리 기준(제조화학)_v1.0_(230106)
ㅇ [HSC_ICT_I01] 정보보안지침
ㅇ 정보보안관리가이드</t>
  </si>
  <si>
    <t>제 77 조  (백업 및 복구 관리)
[붙임 #14] 백업 관리 기준
제 79 조  (백업 및 복구 관리)
[가이드 #2] 백업관리 가이드</t>
  </si>
  <si>
    <t xml:space="preserve"> - 16_백업점검일지(08월)
 - 216. 정보보호수준평가_Veeam_Backup_판교
 - 218. 정보보호수준평가_소산백업_판교
 - 220. 2022년 모의재해복구훈련 결과서
 - 8.13.1 백업점검일지(인프라)
 - 한화시스템(ISO20000) - ITMS 707805
 - 한화시스템(ISO27001) - IS 707803
 - 한화시스템(ISO27017) - CLOUD 707804
 - IT06_C1_재해복구계획 수립</t>
  </si>
  <si>
    <t>ㅇ BSP, ERP 등 중요업무를 처리하는 IT시스템의 가용성 요구 사항을 충족하기 위하여, 중요업무 정보처리 시설에 대하여 이중화하고 자산 관리 대장으로 관리하고 있음</t>
  </si>
  <si>
    <t>ㅇ 정보보호지침(BH60 -0006K)</t>
  </si>
  <si>
    <t>제 69 조  (도입 시 보호조치)</t>
  </si>
  <si>
    <t xml:space="preserve"> - 비전_ 자산관리대장_ISO27001_230725
 - 8.14.1 IT자산현황(인프라)</t>
  </si>
  <si>
    <t xml:space="preserve">ㅇ 정보시스템 운영 담당자는 시스템에 접속한 기록이 위·변조 되지 않도록 정기적인 백업을 수행하고 있음
ㅇ 이벤트 로그의 유형에 따라 보관 기간을 구분하여 보존하고 있음
※ 한화시스템ICT는 ISO27000, ISO27001, ISO27017 인증을 받아, 로깅 서비스 등을 제공하고 있음
</t>
  </si>
  <si>
    <t>ㅇ 정보보호지침(BH60 -0006K)
ㅇ 정보보호지침(BH60 -0006K)
ㅇ (개정) 정보보호 관리 기준(제조화학)_v1.0_(230106)
ㅇ [HSC_ICT_I01] 정보보안지침
ㅇ [HSC_ICT_I01] 정보보안지침
ㅇ [HSC_ICT_I01] 정보보안지침
ㅇ 정보보안관리가이드
ㅇ [첨부1] Public 클라우드 보안가이드</t>
  </si>
  <si>
    <t>제 79 조  (로그 보관)
제 80 조  (로그 점검)
[붙임 #15] 정보시스템 로그 관리
제 81 조  (로그 관리)
제 82 조  (로그 점검)
제 168 조  (로그 관리)
[가이드 #3] 정보시스템 로그관리 가이드
[붙임 1] 상용 클라우드 안전성 확보조치 기준</t>
  </si>
  <si>
    <t xml:space="preserve"> - 8.15.1 리눅스 로그 백업(인프라)
 - 8.15.1 윈도우 로그 백업(인프라)</t>
  </si>
  <si>
    <t xml:space="preserve">ㅇ ICT 정보보호지침 및 한화비전 정보보호지침에 로그 관리 지침이 명시되어 있으며, 개인정보처리시스템의 경우 개인정보보호 업무처리 규정에 정의되어 있음
ㅇ ICT Public 클라우드 보안가이드로 단계별 보호조치 절차 및 상용 클라우드 안정성 확보조치 기준에 의거하여 작성되었음
ㅇ 클라우드 장비와 온프레미스 장비는 통합 관리하여 로깅 및 백업을 하고 있음
※ 한화시스템ICT는 ISO27000, ISO27001, ISO27017 인증을 받아, 로깅 서비스 등을 제공하고 있음
</t>
  </si>
  <si>
    <t>ㅇ 정보보호지침(BH60 -0006K)
ㅇ 정보보호지침(BH60 -0006K)
ㅇ (개정) 정보보호 관리 기준(제조화학)_v1.0_(230106)
ㅇ [HSC_ICT_I01] 정보보안지침
ㅇ 정보보안관리가이드
ㅇ 개인정보보호 업무처리 규정
ㅇ [첨부1] Public 클라우드 보안가이드</t>
  </si>
  <si>
    <t>제 79 조  (로그 보관)
제 80 조  (로그 점검)
[붙임 #15] 정보시스템 로그 관리
제 81 조  (로그 관리)
[가이드 #3] 정보시스템 로그관리 가이드
제 17 조  (개인정보처리시스템의 운영 보안 강화)
3.1.1 업무연속성 계획 수립</t>
  </si>
  <si>
    <t xml:space="preserve"> - 정보보호지침(BH60-0006K) 제 79 조 (로그 보관)
 - 정보보호지침(BH60-0006K) 제 80 조 (로그 점검)
 - [붙임 #15] 정보시스템 로그 관리
 - [HSC_ICT-I01] 정보보안지침 제 81 조 (로그 관리)
 - [가이드 #3] 정보시스템 로그 관리 가이드 p1
 - [가이드 #3] 정보시스템 로그 관리 가이드 p2
 - 개인정보보호 업무처리 규정(BH60-0003K) 제17조(개인정보처리시스템의 운영 보안 강화)
 - [첨부1] Public 클라우드 보안가이드</t>
  </si>
  <si>
    <t xml:space="preserve">ㅇ 한화비전은 한화시스템ICT에서 로깅과 관련된 제공받아 클라우드와 온프레미스를 통합관리하고이 있으며, 최소 분기 1회 이상 로그의 정상 기록 여부 및 침입사고 발생 여부를 확인하여 보고하고 있음
※ 한화시스템ICT는 ISO27000, ISO27001, ISO27017 인증을 받아, 백업서비스 및 사이트복구 서비스 등을 제공하고 있음
</t>
  </si>
  <si>
    <t xml:space="preserve">ㅇ 정보보호지침(BH60 -0006K)
ㅇ [HSC_ICT_I01] 정보보안지침
</t>
  </si>
  <si>
    <t>제 80 조  (로그 점검)
제 82 조  (로그 점검)</t>
  </si>
  <si>
    <t xml:space="preserve"> - 109. DB접근제어_로그
 - 8.15.3.db접근제어로그증적(HR)
 - [첨부1] Public 클라우드 보안가이드</t>
  </si>
  <si>
    <t xml:space="preserve"> - 이예진 사원
 - 유인선
 - 최승우</t>
  </si>
  <si>
    <t xml:space="preserve"> - 경영혁신팀(HR)SS3팀 
 - 경영혁신팀(인프라)
 - ICT</t>
  </si>
  <si>
    <t xml:space="preserve">ㅇ 한화비전은 한화시스템ICT로 부터 H-Cyber Kill Chain, 웹사이트 관제, APT 관제, 패킷 분석 시스템, 암호화 트래픽 관제, HMCS (Hone Malware Cross Analysis System), 이상징후 탐지, 망분리 환경 보안 관제, 의심메일 신고, Threat Intelligence, 보안관제 티켓처리시스템의 형태로 ISS 보안 관제 서비스를 제공받고 있음 
ㅇ 보안 사고, 해킹 시도, 악성코드 탐지, 외부데이터전송, E-Mail 위협 탐지 등에 대해 월별 조치 현황을 보고받고 있음
※ 한화시스템ICT는 ISO27000, ISO27001, ISO27017 인증을 받아, 통제항목을 준수하고 있음
</t>
  </si>
  <si>
    <t>ㅇ (개정) 정보보호 관리 기준(제조화학)_v1.0_(230106)
ㅇ (개정) 정보보호 관리 기준(제조화학)_v1.0_(230106)
ㅇ (개정) 정보보호 관리 기준(제조화학)_v1.0_(230106)</t>
  </si>
  <si>
    <t>[붙임 #7] 중요정보 유통 시 보안 관리 기준
[붙임 #12] 위기경보 발령 및 침해사고 대응
[붙임 #16] 중앙 배포 서버 보안 관리 기준</t>
  </si>
  <si>
    <t xml:space="preserve"> - 127. 한화테크윈_2022_07 ISS 보고서
 - 한화시스템(ISO27001) - IS 707803
 - 한화시스템(ISO20000) - ITMS 707805
 - 한화시스템(ISO27017) - CLOUD 707804
 - 티켓처리 프로세스_20191030
 - 한화비전_2023_05 ISS보고서
 - ISS 보안서비스 소개자료_23</t>
  </si>
  <si>
    <r>
      <rPr>
        <rFont val="Malgun Gothic"/>
        <color theme="1"/>
        <sz val="11.0"/>
      </rPr>
      <t>8.16.2</t>
    </r>
  </si>
  <si>
    <t>ㅇ 침해시도를 판단하기 위한 기준이 [별첨 #12] 위기경보에 따른 침해사고 유형 및 상황 으로 구체화되어 존재하고, [별첨 #14] 침해사고 보고 대응 절차 및 체계에 따라 후속조치가 이루어지고 있음
ㅇ 한화비전은 한화시스템ICT로부터 보안관제 서비스를 제공받아 이상징후에 대한 탐지 및 대응에 관하여 월별로 보고를 받고 있음</t>
  </si>
  <si>
    <t>ㅇ (개정) 정보보호 관리 기준(제조화학)_v1.0_(230106)
ㅇ (재배포) 정보보호 양식 절차(제조화학)_v1.0_(230106)
ㅇ (재배포) 정보보호 양식 절차(제조화학)_v1.0_(230106)
ㅇ (재배포) 정보보호 양식 절차(제조화학)_v1.0_(230106)</t>
  </si>
  <si>
    <t>[붙임 #12] 위기경보 발령 및 침해사고 대응
[별첨 #12] 위기경보에 따른 침해사고 유형 및 상황
[별첨 #13] 침해사고 보고 체계 및 주요내용
[별첨 #14] 침해사고 보고 대응 절차 및 체계</t>
  </si>
  <si>
    <t xml:space="preserve"> - 한화비전_2023_05 ISS보고서
 - 한화비전_보안월간보고_2023년5월</t>
  </si>
  <si>
    <t xml:space="preserve"> ㅇ 온튠뷰어를 통하여 정보 처리 시스템에 대한 NTP 설정을 하여 시각 동기화가 이루어지고 있음
※ 한화시스템ICT는 ISO27000, ISO27001, ISO27017 인증을 받아, 백업서비스 및 사이트복구 서비스 등을 제공하고 있음</t>
  </si>
  <si>
    <t>제 79 조  (로그 보관)
제 81 조  (로그 관리)</t>
  </si>
  <si>
    <t xml:space="preserve"> - 8.17.1 NTP 화면(인프라)</t>
  </si>
  <si>
    <t xml:space="preserve">ㅇ 한화비전은 한화시스템ICT로부터 보안서비스를 제공받고 있으며, 월별로 보안운영 현황 보고를 받고 있음
ㅇ 월별 보안운영 햔황 보고에는 허가되지 않은 유티리티 프로그램의 사용 제한 및 통제에 관한  한화시스템ICT에서 점검한 IP 사용현황 별 보안 SW 설치 현황, PC 보안 예외정책 상세, 비 업무용 SW 사용 현황, 인터넷 차단 예외 현황에 대한 내용이 존재함
ㅇ 허가된 SW를 사용하게끔 사용 신청서 및 구매 신청서를 작성하도록 되어있음
</t>
  </si>
  <si>
    <t>제 118 조  (불법 소프트웨어 설치 통제)
제 126 조  (필수 보안솔루션 설치 및 설치 금지 소프트웨어)</t>
  </si>
  <si>
    <t xml:space="preserve"> - 202. VDI 화면
 - 205. VDI 신청 시 MAC 등록
 - 한화비전_보안월간보고_2023년5월
 - SW 사용 신청서(양식)
 - SW구매신청서(양식)</t>
  </si>
  <si>
    <t xml:space="preserve">ㅇ 한화비전은 한화시스템ICT로부터 보안서비스를 제공받고 있으며, 월별로 보안운영 현황 보고를 받고 있음
ㅇ 제공받는 월별 보안운영 현황 보고에는 보안 SW의 설치 현황을 알 수 있음
 - NW 모니터링
 - 바이러스 백신
 - 백신 업데이트
 - 악성코드 차단
 - 문서보안
 - PC보안(SafePC)
 - PC보안(cososys) 국내 해외
ㅇ smart NAC 솔루션을 통해 단말별 필수SW설치 정책 및 현황을 관리하고 있음
</t>
  </si>
  <si>
    <t>ㅇ 정보보호지침(BH60 -0006K)
ㅇ 정보보호지침(BH60 -0006K)
ㅇ 정보보호지침(BH60 -0006K)</t>
  </si>
  <si>
    <t>제 117 조  (필수 보안 프로그램 설치)
제 118 조  (불법 소프트웨어 설치 통제)
제 124 조  (인터넷 접속 통제)</t>
  </si>
  <si>
    <t xml:space="preserve"> - 한화비전_보안월간보고_2023년5월
 - 필수보안SW정책(NAC)
 - PC보안(CososysDLP) 정책예외신청서
 - SW 사용 신청서
 - SW구매신청서</t>
  </si>
  <si>
    <t xml:space="preserve"> - 유인선
 - 최승우</t>
  </si>
  <si>
    <r>
      <rPr>
        <rFont val="Malgun Gothic"/>
        <color theme="1"/>
        <sz val="11.0"/>
      </rPr>
      <t>8.19.2</t>
    </r>
  </si>
  <si>
    <t xml:space="preserve">임직원 및 외주인력 등 단말기내 허가되지 않은  유틸리티 프로그램의 사용을 제한하며 통제되고 있습니까?
</t>
  </si>
  <si>
    <t>ㅇ 한화비전은 한화시스템ICT로부터 보안서비스를 제공받고 있으며, 할당된 IP 기반으로 소프트웨어 설치에 대한 제한을 하고 있으며 한화시스템ICT에서 점검한 IP 사용현황 별 보안 SW 설치 현황, PC 보안 예외정책 상세, 비 업무용 SW 사용 현황, 인터넷 차단 예외 현황을 상세하게 월별로 보안운영 현황 보고를 받고 있음</t>
  </si>
  <si>
    <t>ㅇ 정보보호지침(BH60 -0006K)
ㅇ 정보보호지침(BH60 -0006K)</t>
  </si>
  <si>
    <t>제 118 조  (불법 소프트웨어 설치 통제)
제 124 조  (인터넷 접속 통제)</t>
  </si>
  <si>
    <t xml:space="preserve"> - 한화비전_보안월간보고_2023년5월
 - SW 사용 신청서
 - SW구매신청서
 - 필수보안SW정책</t>
  </si>
  <si>
    <t xml:space="preserve">ㅇ 한화비전은 한화시스템ICT로부터 보안서비스를 제공받고 있으며, 사용자 및 업무 어플리케이션 요구사항은 IP할당에 따라 보안 정책에 관하여 월별로 현황 보고를 받고 있음
</t>
  </si>
  <si>
    <t>ㅇ 정보보호지침(BH60 -0006K)
ㅇ 정보보호지침(BH60 -0006K)
ㅇ 정보보호지침(BH60 -0006K)
ㅇ 정보보호지침(BH60 -0006K)
ㅇ 정보보호지침(BH60 -0006K)
ㅇ 정보보호지침(BH60 -0006K)
ㅇ 정보보호지침(BH60 -0006K)
ㅇ 정보보호지침(BH60 -0006K)
ㅇ 정보보호지침(BH60 -0006K)
ㅇ 정보보호지침(BH60 -0006K)
ㅇ 정보보호지침(BH60 -0006K)
ㅇ [HSC_ICT_I01] 정보보안지침
ㅇ [HSC_ICT_I01] 정보보안지침
ㅇ [HSC_ICT_I01] 정보보안지침
ㅇ [HSC_ICT_I01] 정보보안지침
ㅇ [HSC_ICT_I01] 정보보안지침
ㅇ [HSC_ICT_I01] 정보보안지침
ㅇ [HSC_ICT_I01] 정보보안지침
ㅇ [HSC_ICT_I01] 정보보안지침
ㅇ [HSC_ICT_I01] 정보보안지침
ㅇ [HSC_ICT_I01] 정보보안지침
ㅇ [HSC_ICT_I01] 정보보안지침</t>
  </si>
  <si>
    <t>제 89 조  (불필요 서비스 제거)
제 90 조  (IP주소 체계 관리)
제 91 조  (네트워크 접근통제)
제 92 조  (공인IP 주소 관리)
제 93 조  (본사와 사업장 연결)
제 94 조  (네트워크 분리 운영)
제 95 조  (무선 네트워크 장비 운영)
제 96 조  (내부망 접속 시 보호조치) 
제 125 조  (이메일 보안 통제)
제 152 조  (네트워크 전송 시)
제 116 조  (PC 접근통제)
제 93 조 (네트워크 연결)
제 94 조 (네트워크 장비 설치 및 구성 변경)
제 95 조 (불필요 서비스 제거)
제 96 조 (IP 주소 관리)
제 97 조 (네트워크 분리 영역)
제 98 조 (내부망 접속 시 보호 조치)
제 99 조 (네트워크 장비의 접근통제)
제 100 조 (공인 IP 주소 관리)
제 101 조 (물리적 이격된 사업장과 연결)
제 102 조 (무선 네트워크 보안)
제 103 조 (DNS 관리)</t>
  </si>
  <si>
    <t xml:space="preserve">ㅇ 한화비전은 한화시스템ICT로부터 보안서비스를 제공받고 있으며, 월별로 보안운영 현황 보고를 받고 있음
ㅇ 월별 보안운영 햔황 보고에는 한화시스템ICT에서 점검한 IP 사용현황 별 보안 SW 설치 현황, PC 보안 예외정책 상세, 비 업무용 SW 사용 현황, 인터넷 차단 예외 현황에 대한 내용이 존재함
ㅇ NAC을 통해 내부망에 접속 가능한 IP 및 필수 설치 보안 정책에 관해 </t>
  </si>
  <si>
    <t>ㅇ 정보보호지침(BH60 -0006K)
ㅇ 정보보호지침(BH60 -0006K)
ㅇ 정보보호지침(BH60 -0006K)
ㅇ 정보보호지침(BH60 -0006K)
ㅇ 정보보호지침(BH60 -0006K)
ㅇ (재배포) 정보보호 양식 절차(제조화학)_v1.0_(230106)
ㅇ [HSC_ICT_I01] 정보보안지침
ㅇ [HSC_ICT_I01] 정보보안지침
ㅇ [HSC_ICT_I01] 정보보안지침</t>
  </si>
  <si>
    <t>제 89 조  (불필요 서비스 제거)
제 90 조  (IP주소 체계 관리)
제 124 조  (인터넷 접속 통제)
제 124 조의 2 (인터넷 화상회의 보안 통제)
제 127 조  (IP주소 및 무선 네트워크 사용 통제)
[별첨 #22] 인터넷 웹 사이트 차단 및 해지 절차
제 98 조 (내부망 접속 시 보호 조치)
제 99 조 (네트워크 장비의 접근통제)
제 102 조 (무선 네트워크 보안)</t>
  </si>
  <si>
    <t xml:space="preserve"> - 한화비전_2023_05 ISS보고서
 - 한화비전_보안월간보고_2023년5월
 - ISS 보안서비스 소개자료_23</t>
  </si>
  <si>
    <t xml:space="preserve">ㅇ 네트워크 구성 시 서비스, 사용자 그룹, 정보자산의 중요도 등으로 구분하여 다음 각 호의 영역으로 침입차단시스템 등을 활용하여 네트워크를 분리·운영하고 있음
1. 정보시스템 개발 및 테스트 전용 네트워크
2. 정보시스템 운영 네트워크
3. 대외 서비스용 네트워크 (외부DMZ)
4. 임직원 업무 네트워크
5. 협력업체 업무 네트워크 등
6. 외부 인터넷으로 구성된 방문자용 네트워크 (내부망 접근 불가) 등
ㅇ 한화비전은 한화시스템ICT의 월별 ITO 운영현황에 관하여 월별 보고를 받아 관리되고 있으며 서버팜 분리와 관련하여 계획이 추진중으로 23년 10월 완료 예정으로 지속적인 보안 관리가 이루어지고 있음
</t>
  </si>
  <si>
    <t>제 94 조  (네트워크 분리 운영)
제 97 조 (네트워크 분리 영역)</t>
  </si>
  <si>
    <t xml:space="preserve">ㅇ 한화비전은 한화시스템ICT로부터 보안서비스를 제공받고 있으며, 월별로 보안운영 현황 보고를 받고 있음
ㅇ 월별 보안운영 현황 보고에는 한화시스템ICT에서 점검한 IP 사용현황 별 인터넷 차단 예외 현황과 조치 방안으로  대한 내용이 존재함
ㅇ 인터넷 사이트 차단 예외 대상자 리스트로 악성 콘텐츠에 대한 노출을 줄이기 위해 인터넷 접속차단에 대한 해제 신청서를 받고 카테고리, 사이트, 업로드 가능여부, 소속, 성명, 만료일에 대해 엑세스를 관리하고 있음
</t>
  </si>
  <si>
    <t>제 124 조  (인터넷 접속 통제)</t>
  </si>
  <si>
    <t xml:space="preserve"> - 한화비전_보안월간보고_2023년5월
 - 인터넷 접속차단 해제신청서
 - 비전_인터넷 사이트 차단 예외 대상자 리스트_20230703
 - 비업무 사이트 차단</t>
  </si>
  <si>
    <t>ㅇ 정보보호 지침 내에 암호화 원칙과 암호화가 필요한 부분에 대하여 상세히 정의하고 있으며, Damo 암호호 장비로 함호화가 이루어지고 있음</t>
  </si>
  <si>
    <t>ㅇ 정보보호지침(BH60 -0006K)
ㅇ 정보보호지침(BH60 -0006K)
ㅇ 정보보호지침(BH60 -0006K)
ㅇ 정보보호지침(BH60 -0006K)
ㅇ 정보보호지침(BH60 -0006K)
ㅇ 정보보호지침(BH60 -0006K)
ㅇ [HSC_ICT_I01] 정보보안지침
ㅇ [HSC_ICT_I01] 정보보안지침
ㅇ [HSC_ICT_I01] 정보보안지침
ㅇ [HSC_ICT_I01] 정보보안지침
ㅇ [HSC_ICT_I01] 정보보안지침
ㅇ [HSC_ICT_I01] 정보보안지침
ㅇ [HSC_ICT_I01] 정보보안지침</t>
  </si>
  <si>
    <t>제 150 조  (암호화 조치)
제 151 조  (암호화 알고리즘)
제 152 조  (네트워크 전송 시)
제 153 조  (휴대용 저장매체 활용 시)
제 154 조  (업무시스템의 개인정보 저장 시)
제 155 조  (업무용 PC의 개인정보 저장 시)
제 155 조  (암호화 조치)
제 156 조  (암호화 대상 및 암호화 알고리즘)
제 157 조  (네트워크 전송 시)
제 158 조  (휴대용 저장매체 활용 시)
제 159 조  (업무시스템에 개인정보 저장 시)
제 160 조  (업무용 PC 에 중요 정보 저장 시)
제 161 조  (암호키 생성 · 운용 · 폐기)</t>
  </si>
  <si>
    <t xml:space="preserve"> - 8.24.1_DB함호화_콘솔_Damo(인프라)</t>
  </si>
  <si>
    <r>
      <rPr>
        <rFont val="Malgun Gothic"/>
        <color theme="1"/>
        <sz val="11.0"/>
      </rPr>
      <t>8.24.2</t>
    </r>
  </si>
  <si>
    <t>ㅇ Damo 장비로 암호화를 관리하고 있으며, 보안성 성능 호환성 및 목적 등을 고려하여 암호화 대상에 따라 적합한 암호화 알고리즘을 선정하고 있음</t>
  </si>
  <si>
    <t>제 151 조  (암호화 알고리즘)
제 156 조  (암호화 대상 및 암호화 알고리즘)</t>
  </si>
  <si>
    <t xml:space="preserve"> - 8.24.2_DB함호화_콘솔_Damo(인프라)</t>
  </si>
  <si>
    <r>
      <rPr>
        <rFont val="Malgun Gothic"/>
        <color theme="1"/>
        <sz val="11.0"/>
      </rPr>
      <t>8.24.3</t>
    </r>
  </si>
  <si>
    <t xml:space="preserve">ㅇ 암호키 관리(생성, 운용, 폐기) 지침에 따라 관리하고 있으며, 암호화 관리 장비인 Damo에 대해 버전 정보 조회, 라이선스 상태, 인증서 보관 상태, DB KEY 상태, 암/복호화 상태, 암/복호화 권한 개수 등에 대한 내용에 관하여 점검하고 있음
</t>
  </si>
  <si>
    <t>ㅇ 정보보호지침(BH60 -0006K)
ㅇ 정보보호지침(BH60 -0006K)
ㅇ 정보보호지침(BH60 -0006K)
ㅇ (재배포) 정보보호 양식 절차(제조화학)_v1.0_(230106)
ㅇ [HSC_ICT_I01] 정보보안지침</t>
  </si>
  <si>
    <t>제 156 조  (암호키 생성)
제 157 조  (암호키 운용)
제 158 조  (암호키 폐기)
[별첨 #25] 암호화 키 관리대장
제 161 조  (암호키 생성 · 운용 · 폐기)</t>
  </si>
  <si>
    <t xml:space="preserve"> - 8.24.3_DAMO_정기점검(인프라)</t>
  </si>
  <si>
    <t xml:space="preserve">ㅇ 정보시스템 신규 구축 및 변경 시 정보시스템 설계·구현·시험·이관 단계까지 일관성 있게 적용될 수 있도록 정보보호 요구사항에 따라 개발 절차를 수립하여 이행하고 있음
</t>
  </si>
  <si>
    <t xml:space="preserve">ㅇ 정보보호지침(BH60 -0006K)
ㅇ 정보보호지침(BH60 -0006K)
</t>
  </si>
  <si>
    <t>제 132 조  (정보보호 요구사항 정의)
제 134 조  (개발 기준 및 절차)</t>
  </si>
  <si>
    <t xml:space="preserve"> - 23_0706_보안성 검토 결과_스마트 파킹(모플)
 - 23_0706_보안성 검토 결과 보고_스마트파킹(모플)
 - 23_0706_보안성 검토 결과_스마트 파킹(모플) AWS 관리자 콘솔 보안점검 결과
 - 23_0706_보안성 검토 결과_스마트 파킹(모플) 개인정보보호 보안점검 결과
 - 23_0706_보안성 검토 결과_스마트 파킹(모플) 웹 취약점 점검 결과
 - 23_0706_보안성 검토 결과_스마트 파킹(모플) 인프라 취약점 점검 결과
 - 23_0706_정보보호실무협의회 회의록_스캔본(서명포함)</t>
  </si>
  <si>
    <t xml:space="preserve">ㅇ 한화비전은 공개서버의 경우 한화 시스템ICT에 관리를 받고 있으며, 외부 인터넷에서 내부망 접속이 필요한 경우 가상사설망(VPN) 또는 가상화시스템(VDI)을 활용하고 있음
- 정보보호 담당자 승인 
- 계정 및 패스워드 외 OTP 추가인증
</t>
  </si>
  <si>
    <t>ㅇ 정보보호지침(BH60 -0006K)
ㅇ 정보보호지침(BH60 -0006K)
ㅇ 정보보호지침(BH60 -0006K)
ㅇ 정보보호지침(BH60 -0006K)
ㅇ 정보보호지침(BH60 -0006K)
ㅇ 정보보호지침(BH60 -0006K)
ㅇ 정보보호지침(BH60 -0006K)</t>
  </si>
  <si>
    <t>제 135 조  (사용자 계정 및 패스워드 관리)
제 136 조  (접근권한 관리)
제 137 조  (접근통제 관리)
제 138 조  (데이터 암호화)
제 139 조  (암호키 관리)
제 140 조  (로그 관리)
제 141 조  (시큐어 코딩 및 취약점 점검)</t>
  </si>
  <si>
    <r>
      <rPr>
        <rFont val="Malgun Gothic"/>
        <color theme="1"/>
        <sz val="11.0"/>
      </rPr>
      <t>8.26.2</t>
    </r>
  </si>
  <si>
    <t xml:space="preserve">ㅇ 시스템의 개발, 테스트, 운영까지 전반적인 내역에 대한 문서화를 하고 있으며, 안전한 시스템을 위해 개발시부터 고려해야할 보안요구사항들에 대해 적용 및 운영하고 있음
</t>
  </si>
  <si>
    <t xml:space="preserve">ㅇ 정보보호지침(BH60 -0006K)
</t>
  </si>
  <si>
    <t>제 14 장 개발 보안</t>
  </si>
  <si>
    <t xml:space="preserve"> - 정보보호지침(BH60-0006K) 제 14 장 개발 보안
 - 23_0706_보안성 검토 결과_스마트 파킹(모플)
 - 23_0706_보안성 검토 결과 보고_스마트파킹(모플)
 - 23_0706_보안성 검토 결과_스마트 파킹(모플) AWS 관리자 콘솔 보안점검 결과
 - 23_0706_보안성 검토 결과_스마트 파킹(모플) 개인정보보호 보안점검 결과
 - 23_0706_보안성 검토 결과_스마트 파킹(모플) 웹 취약점 점검 결과
 - 23_0706_보안성 검토 결과_스마트 파킹(모플) 인프라 취약점 점검 결과
 - 23_0706_정보보호실무협의회 회의록_스캔본(서명포함)
 - 8.27.1 프로그램 사양서(BSP)
 - 8.27.1 개발-운영 고객 테스트 요청(BSP)
 - 8.27.1 테스트 시나리오(BSP)
 - 8.27.1 개발-운영 고객 테스트 요청 (HPLM)
 - 8.27.1 테스트 시나리오 (HPLM)
 - 8.27.1 개발-운영 고객 테스트 요청(SCM)
 - 8.27.1 테스트시나리오(SCM)
 - 8.27.1 프로그램사양서(SCM)
 - 8.27.1.시스템개발,테스트,운영내역증적(HR)
 - 8.27.1 개발-운영 고객 테스트 요청(OPS)
 - 8.27.1 테스트시나리오(OPS)
 - 8.27.1 프로그램 사양서(OPS)</t>
  </si>
  <si>
    <t xml:space="preserve"> - 한주원 사원
 - 최승우
 - 한승희 과장
 - 이예진 사원
 - 오국경 과장</t>
  </si>
  <si>
    <t xml:space="preserve"> - 경영혁신팀(BSP)
 - ICT
 - 경영혁신팀(SCM)
 - 경영혁신팀(HR)SS3팀
 - 경영혁신팀(OPS)</t>
  </si>
  <si>
    <t xml:space="preserve">ㅇ 정보시스템 신규 구축 및 변경 프로젝트 시 해킹 등 침해사고 예방을 위한 시큐어코딩 기준을 적용하고 있음 </t>
  </si>
  <si>
    <t>ㅇ 정보보호지침(BH60-0006K)
ㅇ BB30-0006K_SW개발업무 규정_rev11_2202111</t>
  </si>
  <si>
    <t>제 134 조  (개발 기준 및 절차)
6.1.4. 선행 개발 프로세스</t>
  </si>
  <si>
    <t xml:space="preserve"> - 정보보호지침(BH60-0006K) 제 134 조 (개발 기준 및 절차)
 - SW개발업무 규정 6.1.4. 선행 개발 프로세스</t>
  </si>
  <si>
    <t xml:space="preserve"> - 경영혁신팀
</t>
  </si>
  <si>
    <r>
      <rPr>
        <rFont val="Malgun Gothic"/>
        <color theme="1"/>
        <sz val="11.0"/>
      </rPr>
      <t>8.28.2</t>
    </r>
  </si>
  <si>
    <t>새로운 정보시스템의 도입이나 기존에 운영 중인 정보시스템의 중대한 변경시 분석ㆍ설계 단계에서 
개인정보보호 및 보안측면에서 요구사항을 명확히 정의하여 설계에 반영하고 있습니까?</t>
  </si>
  <si>
    <t>ㅇ 정보보호지침(BH60 -0006K)
ㅇ BB30 -0006K_SW개발업무 규정_rev11_2202111
ㅇ BB30 -0006K_SW개발업무 규정_rev11_2202111</t>
  </si>
  <si>
    <t>제 133 조  (제안요청서 명시)
6.1.4. 선행 개발 프로세스
6.3. 상품화 개발 프로세스</t>
  </si>
  <si>
    <t xml:space="preserve">ㅇ 시큐어코딩 개발 업무가 포함된 직무에 대하여 연 1회 교육일정에 맞추어 시큐어코딩 개발 보안 교육을 실시하고 있는 확인이 어려움
</t>
  </si>
  <si>
    <t xml:space="preserve"> - 경영혁신팀(BSP)
 - ICT
 - 경영혁신팀(SCM)
 - 경영혁신팀(HR)SS3팀
 - 경영혁신팀(OPS) </t>
  </si>
  <si>
    <t>ㅇ 신규 개발 또는 변경된 업무시스템에 대해 취약점 진단 신청서를 통하여 시큐어코딩 점검 및 취약점 점검을 신청하여 시스템 내 취약점을 식별하고 필요한 경우 자가 점검을 수행하고 있음</t>
  </si>
  <si>
    <t>ㅇ 정보보호지침(BH60 -0006K)
ㅇ 정보보호지침(BH60 -0006K)
ㅇ BB31 -0015K_SW 보안 규칙_01_20210607_1
ㅇ [HSC_ICT_I01] 정보보안지침</t>
  </si>
  <si>
    <t>제 141 조  (시큐어 코딩 및 취약점 점검)
제 142 조  (보안성 검토)
 6.2 SW 보안 점검 
제 143 조  (개발 요구사항 적용 검증)</t>
  </si>
  <si>
    <t xml:space="preserve"> - 8.29.1.SW보안약점진단결과서(HR)</t>
  </si>
  <si>
    <t xml:space="preserve"> - 이예진 사원
 - 최승우</t>
  </si>
  <si>
    <t xml:space="preserve"> - 경영혁신팀(HR)SS3팀 
 - ICT</t>
  </si>
  <si>
    <t xml:space="preserve">ㅇ 신규 구축, 개발 및 변경된 업무시스템을 운영환경으로 안전하게 이관하도록 규정하고 있으며 ITSM을 통하여 관리가 이루어지고 있음
 - 정보시스템 개발 담당자 외 이관 업무 담당자 지정
 - 이관 전략 수립, 문제 발생 시 대응방안 수립, 위험평가, 책임자 승인 절차 준수 등
 </t>
  </si>
  <si>
    <t xml:space="preserve">제 146 조  (소스코드 이관 시 보호조치)
</t>
  </si>
  <si>
    <t xml:space="preserve"> - 8.29.2.변경시스템이관자료(HR)
 - 8.29.2 운영 이관 점검list(HPLM)
 - ITSM 변경 결과 보고
 - ITSM 변경작업 변경처리 화면
 - ITSM 변경작업 프로세스 맵
 - ITSM 변경작업 프로세스
 - ITSM 변경처리 현황
 - ITSM 위험평가
 - ITSM 작업 내역 </t>
  </si>
  <si>
    <t>ㅇ 외주개발 관리를 위한 표준업무 절차를 통해 시스템 개발 활동을 감독하고 모니터링하고 있는지 확인이 필요함</t>
  </si>
  <si>
    <t>ㅇ 외주개발관리_업무기준_08_개정1</t>
  </si>
  <si>
    <t>6.2 외주개발 관리</t>
  </si>
  <si>
    <t>ㅇ 하이웨어 접근통제를 통하여 개발업무시스템의 개발 환경, 테스트 환경, 운영 환경을 분리하여 구성하고 있음</t>
  </si>
  <si>
    <t>ㅇ 정보보호지침(BH60-0006K)
ㅇ [HSC_ICT_I01] 정보보안지침</t>
  </si>
  <si>
    <t>제 144 조  (개발 환경 구성)
제 150 조  (개발 환경 구성)</t>
  </si>
  <si>
    <t xml:space="preserve"> - 098. 판교사업장 서버팜 분리 추진_20220811
 - 223. 개발 운영환경 분리
 - 8.31.1 서버팜 분리 추진 계획
 - 8.31.1 서버팜 분리 추진 품의</t>
  </si>
  <si>
    <t xml:space="preserve">경영혁신팀
</t>
  </si>
  <si>
    <r>
      <rPr>
        <rFont val="Malgun Gothic"/>
        <color theme="1"/>
        <sz val="11.0"/>
      </rPr>
      <t>8.31.2</t>
    </r>
  </si>
  <si>
    <t>ㅇ 업무시스템의 개발 환경, 테스트 환경, 운영 환경을 분리하여 구성하고 있음
ㅇ 업무시스템 수정 및 테스트는 별도의 개발 및 테스트 서버에서 실시하고 있음</t>
  </si>
  <si>
    <t>제 149 조  (산출물 관리)
제 150 조  (개발 환경 구성)</t>
  </si>
  <si>
    <t xml:space="preserve"> - 098. 판교사업장 서버팜 분리 추진_20220811
 - 223. 개발 운영환경 분리
 - 8.31.2.개발운영환경분리(HR)
 - 8.31.2 서버팜 분리 품의
 - 8.31.2 서버팜 분리 계획</t>
  </si>
  <si>
    <t xml:space="preserve">ㅇ ITSM으로 정보시스템 관련 자산들의 모든 변경사항을 반영할 수 있는 공식적인 관리절차와 책임을 설정하고 있음
</t>
  </si>
  <si>
    <t>제 74 조  (변경 관리)</t>
  </si>
  <si>
    <t xml:space="preserve"> - 비전_ 자산관리대장_ISO27001_230725
 - ITSM 변경작업 프로세스
 - ITSM 변경작업 프로세스 맵
 - ITSM 변경작업 변경처리 화면
 - ITSM 위험평가
 - ITSM 변경처리 현황
 - ITSM 작업 내역 
 - 8.32.1 변경 결과 보고(인프라)
 - 8.32.1 ITSM 변경처리(NW)</t>
  </si>
  <si>
    <t>ㅇ 개발/운영으로 구분된 각각의 환경에서 소스의 변경에 대한 승인 절차를 수립하여 이행하고 있음</t>
  </si>
  <si>
    <t>ㅇ BB31 -0003K_SW형상관리규칙_rev09_2209191
ㅇ BB31 -0003K_SW형상관리규칙_rev09_2209191
ㅇ BB31 -0003K_SW형상관리규칙_rev09_2209191
ㅇ BB31 -0003K_SW형상관리규칙_rev09_2209191
ㅇ BB31 -0003K_SW형상관리규칙_rev09_2209191
ㅇ BB31 -0003K_SW형상관리규칙_rev09_2209191
ㅇ (개정) 정보보호 관리 기준(제조화학)_v1.0_(230106)
ㅇ (재배포) 정보보호 양식 절차(제조화학)_v1.0_(230106)</t>
  </si>
  <si>
    <t>6.2.1. 변경 요청
6.2.2. 변경 심의/승인
6.2.3. 변경사항 수정
6.2.4. 변경사항 검증
6.2.5. 변경 사항 결과 통보
6.2.6. 형상 상태 보고
[붙임 #24] 정보시스템 보안성 검토 절차
[별첨 #24] 정보시스템 보안성 검토</t>
  </si>
  <si>
    <t xml:space="preserve"> - SW형상관리규칙 6.2 SW 형상 통제
 - 8.23.2 ITSM 변경처리결재(NW)
 - ITSM 변경작업 프로세스
 - ITSM 변경작업 프로세스 맵
 - ITSM 변경작업 변경처리 화면
 - ITSM 위험평가
 - ITSM 변경처리 현황
 - ITSM 작업 내역 
 - 8.32.2 운영 이관 점검list</t>
  </si>
  <si>
    <t xml:space="preserve">ㅇ ITSM 시스템을 통하여 운영체제 패치, 취약점 제거 등 정보시스템 내 변경사항 발생 시 다음 절차에 따라 변경하고 있음
 1. 구성 및 설정 변경에 따른 서비스 영향도 분석
 2. 긴급 보안 패치 및 취약점 제거 시 정보보호 담당자의 사전 협의 및 공유
 3. 구성 및 설정 변경 실시
 4. 구성 변경 완료 후 변경된 내역의 최신화된 자산목록 최신화 등
ㅇ 취약점 개선 시 정보보호 담당자와 정보보호 유관 부서는 서비스 영향도 등을 사전에 파악해야 하고 단기조치가 어려운 취약점은 조치가 완료될 때까지 보완대책을 수립하여 적용하고 있음
</t>
  </si>
  <si>
    <t>제 74 조  (변경 관리)
제 84 조  (취약점 점검 후속 조치)</t>
  </si>
  <si>
    <t xml:space="preserve"> - 비전_ 자산관리대장_ISO27001_230725
 - ITSM 변경작업 프로세스
 - ITSM 변경작업 프로세스 맵
 - ITSM 변경작업 변경처리 화면
 - ITSM 위험평가
 - ITSM 변경처리 현황
 - ITSM 작업 내역 
 - 8.32.3 변경 결과 보고(인프라)
 - 8.32.3 ITSM 변경관리이력(NW)</t>
  </si>
  <si>
    <t>ㅇ 설치된 운영체제, 소프트웨어의 패치 현황을 정기적으로 관리하고 서비스 영향도 분석 후 최신 패치를 적용하고 있음
ㅇ 한화비전은 한화시스템ICT로부터 월간 ITO 보고서를 제공받으며, 정보시스템 운영 담당자는 서비스 영향도 등으로 인해 최신 패치 적용이 어려운 경우 사유와 보안대책을 적용하고 있음</t>
  </si>
  <si>
    <t>제 81 조  (보안 패치)
제 74 조  (변경 관리)</t>
  </si>
  <si>
    <t xml:space="preserve"> - (IMS) 민수4사_월간운영현황보고_2023년 6월 _ OS패치 검토
 - ITSM 작업 내역 
 - ITSM 변경작업 프로세스
 - ITSM 변경작업 프로세스 맵
 - ITSM 변경작업 변경처리 화면
 - ITSM 위험평가
 - ITSM 변경 결과 보고
 - ITSM 변경처리 현황</t>
  </si>
  <si>
    <t xml:space="preserve"> - 최승우 </t>
  </si>
  <si>
    <t xml:space="preserve">ㅇ 데이터 변경 및 프로그램 개선 CR건의 경우 운영 이관 작업 전 개발 테스트를 하고, 개발이 완료되면 단위테스트 및 통합테스트를 실시하고, 고객이 이를 참고하여 인수테스트를 실시함.
ㅇ 프로그램 사양서 및 테스트 시나리오를 통해 개발/운영환경 내에서 테스트를 수행하며, 개발환경 테스트 완료 후 운영이관 고객협의 결재를 통해 최종적으로 운영이관을 수행함.
</t>
  </si>
  <si>
    <t xml:space="preserve">제 144 조  (개발 환경 구성)
제 148 조  (시험 데이터 보안)
</t>
  </si>
  <si>
    <t xml:space="preserve"> - 8.33.1 개발 테스트 계획서 및 결과서(BSP)
 - 8.33.1 운영 이관 점검list(BSP)
 - 8.33.1 개발테스트 계획서 및 결과서(HPLM)
 - 8.33.1 운영 이관 점검list(HPLM)
 - 8.33.1 형상관리문서(ERP)
 - 8.33.1 형상분석(ERP)
 - 8.33.1 개발테스트 계획서 및 결과서(SCM)
 - 8.33.1 운영이관 요청(SCM)
 - 8.33.1.개발테스트결과서(HR)</t>
  </si>
  <si>
    <t xml:space="preserve"> - 한주원 사원
 - 최승우
 - 정용덕
 - 한승희 과장
 - 이예진 사원
 - 오국경 과장</t>
  </si>
  <si>
    <t xml:space="preserve"> - 경영혁신팀(BSP)
 - ICT
 - (ERP)
 - 경영혁신팀(SCM)
 - 경영혁신팀(HR)SS3팀 
 - 경영혁신팀(OPS)
</t>
  </si>
  <si>
    <t xml:space="preserve">ㅇ 정보보호 담당자는 회사의 정보보호 목표 수준을 설정해야 하며, 회사는 '[붙임 #8] 정보보호 수준 평가 운영 기준' 에 따라 연 1회 이상 정보보호 수준 평가를 실시하고 있음
ㅇ 23년 정보보호수준평가 10월 실시 예정되어 있음
</t>
  </si>
  <si>
    <t>ㅇ 정보보호지침(BH60 -0006K)
ㅇ (개정) 정보보호 관리 기준(제조화학)_v1.0_(230106)</t>
  </si>
  <si>
    <t>제 42 조  (정보보호 수준 평가) 
[붙임 #8] 정보보호 수준 평가 운영 기준</t>
  </si>
  <si>
    <t xml:space="preserve"> - 22년 테크윈 정보보호수준평가_221006_제출
 - (테크윈) 2022년 정보보호 수준평가 결과 및 피드백</t>
  </si>
  <si>
    <t xml:space="preserve">ㅇ 정보보호 수준 평가 결과를 토대로 수준 평가를 실시하고 그 결과를 유관 부서장 및 담당자에게 통보하고 있음
ㅇ 평가 결과에 대한 개선 계획에 따라 개선 조치가 지속적으로 이루어지도록 조치 현황을 관리하고 있음
</t>
  </si>
  <si>
    <t>ISO27001 : 2013 통제내용</t>
  </si>
  <si>
    <t>점검결과
(Y,N,P,N/A)</t>
  </si>
  <si>
    <t>2차 점검 결과</t>
  </si>
  <si>
    <t>책임님
확인완
(230710)</t>
  </si>
  <si>
    <t>선임님
확인완
(230717)</t>
  </si>
  <si>
    <t>최종 점검 결과</t>
  </si>
  <si>
    <t>책임님
확인완
(20230719)</t>
  </si>
  <si>
    <t>선임님 확인
(20230724)</t>
  </si>
  <si>
    <t>2차 운영현황 분석</t>
  </si>
  <si>
    <t>최종 운영현황 분석</t>
  </si>
  <si>
    <t>최승우 과장 리뷰_230728</t>
  </si>
  <si>
    <t>주기</t>
  </si>
  <si>
    <t>질의사항</t>
  </si>
  <si>
    <t>질의답변</t>
  </si>
  <si>
    <t>증적 갱신</t>
  </si>
  <si>
    <t>미회신자료 및
추가회신요청</t>
  </si>
  <si>
    <t>위험평가
보호대책 기간</t>
  </si>
  <si>
    <t>A.5.1
정보보호 정책</t>
  </si>
  <si>
    <t>A.5.1.1</t>
  </si>
  <si>
    <r>
      <rPr>
        <rFont val="Malgun Gothic"/>
        <color rgb="FF000000"/>
        <sz val="11.0"/>
      </rPr>
      <t>정보보호를 위한</t>
    </r>
    <r>
      <rPr>
        <rFont val="맑은 고딕"/>
        <color rgb="FF000000"/>
        <sz val="11.0"/>
      </rPr>
      <t xml:space="preserve"> 정책</t>
    </r>
  </si>
  <si>
    <t>정보보호를 위한 정책의 집합을 정의하고 경영진의 승인을 거쳐 직원 및 관련 외부자에게 공표하며 소통하여야 한다.</t>
  </si>
  <si>
    <r>
      <rPr>
        <rFont val="Malgun Gothic"/>
        <color rgb="FF000000"/>
        <sz val="11.0"/>
      </rPr>
      <t>5</t>
    </r>
    <r>
      <rPr>
        <rFont val="맑은 고딕"/>
        <color rgb="FF000000"/>
        <sz val="11.0"/>
      </rPr>
      <t>.1.1</t>
    </r>
  </si>
  <si>
    <t>ㅇ</t>
  </si>
  <si>
    <t>책임님 확인(20230710)
기존 양호 증적 캡쳐 완료</t>
  </si>
  <si>
    <t xml:space="preserve"> - 매년
 - 매년</t>
  </si>
  <si>
    <t>1차 확인 완료</t>
  </si>
  <si>
    <t>비대상</t>
  </si>
  <si>
    <r>
      <rPr>
        <rFont val="Malgun Gothic"/>
        <color rgb="FF000000"/>
        <sz val="11.0"/>
      </rPr>
      <t>5</t>
    </r>
    <r>
      <rPr>
        <rFont val="맑은 고딕"/>
        <color rgb="FF000000"/>
        <sz val="11.0"/>
      </rPr>
      <t>.1.2</t>
    </r>
  </si>
  <si>
    <r>
      <rPr>
        <rFont val="Malgun Gothic"/>
        <color theme="1"/>
        <sz val="11.0"/>
      </rPr>
      <t xml:space="preserve">ㅇ 정보보호 지침은 </t>
    </r>
    <r>
      <rPr>
        <rFont val="맑은 고딕"/>
        <color rgb="FF00B050"/>
        <sz val="11.0"/>
      </rPr>
      <t>최고경영진에 의해 승인</t>
    </r>
    <r>
      <rPr>
        <rFont val="맑은 고딕"/>
        <color theme="1"/>
        <sz val="11.0"/>
      </rPr>
      <t xml:space="preserve">되어 중대한 변경이 발생하는 경우 정보보호 위원회 및 실무협의회를 개최하여 검토하고 있음
</t>
    </r>
  </si>
  <si>
    <t xml:space="preserve"> - 매년
 - 매년
 - 매년</t>
  </si>
  <si>
    <t>23년 1월 정보보호지침이 개정된 것으로 확인되지만 정보보호 최고책임자의 승인이력 증적자료가 존재합니까?
 - 제공받은 자료가 확장자(.enc)는 열람이 되지 않으므로 pdf 또는 jpg 파일 요청</t>
  </si>
  <si>
    <t xml:space="preserve"> - 매년 법률 개정 등 최신화하여 개정 작업을 하고 있으며, 금번 지침 개정 검토 본으로 개정 예정
 - 매년 법률 개정 등 최신화하여 개정 작업을 하고 있으며, 금번 지침 개정 검토 본으로 개정 예정(8월 중)
 - 매년 법률 개정 등 최신화하여 개정 작업을 하고 있으며, 금번 지침 개정 검토 본으로 개정 예정
</t>
  </si>
  <si>
    <t xml:space="preserve"> - 승인여부 확인 관련 증적</t>
  </si>
  <si>
    <t xml:space="preserve">현재는 CISO 승인
1. 정보보호지침 개정 / 대표이사 승인
- ISO 27001 위험평가 추가
- 통제항목에 없는 부분은 추가
- 대표이사 선언문
- 정보보호위원회
</t>
  </si>
  <si>
    <t>즉시</t>
  </si>
  <si>
    <r>
      <rPr>
        <rFont val="Malgun Gothic"/>
        <color rgb="FF000000"/>
        <sz val="11.0"/>
      </rPr>
      <t>5</t>
    </r>
    <r>
      <rPr>
        <rFont val="맑은 고딕"/>
        <color rgb="FF000000"/>
        <sz val="11.0"/>
      </rPr>
      <t>.1.3</t>
    </r>
  </si>
  <si>
    <t>A.5.1.2</t>
  </si>
  <si>
    <t>정보보호 정책의 검토</t>
  </si>
  <si>
    <t>정보보호 정책은 계획된 주기에 따라 또는 중대한 변경이 발생한 경우에 지속적인 적합성, 적절성, 효과성을 보장하기 위하여 검토하여야 한다.</t>
  </si>
  <si>
    <r>
      <rPr>
        <rFont val="Malgun Gothic"/>
        <color rgb="FF000000"/>
        <sz val="11.0"/>
      </rPr>
      <t>5</t>
    </r>
    <r>
      <rPr>
        <rFont val="맑은 고딕"/>
        <color rgb="FF000000"/>
        <sz val="11.0"/>
      </rPr>
      <t>.1.4</t>
    </r>
  </si>
  <si>
    <t xml:space="preserve">책임님 확인(20230710)
기존 양호 </t>
  </si>
  <si>
    <r>
      <rPr>
        <rFont val="Malgun Gothic"/>
        <color rgb="FF000000"/>
        <sz val="11.0"/>
      </rPr>
      <t>5</t>
    </r>
    <r>
      <rPr>
        <rFont val="맑은 고딕"/>
        <color rgb="FF000000"/>
        <sz val="11.0"/>
      </rPr>
      <t>.1.5</t>
    </r>
  </si>
  <si>
    <t>제공된 증적자료가 22년도 버전으로 23년도 최근 진행된 정보보호 실무협의회 회의록이 존재합니까?</t>
  </si>
  <si>
    <t xml:space="preserve"> - 신규 시스템 오픈 및 회사 정보보호 환경의 중대한 변화 있을 시 등 필요 조건이 발생할 때 실무협의회 개최
 - 신규 시스템 오픈 및 회사 정보보호 환경의 중대한 변화 있을 시 등 필요 조건이 발생할 때 실무협의회 개최
 - 신규 시스템 오픈 및 회사 정보보호 환경의 중대한 변화 있을 시 등 필요 조건이 발생할 때 실무협의회 개최</t>
  </si>
  <si>
    <t xml:space="preserve"> - 23년 실무협의회 회의록</t>
  </si>
  <si>
    <t xml:space="preserve">O
</t>
  </si>
  <si>
    <t>A.6.1
내부 조직</t>
  </si>
  <si>
    <t>A.6.1.1</t>
  </si>
  <si>
    <t>모든 정보보호 책임을 정의하고 할당하여야 한다.</t>
  </si>
  <si>
    <r>
      <rPr>
        <rFont val="Malgun Gothic"/>
        <color rgb="FF000000"/>
        <sz val="11.0"/>
      </rPr>
      <t>5</t>
    </r>
    <r>
      <rPr>
        <rFont val="맑은 고딕"/>
        <color rgb="FF000000"/>
        <sz val="11.0"/>
      </rPr>
      <t>.2.1</t>
    </r>
  </si>
  <si>
    <t xml:space="preserve"> - 한화테크윈_정보보호최고책임자 변경신고서_190829
 - 한화테크윈_정보보호최고책임자 지정신고서
 - 010 인사발령_경영지원실장 업무위촉 변경(안)_190624(김우석,권인)</t>
  </si>
  <si>
    <t>전재덕과장 전달</t>
  </si>
  <si>
    <t xml:space="preserve"> -전철민 부장 CISO 지정 변경 승인 및 신고 내역</t>
  </si>
  <si>
    <t>A.6.1.2</t>
  </si>
  <si>
    <t>조직의 자산에 인가되지 않거나 의도하지 않은 수정 또는 오용이 발생할 가능성을 줄이기 위하여 상충하는 직무와 책임 영역을 분리하여야 한다.</t>
  </si>
  <si>
    <t>N</t>
  </si>
  <si>
    <t>ㅇ 회사는 효율적인 정보보호 업무 수행을 위해 정보보호 최고책임자, 정보보호 관리자 및 정보보호 담당자로 구성된 정보보호 조직을 운영하며, 정보보호 담당자는 관리보안 담당자, IT보안 담당자, 물리보안 담당자로 구분하여 운영하고 있음.
 - 하지만, 주요 직무자에 대한 조직 구성도 상세 현황(직급, 회사전화, E-Mail, 주요업무 등)이 존재하지 않음
 - 이번 컨설팅을 통해 지침 및 관리기준 개정 시 기준에 포함하여 개정 예정</t>
  </si>
  <si>
    <r>
      <rPr>
        <rFont val="Malgun Gothic"/>
        <color theme="1"/>
        <sz val="11.0"/>
      </rPr>
      <t xml:space="preserve">ㅇ 회사는 효율적인 정보보호 업무 수행을 위해 정보보호 최고책임자, 정보보호 관리자 및 정보보호 담당자로 구성된 정보보호 조직을 운영하며, 정보보호 담당자는 관리보안 담당자, IT보안 담당자, 물리보안 담당자로 구분하여 운영하고 있음.
 - 주요 직무자에 대한 조직 구성도 </t>
    </r>
    <r>
      <rPr>
        <rFont val="맑은 고딕"/>
        <color rgb="FF00B050"/>
        <sz val="11.0"/>
      </rPr>
      <t>상세 현황</t>
    </r>
    <r>
      <rPr>
        <rFont val="맑은 고딕"/>
        <color theme="1"/>
        <sz val="11.0"/>
      </rPr>
      <t xml:space="preserve">(직급, 회사전화, E-Mail, </t>
    </r>
    <r>
      <rPr>
        <rFont val="맑은 고딕"/>
        <color rgb="FF00B050"/>
        <sz val="11.0"/>
      </rPr>
      <t>주요업무</t>
    </r>
    <r>
      <rPr>
        <rFont val="맑은 고딕"/>
        <color theme="1"/>
        <sz val="11.0"/>
      </rPr>
      <t xml:space="preserve"> 등)이 존재함
</t>
    </r>
  </si>
  <si>
    <r>
      <rPr>
        <rFont val="Malgun Gothic"/>
        <color theme="1"/>
        <sz val="11.0"/>
      </rPr>
      <t xml:space="preserve"> - 014. 정보보호 조직 구성도 
</t>
    </r>
    <r>
      <rPr>
        <rFont val="맑은 고딕"/>
        <color rgb="FF00B050"/>
        <sz val="11.0"/>
      </rPr>
      <t xml:space="preserve"> - 5.3.1_정보보호 주요 담당자 구성 및 연락망</t>
    </r>
    <r>
      <rPr>
        <rFont val="맑은 고딕"/>
        <color theme="1"/>
        <sz val="11.0"/>
      </rPr>
      <t xml:space="preserve">
 - 정보보호지침(BH60-0006K) 제 3장 정보보호 조직
</t>
    </r>
  </si>
  <si>
    <t>ERP,SCM 등 인증범위 내 인력 구성 상세 현황과 역할 및 책임이 규정된 문서가 있습니까?</t>
  </si>
  <si>
    <t xml:space="preserve"> - 조직 구성도는 금번 지침/기준 개정 시 기준에 포함하여 개정 예정. 업무규정은 지침에 있음(정보보호지침 '제3장 정보보호 조직')
 - 조직 구성도는 금번 지침/기준 개정 시 기준에 포함하여 개정 예정. 업무규정은 지침에 있음(정보보호지침 '제3장 정보보호 조직')
 - 조직 구성도는 금번 지침/기준 개정 시 기준에 포함하여 개정 예정. 업무규정은 지침에 있음(정보보호지침 '제3장 정보보호 조직')</t>
  </si>
  <si>
    <t xml:space="preserve"> - 23년 정보보호조직 구성도
</t>
  </si>
  <si>
    <t>O</t>
  </si>
  <si>
    <t>ㅇ 규정에 따라 정보보호 관리 활동을 계획하는 체계가 존재함
1. 정보보호 활동의 추진 목표 및 계획
2. 연간 정보보호 점검 및 교육 계획
3. 취약점 분석·평가 및 침해사고 예방·대응
4. 정보보호 목표 수준 설정 등
책임님 확인필요</t>
  </si>
  <si>
    <t>ㅇ 증적확보 후 재작성</t>
  </si>
  <si>
    <t>제공된 증적자료가 22년도 버전으로 23년도 최근 진행된 22년도 실적 및 23년 계획이 존재합니까?</t>
  </si>
  <si>
    <t xml:space="preserve"> - 매년 연초 직전년도 실적 및 당해년도 실행 계획 보고 중
 - 매년 연초 직전년도 실적 및 당해년도 실행 계획 보고 중</t>
  </si>
  <si>
    <t xml:space="preserve"> - 정보보안 22년 실적 및 23년 계획</t>
  </si>
  <si>
    <r>
      <rPr>
        <rFont val="Malgun Gothic"/>
        <color rgb="FF000000"/>
        <sz val="11.0"/>
      </rPr>
      <t>A.</t>
    </r>
    <r>
      <rPr>
        <rFont val="맑은 고딕"/>
        <color rgb="FF000000"/>
        <sz val="11.0"/>
      </rPr>
      <t>7.2
고용 중</t>
    </r>
  </si>
  <si>
    <t>A.7.2.1</t>
  </si>
  <si>
    <t>경영진은 모든 직원 및 계약직이 조직이 수립한 정책과 절차에 따라 정보보호를 수행하도록 요구하여야 한다.</t>
  </si>
  <si>
    <t xml:space="preserve"> - 상시
 - 상시 
 - 상시 
</t>
  </si>
  <si>
    <t>A.6.1.3</t>
  </si>
  <si>
    <t>관련 기관과의 연계</t>
  </si>
  <si>
    <t>관련 기관에 대한 적절한 연계를 유지하여야 한다.</t>
  </si>
  <si>
    <t>침해사고 발생 시 사고 보고를 위한 정보보호 유관 기관(KISA, 대검찰청 수사대 등) 비상연락망 체계가 존재합니까?</t>
  </si>
  <si>
    <t xml:space="preserve"> - 유관 기관 및 유관 담당자가 기입된 비상 연락망 관리 중
 - 유관 기관 및 유관 담당자가 기입된 비상 연락망 관리 중
 - 유관 기관 및 유관 담당자가 기입된 비상 연락망 관리 중</t>
  </si>
  <si>
    <t xml:space="preserve"> - 비상연락망</t>
  </si>
  <si>
    <t>ICT 증빙 예정</t>
  </si>
  <si>
    <t>A.6.1.4</t>
  </si>
  <si>
    <t>전문가 그룹과의 관계</t>
  </si>
  <si>
    <t>특별 관심 그룹 또는 전문가 보안 포럼 및 직능 단체와 적절한 연계를 유지하여야 한다.</t>
  </si>
  <si>
    <r>
      <rPr>
        <rFont val="Malgun Gothic"/>
        <color rgb="FF000000"/>
        <sz val="11.0"/>
      </rPr>
      <t>5</t>
    </r>
    <r>
      <rPr>
        <rFont val="맑은 고딕"/>
        <color rgb="FF000000"/>
        <sz val="11.0"/>
      </rPr>
      <t>.6.1</t>
    </r>
  </si>
  <si>
    <t>추가증적으로 비상연락망만 받으면 양호
책임님 확인(20230710)</t>
  </si>
  <si>
    <r>
      <rPr>
        <rFont val="맑은 고딕"/>
        <color theme="1"/>
        <sz val="11.0"/>
      </rPr>
      <t xml:space="preserve">ㅇ 정보보안센터는 Hanwha Alert(이하 'HA') 위기경보를 발령하기 위하여 Intelligence를 확인하고 사고유형을 분류하여 보안장비를 통한 차단 가능성 여부 및 침해사고 흔적을 추적하여 위기상황에 적합한 단계를 검토하도록 체계를 운영하고 있으며, 분석 정보를 활용한 대응계획 및 보안대책을 수립하고 있음
ㅇ 한화시스템ICT로 부터 ISS 보안 서비스를 제공 받아 정보보호 위협 공격에 대한 분석 및 방어 전략을 문서화하여 공유하고 있음
 - Intelligence Portal, Telegram Alert에 게시 및 배포
 - 외부동향 위협 이메일 전송(위험도 하) 및 SMS 전송(위험도 상)
※ 한화시스템ICT는 ISO27000, ISO27001, ISO27017 인증을 받아, 통제항목을 준수하고 있음
</t>
    </r>
    <r>
      <rPr>
        <rFont val="맑은 고딕"/>
        <color rgb="FF6600FF"/>
        <sz val="11.0"/>
      </rPr>
      <t xml:space="preserve">
</t>
    </r>
  </si>
  <si>
    <t>최승우
(증빙완료)_230728</t>
  </si>
  <si>
    <t xml:space="preserve"> - 상시
 - 상시</t>
  </si>
  <si>
    <t>정보보호 위협 공격 정보와 관련된 인텔리전스를 관제를 통해서 제공받고 있는데, 한화시스템 관제는 보안관제 전문업체 위탁 또는 자체운영 중 어떻게 구성되어 있습니까?</t>
  </si>
  <si>
    <t xml:space="preserve"> - 보안관제 전문 인력이 관제 모니터링 및 유사시 담당자 연락하여 조치 중
 - 보안관제 전문 인력이 관제 모니터링 및 유사시 담당자 연락하여 조치 중</t>
  </si>
  <si>
    <t xml:space="preserve"> - 비상연락망
 - 최근 ISS 보고서</t>
  </si>
  <si>
    <t>A.6.1.5</t>
  </si>
  <si>
    <t xml:space="preserve">프로젝트의 유형에 상관없이 프로젝트 관리 내에서 정보보호를 다루어야 한다. </t>
  </si>
  <si>
    <t>추가증적으로 특약서 샘플과 서약서 받고 멘트 수정
책임님 확인(20230710)
최승우 과장님(20230713) 서약서 부분은 6.1.1 증적으로 해당 부분도 적용 가능한지 확인 요청하심</t>
  </si>
  <si>
    <r>
      <rPr>
        <rFont val="Malgun Gothic"/>
        <color theme="1"/>
        <sz val="11.0"/>
      </rPr>
      <t xml:space="preserve"> - [붙임 #4] 협력업체 보안 관리 기준
</t>
    </r>
    <r>
      <rPr>
        <rFont val="맑은 고딕"/>
        <color rgb="FF00B050"/>
        <sz val="11.0"/>
      </rPr>
      <t xml:space="preserve"> - [별첨 #4] 정보보호 특약서
 - [별첨 #5] 협력업체 인원 정보보호서약서(투입 시)
 - [별첨 #6] 협력업체 인원 정보보호서약서(종료 시)</t>
    </r>
  </si>
  <si>
    <t>협력업체 보안관리 기준 양식의 샘플(마스킹 허용)로 제공 가능한 사례가 있습니까?</t>
  </si>
  <si>
    <t xml:space="preserve"> - 프로젝트 투입 시 외부 인력에게 보안서약서 징구 및 관리중
 - 프로젝트 투입 시 외부 인력에게 보안서약서 징구 및 관리중</t>
  </si>
  <si>
    <t xml:space="preserve"> - 정보보호 특약서 샘플
 - 협력업체 인원 정보보호서약서(투입시, 종료시) 샘플</t>
  </si>
  <si>
    <t>경영혁신팀</t>
  </si>
  <si>
    <t>단기</t>
  </si>
  <si>
    <t>서약서
어떤 증적 활용할지</t>
  </si>
  <si>
    <r>
      <rPr>
        <rFont val="Malgun Gothic"/>
        <color rgb="FF000000"/>
        <sz val="11.0"/>
      </rPr>
      <t>A.1</t>
    </r>
    <r>
      <rPr>
        <rFont val="맑은 고딕"/>
        <color rgb="FF000000"/>
        <sz val="11.0"/>
      </rPr>
      <t>4.1
정보시스템 보안 요구사항</t>
    </r>
  </si>
  <si>
    <t>A.14.1.1</t>
  </si>
  <si>
    <t>정보보호 요구사항 분석 및 명세</t>
  </si>
  <si>
    <t>정보보호 관련 요구사항을 신규 정보시스템의 요구사항이나 기존 정보시스템의 개선사항에 포함시켜야 한다.</t>
  </si>
  <si>
    <t>ㅇ 제안요청서 및 명세서 제공 받으면 재작성</t>
  </si>
  <si>
    <r>
      <rPr>
        <rFont val="Malgun Gothic"/>
        <color theme="1"/>
        <sz val="11.0"/>
      </rPr>
      <t xml:space="preserve">ㅇ 정보보호 담당자는 정보시스템 신규 구축 및 변경 시 정보시스템 설계·구현·시험·이관 단계까지 일관성 있게 적용될 수 있도록 정보보호 요구사항을 정의하고 있으며, 정보시스템 신규 구축 및 변경 프로젝트 발주 시 정보시스템의 법적 준수 및 안전성 확보를 위해 정보보호 요구사항 등을 </t>
    </r>
    <r>
      <rPr>
        <rFont val="맑은 고딕"/>
        <color rgb="FF00B050"/>
        <sz val="11.0"/>
      </rPr>
      <t>제안요청서</t>
    </r>
    <r>
      <rPr>
        <rFont val="맑은 고딕"/>
        <color theme="1"/>
        <sz val="11.0"/>
      </rPr>
      <t xml:space="preserve">에 명시하도록 규정되어 있음.
</t>
    </r>
    <r>
      <rPr>
        <rFont val="맑은 고딕"/>
        <color rgb="FF00B050"/>
        <sz val="11.0"/>
      </rPr>
      <t>1. 정보보호 유관 법률 준수를 위한 요구사항
2. 회사의 정보보호 정책·지침 및 하위 문서
3. 최신 보안 취약점 및 그 외 정보보호 관련 사항 등</t>
    </r>
    <r>
      <rPr>
        <rFont val="맑은 고딕"/>
        <color theme="1"/>
        <sz val="11.0"/>
      </rPr>
      <t xml:space="preserve">
</t>
    </r>
  </si>
  <si>
    <t>한화비전에서 발주한 신규시스템 도입 및 개발과 관련된 제안요청서가 존재합니까?</t>
  </si>
  <si>
    <t xml:space="preserve"> - 확인 예정 : RFP 샘플
 - 김부장님 확인 예정 : RFP 샘플</t>
  </si>
  <si>
    <t xml:space="preserve"> - 제안요청서
 - 정보보호 요구사항 분석 및 명세서</t>
  </si>
  <si>
    <t>중기</t>
  </si>
  <si>
    <t>명세서</t>
  </si>
  <si>
    <t>A.8.1
자산에 대한 책임</t>
  </si>
  <si>
    <t>A.8.1.1</t>
  </si>
  <si>
    <t>자산목록</t>
  </si>
  <si>
    <t>정보 및 정보처리 시설과 연관된 자산을 식별하고 자산에 대한 목록을 작성하여 유지하여야 한다.</t>
  </si>
  <si>
    <t>ERP,SCM 등 인증범위 내 포함되는 자산관리대장이 별도로 존재합니까?</t>
  </si>
  <si>
    <t xml:space="preserve"> - 매년 자산관리 대장을 현행화 관리하고 있으며, 정보보호지침 기준에 의거 중요도 평가 실시함
 - 매년 자산관리 대장을 현행화 관리하고 있으며, 정보보호지침 기준에 의거 중요도 평가 실시함</t>
  </si>
  <si>
    <t xml:space="preserve"> - 자산관리대장(ISO27001)</t>
  </si>
  <si>
    <t>ICT</t>
  </si>
  <si>
    <t>ERP,SCM 등 인증범위 내 포함되는 자산평가결과 보고서가 별도로 존재합니까?</t>
  </si>
  <si>
    <t>ICT
경영혁신팀</t>
  </si>
  <si>
    <t>A.8.1.2</t>
  </si>
  <si>
    <t>자산소유권</t>
  </si>
  <si>
    <t>목록으로 유지되는 자산은 소유자가 존재하여야 한다.</t>
  </si>
  <si>
    <t>책임님 확인(20230710)
자산평가목록, 라벨링 자료 받으면 양호처리
ㅇ 자산목록 관리를 통해 정보자산에 대한 소유자, 관리자, 책임자에 대한 분류가 이루어지고 있으며, 정보자산에 책임자 실물 표기를 하고 있음
※ 한화시스템ICT는 ISO27000, ISO27001, ISO27017 인증을 받아, 통제항목을 준수하고 있음</t>
  </si>
  <si>
    <r>
      <rPr>
        <rFont val="Malgun Gothic"/>
        <color theme="1"/>
        <sz val="11.0"/>
      </rPr>
      <t>ㅇ 자산목록 관리를 통해 정보자산에 대한 소유자, 관리자, 책임자에 대한 분류가 이루어지고 있으며, 정보자산에 책임자</t>
    </r>
    <r>
      <rPr>
        <rFont val="맑은 고딕"/>
        <color rgb="FF00B050"/>
        <sz val="11.0"/>
      </rPr>
      <t xml:space="preserve"> 실물 표기</t>
    </r>
    <r>
      <rPr>
        <rFont val="맑은 고딕"/>
        <color theme="1"/>
        <sz val="11.0"/>
      </rPr>
      <t>를 하고 있음
※ 한화시스템ICT는 ISO27000, ISO27001, ISO27017 인증을 받아, 통제항목을 준수하고 있음</t>
    </r>
  </si>
  <si>
    <t>자산관리대장과 일치하도록 라벨링 정책을 시행중입니까?</t>
  </si>
  <si>
    <t xml:space="preserve"> - ICT 확인 필요(최승우 과장님 - 하고 있음 &gt; 실사 때 확인)
 - ICT 확인 필요</t>
  </si>
  <si>
    <t xml:space="preserve"> - 라벨링 실물자료</t>
  </si>
  <si>
    <t>1. 자산관리대장
2. ICT ISO27001 인증서
ICT</t>
  </si>
  <si>
    <t>A.8.1.3</t>
  </si>
  <si>
    <t>자산 이용</t>
  </si>
  <si>
    <t>정보 및 정보처리 시설에 연관된 자산의 적절한 사용을 위한 규칙을 식별하고 문서화 및 구현하여야 한다.</t>
  </si>
  <si>
    <t>A.8.2
정보 등급화</t>
  </si>
  <si>
    <t>A.8.2.3</t>
  </si>
  <si>
    <t>자산 취급</t>
  </si>
  <si>
    <t>조직에서 채택한 정보 등급화 체계에 따라 자산 취급절차를 개발하고 구현하여야 한다.</t>
  </si>
  <si>
    <t>책임님 확인(20230710)
규정수립 관련 통제</t>
  </si>
  <si>
    <r>
      <rPr>
        <rFont val="Malgun Gothic"/>
        <color theme="1"/>
        <sz val="11.0"/>
      </rPr>
      <t xml:space="preserve">ㅇ 정보자산의 보안등급별 취급절차를 등급 및 표시기준에 따라 규정하고 있음
※ 한화시스템ICT는 ISO27000, ISO27001, ISO27017 인증을 받아, 통제항목을 준수하고 있음
</t>
    </r>
    <r>
      <rPr>
        <rFont val="맑은 고딕"/>
        <color rgb="FF6600FF"/>
        <sz val="11.0"/>
      </rPr>
      <t xml:space="preserve">
</t>
    </r>
  </si>
  <si>
    <t>A.8.1.4</t>
  </si>
  <si>
    <t>모든 직원과 외부 사용자는 고용이나 계약 또는 협약의 종료에 따라 자신이 소유한 조직의 자산을 모두 반환하여야 한다.</t>
  </si>
  <si>
    <t>인사지원팀</t>
  </si>
  <si>
    <t>협력사와 임직원 자산 반환시 작성하게 되는 샘플(마스킹 허용) 문서를 제공해 주실 수 있으십니까?</t>
  </si>
  <si>
    <t xml:space="preserve"> - 자산관리대장(ISO27001)
 - 반출입신청서(마스킹허용)</t>
  </si>
  <si>
    <t>A.8.2
정보 등급 분류</t>
  </si>
  <si>
    <t>A.8.2.1</t>
  </si>
  <si>
    <t>정보는 비인가 유출 또는 수정에 대한 법적 요구사항, 가치, 중요도, 민감도의 측면에서 등급화해야 한다.</t>
  </si>
  <si>
    <t>A.8.2.2</t>
  </si>
  <si>
    <t>조직에서 채택한 정보 등급화 체계에 따라 정보 표식을 위한 적절한 절차를 개발하고 구현하여야 한다.</t>
  </si>
  <si>
    <t xml:space="preserve"> - 자산평가결과(ISO27001)</t>
  </si>
  <si>
    <t>서버의 경우, 
ICT 확인</t>
  </si>
  <si>
    <r>
      <rPr>
        <rFont val="Malgun Gothic"/>
        <color rgb="FF000000"/>
        <sz val="11.0"/>
      </rPr>
      <t>A.1</t>
    </r>
    <r>
      <rPr>
        <rFont val="맑은 고딕"/>
        <color rgb="FF000000"/>
        <sz val="11.0"/>
      </rPr>
      <t>3.2
정보 전송</t>
    </r>
  </si>
  <si>
    <t>A.13.2.1</t>
  </si>
  <si>
    <t>정보 전송 정책 및 절차</t>
  </si>
  <si>
    <t>모든 유형의 통신 시설을 거치는 정보의 전송을 보호하기 위하여 공식적인 전송 정책, 절차, 통제를 마련하여야 한다.</t>
  </si>
  <si>
    <t>A.13.2.2</t>
  </si>
  <si>
    <t>정보 전송 협약</t>
  </si>
  <si>
    <t>조직과 외부자 간의 업무 정보를 안전하게 전송하기 위한 협약을 체결하여야 한다.</t>
  </si>
  <si>
    <t>A.13.2.3</t>
  </si>
  <si>
    <t>전자 메시지 교환</t>
  </si>
  <si>
    <t>전자적인 메시지 교환에 포함된 정보는 적절하게 보호하여야 한다.</t>
  </si>
  <si>
    <t>ㅇ 전자우편 서비스에 관한 보안 대책을 수립하여 운영하고 있음
ㅇ 증적확보 후 재작성</t>
  </si>
  <si>
    <t>23년 계획된 해킹메일 대응 훈련 계획서가 존재합니까?</t>
  </si>
  <si>
    <t xml:space="preserve"> - 그룹 차원에서 연2회 해킹메일 대응 훈련 시행 중
 - 그룹 차원에서 연2회 해킹메일 대응 훈련 시행 중
</t>
  </si>
  <si>
    <t xml:space="preserve"> - 23년 해킹메일 대응 훈련 증적</t>
  </si>
  <si>
    <r>
      <rPr>
        <rFont val="Malgun Gothic"/>
        <color rgb="FF000000"/>
        <sz val="11.0"/>
      </rPr>
      <t>A.</t>
    </r>
    <r>
      <rPr>
        <rFont val="맑은 고딕"/>
        <color rgb="FF000000"/>
        <sz val="11.0"/>
      </rPr>
      <t>9.1
접근통제 업무 요구사항</t>
    </r>
  </si>
  <si>
    <t>A.9.1.1</t>
  </si>
  <si>
    <t>접근통제 정책</t>
  </si>
  <si>
    <t>업무 및 정보보호 요구사항을 기반으로 접근통제 정책을 수립하고 문서화 및 검토하여야 한다.</t>
  </si>
  <si>
    <t xml:space="preserve"> - 매일
 - 매일
 - (NW)
 - 상시
 - 상시</t>
  </si>
  <si>
    <t xml:space="preserve"> - 신장중(인프라)
 - 유인선(인프라
 - (NW)
 - 김학춘
 - 전재덕</t>
  </si>
  <si>
    <t xml:space="preserve"> - 경영혁신팀
 - 경영혁신팀 
 - (NW)
 - 경영혁신팀
 - 경영혁신팀</t>
  </si>
  <si>
    <t>제공받은 접근제어 보고서 파일이 접근 권한 문제로 열람되지 않아 PDF 또는 JPG 등 열람가능한 형태로 전달해주실 수 있으십니까?
 - 096. 접근제어 보고서.pptx
 - 085. 서버접근통제,계정관리.xlsx</t>
  </si>
  <si>
    <t xml:space="preserve"> - 
 - 
 - 접근제어 설정 및 솔루선 적용됨
 - 
 - ICT 확인 필요( 하이웨어로 접근 통제)</t>
  </si>
  <si>
    <t xml:space="preserve"> - 접근제어 보고서 PPT와 데이터베이스 접근통제 엑셀 
</t>
  </si>
  <si>
    <t xml:space="preserve"> - 매월
 - 매월</t>
  </si>
  <si>
    <t>A.9.1.2</t>
  </si>
  <si>
    <t>네트워크 및 네트워크
서비스 접근통제</t>
  </si>
  <si>
    <t>사용자는 특별히 인가된 네트워크 및 네트워크 서비스에만 접근이 허용되어야 한다.</t>
  </si>
  <si>
    <t xml:space="preserve"> - 매년
 - 매월
 - 매월</t>
  </si>
  <si>
    <t>ㅇ 정보보호지침에 보안 유지를 위해 네트워크 운영 담당자가  로그인 시 법적인 처벌이 가능하다는 경고 문구를 적용, 이석 관련 정책 적용, IP기반 접근 제한 등 정보보호 요구 사항을 설정 및 구현하고 있음
ㅇ 네트워크 원격 접속시 VDI 및 VPN 신청을 해야하고, 사용자는 IP주소를 할당 받아 사용하고자 하는 네트워크 영역에 대한 신청 및 승인을 통해 접근 통제가 이루어지고 있음
최승우과장님(20230713) - 양식자료에 대한 실제 증적 실사 시 제공</t>
  </si>
  <si>
    <r>
      <rPr>
        <rFont val="Malgun Gothic"/>
        <color rgb="FF000000"/>
        <sz val="11.0"/>
      </rPr>
      <t xml:space="preserve"> - 098. 판교사업장 서버팜 분리 추진_20220811
 - 100. 네트워크 정책(인터넷차단예외_방화벽_원격접속) 현황 검토 내역
</t>
    </r>
    <r>
      <rPr>
        <rFont val="맑은 고딕"/>
        <color rgb="FF00B050"/>
        <sz val="11.0"/>
      </rPr>
      <t xml:space="preserve"> - VDI 신청서(원격근무)(양식)
 - 모바일기기 WIFI 서비스 신청서(양식)
 - 무선 AP 등록 신청서(WIPS)(양식)
 - 방화벽 등록 신청서(양식)
 - 보안 SW 미설치 PC 네트워크 접속 신청(양식)
 - 업무용 Network 장비 신청서(양식)
 - 유무선 IP주소 및 LAN Cable 설치신청서(양식)
 - 해외임직원VPN신청서(원격근무)(양식)
</t>
    </r>
    <r>
      <rPr>
        <rFont val="맑은 고딕"/>
        <color theme="1"/>
        <sz val="11.0"/>
      </rPr>
      <t xml:space="preserve"> - 비전_VDI 원격접속 현황_20230703
 - 202. VDI 화면
 - 5.15.6_노후네트워크교체 계획
 - 5.15.6_노후네트워크교체 품의</t>
    </r>
  </si>
  <si>
    <t xml:space="preserve"> - (NW)
 - 매월
 - 매월
 - 매월</t>
  </si>
  <si>
    <t xml:space="preserve"> - (NW)
 - 김학춘
 - 황한진
 - 전재덕</t>
  </si>
  <si>
    <t xml:space="preserve"> - (NW)
 - 경영혁신팀
 - 경영혁신팀
 - 경영혁신팀</t>
  </si>
  <si>
    <t>22년 8월에 계획된 판교사업장 분리 추진 사업이 23년 6월 현재 어떻게 진행되고 있습니까?</t>
  </si>
  <si>
    <t xml:space="preserve"> - 10월 중순 완료 예정 (논리적 분리)
 - '23.7월 초 1차 작업이 완료되었으며, '23.10월 까지 관련 작업 진행 예정
 - '23.7월 초 1차 작업이 완료되었으며, '23.10월 까지 관련 작업 진행 예정
 - '23.7월 초 1차 작업이 완료되었으며, '23.10월 까지 관련 작업 진행 예정</t>
  </si>
  <si>
    <t xml:space="preserve"> - 23년 서버팜 분리 현황
 - 23년 네트워크 정책</t>
  </si>
  <si>
    <t>경영혁신팀
NW운영팀
보안운영팀</t>
  </si>
  <si>
    <r>
      <rPr>
        <rFont val="Malgun Gothic"/>
        <color rgb="FF000000"/>
        <sz val="11.0"/>
      </rPr>
      <t>A.</t>
    </r>
    <r>
      <rPr>
        <rFont val="맑은 고딕"/>
        <color rgb="FF000000"/>
        <sz val="11.0"/>
      </rPr>
      <t>9.2
사용자 접근 관리</t>
    </r>
  </si>
  <si>
    <t>A.9.2.1</t>
  </si>
  <si>
    <t>사용자 등록 및 해지</t>
  </si>
  <si>
    <t>접근 권한의 할당이 가능하도록 공식적인 사용자 등록과 해지 프로세스를 구현하여야 한다.</t>
  </si>
  <si>
    <t>증적명 SSO 기반 삭제</t>
  </si>
  <si>
    <t xml:space="preserve"> - 1일
 - (HPLM)
 - (ERP)
 - 1일
 - 채용발령시
 - admin 권한부여시
 - 수시
 - 계정 신규 등록 및 해지 시
 - 계정 신규 등록 및 해지 시
 - 1일
 - (NW)</t>
  </si>
  <si>
    <t xml:space="preserve"> - 한주원 사원(BSP)
 - (HPLM)
 - 이근홍(ERP)
 - 한승희 과장(SCM)
 - SS3팀 이예진 사원(HR)
 - SS3팀 이예진 사원(HR)
 - 김윤기 대리(그룹웨어)
 - 신장중(인프라)
 - 유인선(인프라)
 - 오국경 과장(OPS)
 - (NW)</t>
  </si>
  <si>
    <t xml:space="preserve"> - 경영혁신팀
 - (HPLM)
 - S-ERP
 - 경영혁신팀
 - 경영혁신팀
 - 경영혁신팀
 - 경영혁신팀
 - 경영혁신팀
 - 경영혁신팀
 - 경영혁신팀
 - (NW)</t>
  </si>
  <si>
    <t>계정관리를 SSO기반 사용자 계정관리 프로세스를 통하여 관리하고 있습니까?
SSO 사용 시 별도의 회원가입 기능이 존재하는 서비스(그룹웨어,ERP,SCM,MES,HR,HPLM,OPS,BSP)는 어느 곳에 해당됩니까?</t>
  </si>
  <si>
    <t xml:space="preserve"> - 매일 배치를 통해 그룹웨어로부터 사용자 정보를 업데이트하고, SSO 기반으로 서클을 통해 접속합니다.
 - (HPLM)
 - 1일 배치를 통해 그룹웨어로부터 사용자 최신정보를 업데이트하며 SSO 기반으로 그룹웨어를 통해 접속 가능합니다. 추가로 HPLM 관리자가 등록한 계정을 통해 추가 접속 가능 합니다.
 - 채용 발령시 계정 생성 및 임직원 공통 권한 부여.  채용 취소 발령시 계정 삭제 
 - admin 권한 소유자가 추가 권한 부여
 - 계정관리 프로세스 접근 권한을 부여받은 담당자가 2factor 인증 후 관리. 그룹웨어에 해당하며 그룹웨어 계정이 존재할 경우 SSO 사용 가능
 - SSO 기반 아님. 전자결재 프로세스를 통한 계정 신청 후 수동으로 계정 생성
 - SSO 기반 아님. 전자결재 프로세스를 통한 계정 신청 후 수동으로 계정 생성
 - 1일 배치를 통해 그룹웨어로부터 사용자 최신정보를 업데이트하며 SSO 기반으로 그룹웨어를 통해 접속 가능합니다.
 - 네트워크 장비는 SSO 기능을 사용하지 않음</t>
  </si>
  <si>
    <t xml:space="preserve"> - SSO기반 계정관리화면(그룹웨어, ERP, SCM, MES, HR, HPLM, OPS, BSP)
</t>
  </si>
  <si>
    <t xml:space="preserve">경영혁신팀
ICT (ITO PM)
</t>
  </si>
  <si>
    <t>A.9.2
사용자 접근 관리</t>
  </si>
  <si>
    <t>A.9.2.4</t>
  </si>
  <si>
    <t>사용자 비밀 인증정보 관리</t>
  </si>
  <si>
    <t>비밀 인증정보의 할당은 공식적인 관리 프로세스를 거쳐 통제하여야 한다.</t>
  </si>
  <si>
    <t>책임님 확인(20230710)
기존 양호 증적 캡쳐 완료
규정수립 관련 통제</t>
  </si>
  <si>
    <t>증적명 SSO 기반  삭제</t>
  </si>
  <si>
    <t xml:space="preserve"> - 실시간
 - (HPLM)
 - 실시간
 - 로그인시
 - 화면 접속시
 - 레포트 출력시
 - 파일 다운로드시 
 - 수시
 - 매일
 - 매일
 - 실시간
 - (NW)</t>
  </si>
  <si>
    <t xml:space="preserve"> - 한주원 사원(BSP)
 - (HPLM)
 - 이근홍(ERP)
 - 한승희 과장(SCM)
 - SS3팀 이예진 사원(HR)
 - SS3팀 이예진 사원(HR)
 - SS3팀 이예진 사원(HR)
 - SS3팀 이예진 사원(HR)
 - 김윤기 대리(그룹웨어)
 - 신창중(인프라)
 - 유인선(인프라)
 - 오국경 과장(OPS)
 - (NW)</t>
  </si>
  <si>
    <t xml:space="preserve"> - 경영혁신팀
 - (HPLM)
 - S-ERP
 - 경영혁신팀
 - 경영혁신팀
 - 경영혁신팀
 - 경영혁신팀
 - 경영혁신팀
 - 경영혁신팀
 - 경영혁신팀
 - 경영혁신팀
 - 경영혁신팀
 - (NW)</t>
  </si>
  <si>
    <t>서비스(그룹웨어,ERP,SCM,MES,HR,HPLM,OPS,BSP)별로 사용자 계정 기록, 권한변경 기록, 접속기록, 운영기록의 로그 기록을 별도로 기록하고 있습니까?</t>
  </si>
  <si>
    <t xml:space="preserve"> - 시스템 내에서 로그를 기록합니다.
 - (HPLM)
 - (ERP)
 - 존재합니다
 - 로그인 접속 기록
 - 메뉴 hit 기록
 - 다운로드 로그
 - 출력로그 등
 - 계정/권한/운영/접속 기록에 대해 별도 로그  DB 저장
 - 하이웨어에서 사용자 계정, 권한변경, 서버 접속기록 모두 조회 가능
 - 하이웨어에서 사용자 계정, 권한변경, 서버 접속기록 모두 조회 가능
 - 존재합니다.
 - 접근제어 솔루션에서 장비 접속 기록 로깅</t>
  </si>
  <si>
    <t xml:space="preserve"> - 서비스(그룹웨어,ERP,SCM,MES,HR,HPLM,OPS,BSP) 로그 증적</t>
  </si>
  <si>
    <t>경영혁신팀(ERP)
ICT</t>
  </si>
  <si>
    <t>A.9.3
사용자 책임</t>
  </si>
  <si>
    <t>A.9.3.1</t>
  </si>
  <si>
    <t>기밀 인증정보 사용</t>
  </si>
  <si>
    <t>사용자에게 비밀 인증정보의 사용 시 조직의 실무를 따르도록 요구하여야 한다.</t>
  </si>
  <si>
    <t xml:space="preserve"> - 30분
 - (HPLM)
 - (ERP)
 - 24시간
 - 로그인 시도 시
 - 화면 재접속 시 
 - 수시
 - 30분
 - (NW)</t>
  </si>
  <si>
    <t xml:space="preserve"> - 한주원 사원(BSP)
 - (HPLM)
 - (ERP)
 - 한승희 과장(SCM)
 - SS3팀 이예진 사원(HR)
 - SS3팀 이예진 사원(HR)
 - 김윤기 대리(그룹웨어)
 - 오국경 과장(OPS)
 - (NW)</t>
  </si>
  <si>
    <t xml:space="preserve"> - 경영혁신팀
 - (HPLM)
 - (ERP)
 - 경영혁신팀
 - 경영혁신팀
 - 경영혁신팀
 - 경영혁신팀
 - 경영혁신팀
 - (NW)</t>
  </si>
  <si>
    <t>업무의 편리성을 제공하기 위하여 싱글사인온(Single Sign-On)을 사용하는 경우에는 계정 도용 시 피해 확대 가능성이 있으므로 위험평가에 기반하여 강화된 인증 적용, 중요 시스템 접속 시 재인증 요구 등 추가 보호대책 마련하고 있습니까?</t>
  </si>
  <si>
    <t xml:space="preserve"> - 서클 SLO통합 로그인을 구현하여 30분으로 접속 유지기한을 제한하고 있습니다.
 - (HPLM)
 - (ERP)
 - SCM은 접속 유지기간 제한(24시간)을 사용하고 있습니다.
 - 로그인 실패 횟수 5회 초과 시 pw 초기화 필요
 - 접속 유지기간 30분 초과 시 자동 로그아웃. 비정상적인 접근 시 화면 차단
 - 로그인 5회 실패 시 로그인 계정 잠금 처리. 세션 30분 미 사용 시 접속 로그아웃. 인스턴스별로 분리되어있어 세션 공유 불가하여 적용 불가. 외부 접속 시 2factor 인증으로 로그인 제한
 - 장비 제한 시간 5분 설정. 하이웨어 2Factor 인증.</t>
  </si>
  <si>
    <t xml:space="preserve"> - SSO 추가 보호 대책(강화인증 등) 관련 증적
 1) 로그인 실패횟수 제한 (5회)
 2) 접속 유지기간 제한 (30분 이내)
 3)동시 접속 제한
 4) 불법 로그인 시도 경고</t>
  </si>
  <si>
    <t>경영혁신팀(ERP)
ICT
1. 경영혁신팀 담당자
2. 서버 하이웨어 인증
. SCM, MES 로그인 절차 확인 필요</t>
  </si>
  <si>
    <t>A.9.4
시스템 및 어플리케이션 접근통제</t>
  </si>
  <si>
    <t>A.9.4.3</t>
  </si>
  <si>
    <t xml:space="preserve"> 패스워드 관리 시스템</t>
  </si>
  <si>
    <t>패스워드 관리 시스템은 대화식으로 양질의 패스워드를 보장하여야 한다.</t>
  </si>
  <si>
    <t xml:space="preserve"> - 3개월
 - (HPLM)
 - (ERP)
 - 3개월
 - 패스워드 변경 시
 - 계정 생성 후 최초 접속 시
 - 패스워드 변경 시점 도달시
 - 수시
 - 계정관리 로그인 시
 - 3개월
 - (NW)</t>
  </si>
  <si>
    <t xml:space="preserve"> - 한주원 사원(BSP)
 - (HPLM)
 - 이근홍(ERP)
 - 한승희 과장(SCM)
 - SS3팀 이예진 사원(HR)
 - SS3팀 이예진 사원(HR)
 - SS3팀 이예진 사원(HR)
 - 김윤기 대리(그룹웨어)
 - 신창중(인프라)
 - 오국경 과장(OPS)
 - (NW)</t>
  </si>
  <si>
    <t xml:space="preserve">SSO 내 패스워드 정책 및 관리화면이 존재합니까?
SSO 사용 시 별도의 회원가입 기능이 존재한다면 해당 서비스(그룹웨어,ERP,SCM,MES,HR,HPLM,OPS,BSP) 내 패스워드 정책이 각각 존재합니까? </t>
  </si>
  <si>
    <t xml:space="preserve"> - 서클 SLO통합 로그인을 구현하여 그룹웨어 패스워드 변경 주기(3개월)에 따르고 있습니다.
 - (HPLM)
 - 패스워드는 암호화 정책을 통해 관리되며 3개월 주기로 패스워드 변경을 권고하고 있습니다.
 - 패스워드 정책 준수, 시스템의 패스워드 복잡도/최대 사용 기간 설정 값 적용
 - 최초 접속 시 초기 패스워드가 사번으로 설정 되며 패스워드 변경 필요 및 미변경시 시스템 접속 불가 
 - 사용기간 만료 시 패스워드 변경 필요
 - 사용자 환경설정 內 정책 안내 및 관리화면 존재. SSO(자동로그인) 시 패스워드를 파라미터로 사용하지 않으나, 그룹웨어의 경우 패스워드 복잡도 정책이 존재
 - 접근제어 관리자 페이지에서 패스워드 정책 존재. 해당 서비스 별 패스워드 정책 다르게 설정 가능.
 - 패스워드는 암호화 정책을 통해 관리되며 3개월 주기로 패스워드 변경을 권고하고 있습니다.
 - 하이웨어 계정별 패스워드 만료정책 적용</t>
  </si>
  <si>
    <t xml:space="preserve"> - 패스워드 정책 및 관리화면</t>
  </si>
  <si>
    <t>ICT
경영혁신팀
- ERP</t>
  </si>
  <si>
    <t>A.9.2.2</t>
  </si>
  <si>
    <t>사용자 접근 권한설정</t>
  </si>
  <si>
    <t>모든 사용자 유형에 대한 접근 권한을 모든 시스템과 서비스에 할당하거나 폐지하기 위하여 공식적인 사용자 접근 권한설정 프로세스를 구현하여야 한다.</t>
  </si>
  <si>
    <r>
      <rPr>
        <rFont val="Malgun Gothic"/>
        <color theme="1"/>
        <sz val="11.0"/>
      </rPr>
      <t>ㅇ</t>
    </r>
    <r>
      <rPr>
        <rFont val="맑은 고딕"/>
        <color theme="1"/>
        <sz val="11.0"/>
      </rPr>
      <t xml:space="preserve"> 지침내 정보시스템의 사용자 계정 생성 시 '[별첨 #15] 사용자 계정 및 접근권한 등록' 절차에 따라 접근 권한의 할당이 이루어지고 있으며, SCM, HPLM, ERP 등 시스템 별 접근 권한 신청을 통해 관리하고 있음
</t>
    </r>
  </si>
  <si>
    <t xml:space="preserve"> - 1년
 - (HPLM)
 - (ERP)
 - 3개월
 - 채용발령시
 - admin 권한 담당이 권한 부여시 
 - 수시
 - 요청 시
 - 요청 시
 - 1개월
 - (NW)</t>
  </si>
  <si>
    <t>SSO 사용 시 서비스(그룹웨어,ERP,SCM,MES,HR,HPLM,OPS,BSP) 접근을 위한 권한 부여 이력이 존재합니까?</t>
  </si>
  <si>
    <t xml:space="preserve"> - BSP 내에 사용자별역할관리 화면에서 권한을 관리하고 있습니다. 
 - (HPLM)
 - (ERP)
 - SCM 접속을 위한 권한관리 화면이 존재하며 권한변경에 대한 이력을 관리하지 않습니다. 미접속 이력이 3개월 이상일 경우 HPLM 접근권한을 회수하고 있습니다.
 - 채용 발령시 계정 생성 및 임직원 공통 권한 부여. admin 권한 소유자가 추가 권한 부여
 - 채용 취소 발령시 계정 삭제 
 - IP ACL을 통한 접근통제가 존재하며, 사용자 별 접근 권한은 출발지 시스템에서 관리
 - SSO 기반 아님. 결재 승인된 건에 대해서만 각 서버 담당자 접속 권한 수동 부여
 - SSO 기반 아님. 결재 승인된 건에 대해서만 각 서버 담당자 접속 권한 수동 부여
 - OPS 접속을 위한 권한관리 화면이 존재하며 권한변경에 대한 이력을 관리하지 않습니다.
 - 1) 하이웨어 통해 권한이 있는 담당자만 장비 접속 가능</t>
  </si>
  <si>
    <t xml:space="preserve"> - SSO기반 접근권한 설정화면(그룹웨어,ERP,SCM,MES,HR,HPLM,OPS,BSP)</t>
  </si>
  <si>
    <t xml:space="preserve">경영혁신팀
ICT (ITO PM)
ITO 월간운영현황
</t>
  </si>
  <si>
    <t xml:space="preserve"> - 실시간
 - (HPLM)
 - (ERP)
 - 실시간
 - 로그인시
 - 화면 접속시
 - 레포트 출력시
 - 파일 다운로드 시 
 - 수시
 - 매일
 - 매일
 - 실시간
 - (NW)</t>
  </si>
  <si>
    <t>각 서비스 별 (ERP, SCM, MES, HR, HPLM, OPS, BSP, 그룹웨어) 접근 시 행위에 대한 로그를 기록하고 있습니까?</t>
  </si>
  <si>
    <t xml:space="preserve"> - 시스템 내에서 로그를 기록하고 있습니다.
 - (HPLM)
 - (ERP)
 - 존재합니다.
 - 로그인 접속 기록
 - 메뉴 hit 기록
 - 다운로드 로그
 - 출력로그 등
 - Jennifer 로그를 통해 사용자 호출 URL 베이스로 기록
 - 서비스 별 접근 로그 기록 중
 - 서비스 별 접근 로그 기록 중
 - 존재합니다.
 - 하이웨어통해 장비 접속 시 기록 로깅</t>
  </si>
  <si>
    <t xml:space="preserve"> - ERP, SCM, MES, HR, HPLM, OPS, BSP, 그룹웨어 접근 행위 시 (권한변경 기록, 접속기록, 운영기록 등)</t>
  </si>
  <si>
    <t>ICT
경영혁신팀(ERP)</t>
  </si>
  <si>
    <t>A.9.2.5</t>
  </si>
  <si>
    <t>사용자 접근권한 검토</t>
  </si>
  <si>
    <t>자산 소유자는 정기적으로 사용자 접근권한을 검토하여야 한다.</t>
  </si>
  <si>
    <t>A.9.2.6</t>
  </si>
  <si>
    <t>접근권한 제거 또는 조정</t>
  </si>
  <si>
    <t>정보 및 정보처리 시설에 대한 모든 직원과 외부 사용자의 접근권한은 고용, 계약, 협약의 종료에 따라 제거하거나 변경된 상황에 따라 조정하여야 한다.</t>
  </si>
  <si>
    <t xml:space="preserve"> - (ERP)
 - 퇴사자 발생 시
 - 매일 
 - 매일
 - (NW)
 - 상시
 - 상시</t>
  </si>
  <si>
    <t xml:space="preserve"> - 이근홍(ERP)
 - SS3팀 이예진 사원(HR)
 - 신창중
 - 유인선
 - (NW)
 - 김학춘
 - 전재덕</t>
  </si>
  <si>
    <t xml:space="preserve"> - S-ERP
 - 경영혁신팀
 - 경영혁신팀
 - 경영혁신팀
 - (NW)
 - 경영혁신팀
 - 경영혁신팀</t>
  </si>
  <si>
    <t>퇴사자 권한 제거 외 정보시스템(서버, DBMS, 네트워크 등) 접근 권한 제거 관련 증빙을 제공받을 수 있습니까?</t>
  </si>
  <si>
    <t xml:space="preserve"> - (ERP)
 - (DBMS 접근제어 삭제 신청서, VDI 반납 신청서)
 - 접근제어 미접속 30일 이상이면 휴면 계정 처리. DB접근제어 미접속 30일 이상이면 휴면 계정 처리
 - 접근제어 미접속 30일 이상이면 휴면 계정 처리. DB접근제어 미접속 30일 이상이면 휴면 계정 처리
 - 퇴사자 발생 시 하이웨어 계정 회수</t>
  </si>
  <si>
    <t xml:space="preserve"> - 퇴사자 권한 제거 외 정보시스템(서버, DBMS, 네트워크 등) 접근 권한 제거 관련 내역</t>
  </si>
  <si>
    <t>경영혁신팀
ICT(ISO27001 인증서)</t>
  </si>
  <si>
    <r>
      <rPr>
        <rFont val="Malgun Gothic"/>
        <color rgb="FF000000"/>
        <sz val="11.0"/>
      </rPr>
      <t>A.15</t>
    </r>
    <r>
      <rPr>
        <rFont val="맑은 고딕"/>
        <color rgb="FF000000"/>
        <sz val="11.0"/>
      </rPr>
      <t>.1
공급자 관계 정보보호</t>
    </r>
  </si>
  <si>
    <r>
      <rPr>
        <rFont val="Malgun Gothic"/>
        <color rgb="FF000000"/>
        <sz val="11.0"/>
      </rPr>
      <t>A.15.1.</t>
    </r>
    <r>
      <rPr>
        <rFont val="맑은 고딕"/>
        <color rgb="FF000000"/>
        <sz val="11.0"/>
      </rPr>
      <t>2</t>
    </r>
  </si>
  <si>
    <t>공급자 관계 정보보호 정책</t>
  </si>
  <si>
    <t>조직 자산에 대한 공급자 접근과 연관된 위험을 감소시키기 위한 정보보호 요구사항은 공급자와 합의를 거쳐 문서화하여야 한다.</t>
  </si>
  <si>
    <r>
      <rPr>
        <rFont val="Malgun Gothic"/>
        <color theme="1"/>
        <sz val="11.0"/>
      </rPr>
      <t>ㅇ 한화시스템ICT SLA를 통해 개인정보를 취급하는 업무에 대해 협력업체와 계약하는 경우 다음 내용을 포함한 보안 요구사항을 추가로 징구하고 있음</t>
    </r>
    <r>
      <rPr>
        <rFont val="맑은 고딕"/>
        <color theme="1"/>
        <sz val="11.0"/>
      </rPr>
      <t xml:space="preserve">
</t>
    </r>
    <r>
      <rPr>
        <rFont val="맑은 고딕"/>
        <color theme="1"/>
        <sz val="11.0"/>
      </rPr>
      <t xml:space="preserve">1. </t>
    </r>
    <r>
      <rPr>
        <rFont val="맑은 고딕"/>
        <color theme="1"/>
        <sz val="11.0"/>
      </rPr>
      <t>위탁업무의</t>
    </r>
    <r>
      <rPr>
        <rFont val="맑은 고딕"/>
        <color theme="1"/>
        <sz val="11.0"/>
      </rPr>
      <t xml:space="preserve"> </t>
    </r>
    <r>
      <rPr>
        <rFont val="맑은 고딕"/>
        <color theme="1"/>
        <sz val="11.0"/>
      </rPr>
      <t>목적</t>
    </r>
    <r>
      <rPr>
        <rFont val="맑은 고딕"/>
        <color theme="1"/>
        <sz val="11.0"/>
      </rPr>
      <t xml:space="preserve"> </t>
    </r>
    <r>
      <rPr>
        <rFont val="맑은 고딕"/>
        <color theme="1"/>
        <sz val="11.0"/>
      </rPr>
      <t>및</t>
    </r>
    <r>
      <rPr>
        <rFont val="맑은 고딕"/>
        <color theme="1"/>
        <sz val="11.0"/>
      </rPr>
      <t xml:space="preserve"> </t>
    </r>
    <r>
      <rPr>
        <rFont val="맑은 고딕"/>
        <color theme="1"/>
        <sz val="11.0"/>
      </rPr>
      <t xml:space="preserve">범위
</t>
    </r>
    <r>
      <rPr>
        <rFont val="맑은 고딕"/>
        <color theme="1"/>
        <sz val="11.0"/>
      </rPr>
      <t xml:space="preserve">2. </t>
    </r>
    <r>
      <rPr>
        <rFont val="맑은 고딕"/>
        <color theme="1"/>
        <sz val="11.0"/>
      </rPr>
      <t>위탁업무</t>
    </r>
    <r>
      <rPr>
        <rFont val="맑은 고딕"/>
        <color theme="1"/>
        <sz val="11.0"/>
      </rPr>
      <t xml:space="preserve"> </t>
    </r>
    <r>
      <rPr>
        <rFont val="맑은 고딕"/>
        <color theme="1"/>
        <sz val="11.0"/>
      </rPr>
      <t>수행</t>
    </r>
    <r>
      <rPr>
        <rFont val="맑은 고딕"/>
        <color theme="1"/>
        <sz val="11.0"/>
      </rPr>
      <t xml:space="preserve"> </t>
    </r>
    <r>
      <rPr>
        <rFont val="맑은 고딕"/>
        <color theme="1"/>
        <sz val="11.0"/>
      </rPr>
      <t>목적</t>
    </r>
    <r>
      <rPr>
        <rFont val="맑은 고딕"/>
        <color theme="1"/>
        <sz val="11.0"/>
      </rPr>
      <t xml:space="preserve"> </t>
    </r>
    <r>
      <rPr>
        <rFont val="맑은 고딕"/>
        <color theme="1"/>
        <sz val="11.0"/>
      </rPr>
      <t>외</t>
    </r>
    <r>
      <rPr>
        <rFont val="맑은 고딕"/>
        <color theme="1"/>
        <sz val="11.0"/>
      </rPr>
      <t xml:space="preserve"> </t>
    </r>
    <r>
      <rPr>
        <rFont val="맑은 고딕"/>
        <color theme="1"/>
        <sz val="11.0"/>
      </rPr>
      <t>개인정보의</t>
    </r>
    <r>
      <rPr>
        <rFont val="맑은 고딕"/>
        <color theme="1"/>
        <sz val="11.0"/>
      </rPr>
      <t xml:space="preserve"> </t>
    </r>
    <r>
      <rPr>
        <rFont val="맑은 고딕"/>
        <color theme="1"/>
        <sz val="11.0"/>
      </rPr>
      <t>처리</t>
    </r>
    <r>
      <rPr>
        <rFont val="맑은 고딕"/>
        <color theme="1"/>
        <sz val="11.0"/>
      </rPr>
      <t xml:space="preserve"> </t>
    </r>
    <r>
      <rPr>
        <rFont val="맑은 고딕"/>
        <color theme="1"/>
        <sz val="11.0"/>
      </rPr>
      <t>금지에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 xml:space="preserve">사항
</t>
    </r>
    <r>
      <rPr>
        <rFont val="맑은 고딕"/>
        <color theme="1"/>
        <sz val="11.0"/>
      </rPr>
      <t xml:space="preserve">3. </t>
    </r>
    <r>
      <rPr>
        <rFont val="맑은 고딕"/>
        <color theme="1"/>
        <sz val="11.0"/>
      </rPr>
      <t>기술적·관리적</t>
    </r>
    <r>
      <rPr>
        <rFont val="맑은 고딕"/>
        <color theme="1"/>
        <sz val="11.0"/>
      </rPr>
      <t xml:space="preserve"> </t>
    </r>
    <r>
      <rPr>
        <rFont val="맑은 고딕"/>
        <color theme="1"/>
        <sz val="11.0"/>
      </rPr>
      <t>보호조치를</t>
    </r>
    <r>
      <rPr>
        <rFont val="맑은 고딕"/>
        <color theme="1"/>
        <sz val="11.0"/>
      </rPr>
      <t xml:space="preserve"> </t>
    </r>
    <r>
      <rPr>
        <rFont val="맑은 고딕"/>
        <color theme="1"/>
        <sz val="11.0"/>
      </rPr>
      <t>포함한</t>
    </r>
    <r>
      <rPr>
        <rFont val="맑은 고딕"/>
        <color theme="1"/>
        <sz val="11.0"/>
      </rPr>
      <t xml:space="preserve"> </t>
    </r>
    <r>
      <rPr>
        <rFont val="맑은 고딕"/>
        <color theme="1"/>
        <sz val="11.0"/>
      </rPr>
      <t>개인정보의</t>
    </r>
    <r>
      <rPr>
        <rFont val="맑은 고딕"/>
        <color theme="1"/>
        <sz val="11.0"/>
      </rPr>
      <t xml:space="preserve"> </t>
    </r>
    <r>
      <rPr>
        <rFont val="맑은 고딕"/>
        <color theme="1"/>
        <sz val="11.0"/>
      </rPr>
      <t>안전성</t>
    </r>
    <r>
      <rPr>
        <rFont val="맑은 고딕"/>
        <color theme="1"/>
        <sz val="11.0"/>
      </rPr>
      <t xml:space="preserve"> </t>
    </r>
    <r>
      <rPr>
        <rFont val="맑은 고딕"/>
        <color theme="1"/>
        <sz val="11.0"/>
      </rPr>
      <t>확보조치에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 xml:space="preserve">사항
</t>
    </r>
    <r>
      <rPr>
        <rFont val="맑은 고딕"/>
        <color theme="1"/>
        <sz val="11.0"/>
      </rPr>
      <t xml:space="preserve">4. </t>
    </r>
    <r>
      <rPr>
        <rFont val="맑은 고딕"/>
        <color theme="1"/>
        <sz val="11.0"/>
      </rPr>
      <t>재위탁</t>
    </r>
    <r>
      <rPr>
        <rFont val="맑은 고딕"/>
        <color theme="1"/>
        <sz val="11.0"/>
      </rPr>
      <t xml:space="preserve"> </t>
    </r>
    <r>
      <rPr>
        <rFont val="맑은 고딕"/>
        <color theme="1"/>
        <sz val="11.0"/>
      </rPr>
      <t>제한에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 xml:space="preserve">사항
</t>
    </r>
    <r>
      <rPr>
        <rFont val="맑은 고딕"/>
        <color theme="1"/>
        <sz val="11.0"/>
      </rPr>
      <t xml:space="preserve">5. </t>
    </r>
    <r>
      <rPr>
        <rFont val="맑은 고딕"/>
        <color theme="1"/>
        <sz val="11.0"/>
      </rPr>
      <t>위탁업무와</t>
    </r>
    <r>
      <rPr>
        <rFont val="맑은 고딕"/>
        <color theme="1"/>
        <sz val="11.0"/>
      </rPr>
      <t xml:space="preserve"> </t>
    </r>
    <r>
      <rPr>
        <rFont val="맑은 고딕"/>
        <color theme="1"/>
        <sz val="11.0"/>
      </rPr>
      <t>관련한</t>
    </r>
    <r>
      <rPr>
        <rFont val="맑은 고딕"/>
        <color theme="1"/>
        <sz val="11.0"/>
      </rPr>
      <t xml:space="preserve"> </t>
    </r>
    <r>
      <rPr>
        <rFont val="맑은 고딕"/>
        <color theme="1"/>
        <sz val="11.0"/>
      </rPr>
      <t>개인정보의</t>
    </r>
    <r>
      <rPr>
        <rFont val="맑은 고딕"/>
        <color theme="1"/>
        <sz val="11.0"/>
      </rPr>
      <t xml:space="preserve"> </t>
    </r>
    <r>
      <rPr>
        <rFont val="맑은 고딕"/>
        <color theme="1"/>
        <sz val="11.0"/>
      </rPr>
      <t>현황</t>
    </r>
    <r>
      <rPr>
        <rFont val="맑은 고딕"/>
        <color theme="1"/>
        <sz val="11.0"/>
      </rPr>
      <t xml:space="preserve"> </t>
    </r>
    <r>
      <rPr>
        <rFont val="맑은 고딕"/>
        <color theme="1"/>
        <sz val="11.0"/>
      </rPr>
      <t>점검</t>
    </r>
    <r>
      <rPr>
        <rFont val="맑은 고딕"/>
        <color theme="1"/>
        <sz val="11.0"/>
      </rPr>
      <t xml:space="preserve"> </t>
    </r>
    <r>
      <rPr>
        <rFont val="맑은 고딕"/>
        <color theme="1"/>
        <sz val="11.0"/>
      </rPr>
      <t>등</t>
    </r>
    <r>
      <rPr>
        <rFont val="맑은 고딕"/>
        <color theme="1"/>
        <sz val="11.0"/>
      </rPr>
      <t xml:space="preserve"> </t>
    </r>
    <r>
      <rPr>
        <rFont val="맑은 고딕"/>
        <color theme="1"/>
        <sz val="11.0"/>
      </rPr>
      <t>관리·감독에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 xml:space="preserve">사항
</t>
    </r>
    <r>
      <rPr>
        <rFont val="맑은 고딕"/>
        <color theme="1"/>
        <sz val="11.0"/>
      </rPr>
      <t xml:space="preserve">6. </t>
    </r>
    <r>
      <rPr>
        <rFont val="맑은 고딕"/>
        <color theme="1"/>
        <sz val="11.0"/>
      </rPr>
      <t>수탁자</t>
    </r>
    <r>
      <rPr>
        <rFont val="맑은 고딕"/>
        <color theme="1"/>
        <sz val="11.0"/>
      </rPr>
      <t xml:space="preserve"> </t>
    </r>
    <r>
      <rPr>
        <rFont val="맑은 고딕"/>
        <color theme="1"/>
        <sz val="11.0"/>
      </rPr>
      <t>준수</t>
    </r>
    <r>
      <rPr>
        <rFont val="맑은 고딕"/>
        <color theme="1"/>
        <sz val="11.0"/>
      </rPr>
      <t xml:space="preserve"> </t>
    </r>
    <r>
      <rPr>
        <rFont val="맑은 고딕"/>
        <color theme="1"/>
        <sz val="11.0"/>
      </rPr>
      <t>사항</t>
    </r>
    <r>
      <rPr>
        <rFont val="맑은 고딕"/>
        <color theme="1"/>
        <sz val="11.0"/>
      </rPr>
      <t xml:space="preserve"> </t>
    </r>
    <r>
      <rPr>
        <rFont val="맑은 고딕"/>
        <color theme="1"/>
        <sz val="11.0"/>
      </rPr>
      <t>위반</t>
    </r>
    <r>
      <rPr>
        <rFont val="맑은 고딕"/>
        <color theme="1"/>
        <sz val="11.0"/>
      </rPr>
      <t xml:space="preserve"> </t>
    </r>
    <r>
      <rPr>
        <rFont val="맑은 고딕"/>
        <color theme="1"/>
        <sz val="11.0"/>
      </rPr>
      <t>시</t>
    </r>
    <r>
      <rPr>
        <rFont val="맑은 고딕"/>
        <color theme="1"/>
        <sz val="11.0"/>
      </rPr>
      <t xml:space="preserve"> </t>
    </r>
    <r>
      <rPr>
        <rFont val="맑은 고딕"/>
        <color theme="1"/>
        <sz val="11.0"/>
      </rPr>
      <t>손해배상</t>
    </r>
    <r>
      <rPr>
        <rFont val="맑은 고딕"/>
        <color theme="1"/>
        <sz val="11.0"/>
      </rPr>
      <t xml:space="preserve"> </t>
    </r>
    <r>
      <rPr>
        <rFont val="맑은 고딕"/>
        <color theme="1"/>
        <sz val="11.0"/>
      </rPr>
      <t>등</t>
    </r>
    <r>
      <rPr>
        <rFont val="맑은 고딕"/>
        <color theme="1"/>
        <sz val="11.0"/>
      </rPr>
      <t xml:space="preserve"> </t>
    </r>
    <r>
      <rPr>
        <rFont val="맑은 고딕"/>
        <color theme="1"/>
        <sz val="11.0"/>
      </rPr>
      <t>책임에</t>
    </r>
    <r>
      <rPr>
        <rFont val="맑은 고딕"/>
        <color theme="1"/>
        <sz val="11.0"/>
      </rPr>
      <t xml:space="preserve"> </t>
    </r>
    <r>
      <rPr>
        <rFont val="맑은 고딕"/>
        <color theme="1"/>
        <sz val="11.0"/>
      </rPr>
      <t>관한</t>
    </r>
    <r>
      <rPr>
        <rFont val="맑은 고딕"/>
        <color theme="1"/>
        <sz val="11.0"/>
      </rPr>
      <t xml:space="preserve"> </t>
    </r>
    <r>
      <rPr>
        <rFont val="맑은 고딕"/>
        <color theme="1"/>
        <sz val="11.0"/>
      </rPr>
      <t>사항</t>
    </r>
    <r>
      <rPr>
        <rFont val="맑은 고딕"/>
        <color theme="1"/>
        <sz val="11.0"/>
      </rPr>
      <t xml:space="preserve"> </t>
    </r>
    <r>
      <rPr>
        <rFont val="맑은 고딕"/>
        <color theme="1"/>
        <sz val="11.0"/>
      </rPr>
      <t>등
ㅇ</t>
    </r>
    <r>
      <rPr>
        <rFont val="맑은 고딕"/>
        <color theme="1"/>
        <sz val="11.0"/>
      </rPr>
      <t xml:space="preserve"> </t>
    </r>
    <r>
      <rPr>
        <rFont val="맑은 고딕"/>
        <color theme="1"/>
        <sz val="11.0"/>
      </rPr>
      <t>클라우드</t>
    </r>
    <r>
      <rPr>
        <rFont val="맑은 고딕"/>
        <color theme="1"/>
        <sz val="11.0"/>
      </rPr>
      <t xml:space="preserve"> </t>
    </r>
    <r>
      <rPr>
        <rFont val="맑은 고딕"/>
        <color theme="1"/>
        <sz val="11.0"/>
      </rPr>
      <t>서비스</t>
    </r>
    <r>
      <rPr>
        <rFont val="맑은 고딕"/>
        <color theme="1"/>
        <sz val="11.0"/>
      </rPr>
      <t xml:space="preserve"> </t>
    </r>
    <r>
      <rPr>
        <rFont val="맑은 고딕"/>
        <color theme="1"/>
        <sz val="11.0"/>
      </rPr>
      <t>제공자와의</t>
    </r>
    <r>
      <rPr>
        <rFont val="맑은 고딕"/>
        <color theme="1"/>
        <sz val="11.0"/>
      </rPr>
      <t xml:space="preserve"> </t>
    </r>
    <r>
      <rPr>
        <rFont val="맑은 고딕"/>
        <color theme="1"/>
        <sz val="11.0"/>
      </rPr>
      <t>계약</t>
    </r>
    <r>
      <rPr>
        <rFont val="맑은 고딕"/>
        <color theme="1"/>
        <sz val="11.0"/>
      </rPr>
      <t xml:space="preserve"> </t>
    </r>
    <r>
      <rPr>
        <rFont val="맑은 고딕"/>
        <color theme="1"/>
        <sz val="11.0"/>
      </rPr>
      <t>시</t>
    </r>
    <r>
      <rPr>
        <rFont val="맑은 고딕"/>
        <color theme="1"/>
        <sz val="11.0"/>
      </rPr>
      <t xml:space="preserve"> </t>
    </r>
    <r>
      <rPr>
        <rFont val="맑은 고딕"/>
        <color theme="1"/>
        <sz val="11.0"/>
      </rPr>
      <t>서비스</t>
    </r>
    <r>
      <rPr>
        <rFont val="맑은 고딕"/>
        <color theme="1"/>
        <sz val="11.0"/>
      </rPr>
      <t xml:space="preserve"> </t>
    </r>
    <r>
      <rPr>
        <rFont val="맑은 고딕"/>
        <color theme="1"/>
        <sz val="11.0"/>
      </rPr>
      <t>위탁</t>
    </r>
    <r>
      <rPr>
        <rFont val="맑은 고딕"/>
        <color theme="1"/>
        <sz val="11.0"/>
      </rPr>
      <t xml:space="preserve"> </t>
    </r>
    <r>
      <rPr>
        <rFont val="맑은 고딕"/>
        <color theme="1"/>
        <sz val="11.0"/>
      </rPr>
      <t>관련</t>
    </r>
    <r>
      <rPr>
        <rFont val="맑은 고딕"/>
        <color theme="1"/>
        <sz val="11.0"/>
      </rPr>
      <t xml:space="preserve"> </t>
    </r>
    <r>
      <rPr>
        <rFont val="맑은 고딕"/>
        <color theme="1"/>
        <sz val="11.0"/>
      </rPr>
      <t>사항</t>
    </r>
    <r>
      <rPr>
        <rFont val="맑은 고딕"/>
        <color theme="1"/>
        <sz val="11.0"/>
      </rPr>
      <t xml:space="preserve">, </t>
    </r>
    <r>
      <rPr>
        <rFont val="맑은 고딕"/>
        <color theme="1"/>
        <sz val="11.0"/>
      </rPr>
      <t>데이터</t>
    </r>
    <r>
      <rPr>
        <rFont val="맑은 고딕"/>
        <color theme="1"/>
        <sz val="11.0"/>
      </rPr>
      <t xml:space="preserve"> </t>
    </r>
    <r>
      <rPr>
        <rFont val="맑은 고딕"/>
        <color theme="1"/>
        <sz val="11.0"/>
      </rPr>
      <t>보호를</t>
    </r>
    <r>
      <rPr>
        <rFont val="맑은 고딕"/>
        <color theme="1"/>
        <sz val="11.0"/>
      </rPr>
      <t xml:space="preserve"> </t>
    </r>
    <r>
      <rPr>
        <rFont val="맑은 고딕"/>
        <color theme="1"/>
        <sz val="11.0"/>
      </rPr>
      <t>위한</t>
    </r>
    <r>
      <rPr>
        <rFont val="맑은 고딕"/>
        <color theme="1"/>
        <sz val="11.0"/>
      </rPr>
      <t xml:space="preserve"> </t>
    </r>
    <r>
      <rPr>
        <rFont val="맑은 고딕"/>
        <color theme="1"/>
        <sz val="11.0"/>
      </rPr>
      <t>보안관리</t>
    </r>
    <r>
      <rPr>
        <rFont val="맑은 고딕"/>
        <color theme="1"/>
        <sz val="11.0"/>
      </rPr>
      <t xml:space="preserve"> </t>
    </r>
    <r>
      <rPr>
        <rFont val="맑은 고딕"/>
        <color theme="1"/>
        <sz val="11.0"/>
      </rPr>
      <t>사항</t>
    </r>
    <r>
      <rPr>
        <rFont val="맑은 고딕"/>
        <color theme="1"/>
        <sz val="11.0"/>
      </rPr>
      <t xml:space="preserve">, </t>
    </r>
    <r>
      <rPr>
        <rFont val="맑은 고딕"/>
        <color theme="1"/>
        <sz val="11.0"/>
      </rPr>
      <t>클라우드</t>
    </r>
    <r>
      <rPr>
        <rFont val="맑은 고딕"/>
        <color theme="1"/>
        <sz val="11.0"/>
      </rPr>
      <t xml:space="preserve"> </t>
    </r>
    <r>
      <rPr>
        <rFont val="맑은 고딕"/>
        <color theme="1"/>
        <sz val="11.0"/>
      </rPr>
      <t>서비스</t>
    </r>
    <r>
      <rPr>
        <rFont val="맑은 고딕"/>
        <color theme="1"/>
        <sz val="11.0"/>
      </rPr>
      <t xml:space="preserve"> </t>
    </r>
    <r>
      <rPr>
        <rFont val="맑은 고딕"/>
        <color theme="1"/>
        <sz val="11.0"/>
      </rPr>
      <t>이용</t>
    </r>
    <r>
      <rPr>
        <rFont val="맑은 고딕"/>
        <color theme="1"/>
        <sz val="11.0"/>
      </rPr>
      <t xml:space="preserve"> </t>
    </r>
    <r>
      <rPr>
        <rFont val="맑은 고딕"/>
        <color theme="1"/>
        <sz val="11.0"/>
      </rPr>
      <t>전환</t>
    </r>
    <r>
      <rPr>
        <rFont val="맑은 고딕"/>
        <color theme="1"/>
        <sz val="11.0"/>
      </rPr>
      <t xml:space="preserve"> </t>
    </r>
    <r>
      <rPr>
        <rFont val="맑은 고딕"/>
        <color theme="1"/>
        <sz val="11.0"/>
      </rPr>
      <t>및</t>
    </r>
    <r>
      <rPr>
        <rFont val="맑은 고딕"/>
        <color theme="1"/>
        <sz val="11.0"/>
      </rPr>
      <t xml:space="preserve"> </t>
    </r>
    <r>
      <rPr>
        <rFont val="맑은 고딕"/>
        <color theme="1"/>
        <sz val="11.0"/>
      </rPr>
      <t>종료에</t>
    </r>
    <r>
      <rPr>
        <rFont val="맑은 고딕"/>
        <color theme="1"/>
        <sz val="11.0"/>
      </rPr>
      <t xml:space="preserve"> </t>
    </r>
    <r>
      <rPr>
        <rFont val="맑은 고딕"/>
        <color theme="1"/>
        <sz val="11.0"/>
      </rPr>
      <t>따른</t>
    </r>
    <r>
      <rPr>
        <rFont val="맑은 고딕"/>
        <color theme="1"/>
        <sz val="11.0"/>
      </rPr>
      <t xml:space="preserve"> </t>
    </r>
    <r>
      <rPr>
        <rFont val="맑은 고딕"/>
        <color theme="1"/>
        <sz val="11.0"/>
      </rPr>
      <t>출구</t>
    </r>
    <r>
      <rPr>
        <rFont val="맑은 고딕"/>
        <color theme="1"/>
        <sz val="11.0"/>
      </rPr>
      <t xml:space="preserve"> </t>
    </r>
    <r>
      <rPr>
        <rFont val="맑은 고딕"/>
        <color theme="1"/>
        <sz val="11.0"/>
      </rPr>
      <t>전략</t>
    </r>
    <r>
      <rPr>
        <rFont val="맑은 고딕"/>
        <color theme="1"/>
        <sz val="11.0"/>
      </rPr>
      <t xml:space="preserve">, </t>
    </r>
    <r>
      <rPr>
        <rFont val="맑은 고딕"/>
        <color theme="1"/>
        <sz val="11.0"/>
      </rPr>
      <t>책임관계</t>
    </r>
    <r>
      <rPr>
        <rFont val="맑은 고딕"/>
        <color theme="1"/>
        <sz val="11.0"/>
      </rPr>
      <t xml:space="preserve"> </t>
    </r>
    <r>
      <rPr>
        <rFont val="맑은 고딕"/>
        <color theme="1"/>
        <sz val="11.0"/>
      </rPr>
      <t>명확화</t>
    </r>
    <r>
      <rPr>
        <rFont val="맑은 고딕"/>
        <color theme="1"/>
        <sz val="11.0"/>
      </rPr>
      <t xml:space="preserve"> </t>
    </r>
    <r>
      <rPr>
        <rFont val="맑은 고딕"/>
        <color theme="1"/>
        <sz val="11.0"/>
      </rPr>
      <t>등의</t>
    </r>
    <r>
      <rPr>
        <rFont val="맑은 고딕"/>
        <color theme="1"/>
        <sz val="11.0"/>
      </rPr>
      <t xml:space="preserve"> </t>
    </r>
    <r>
      <rPr>
        <rFont val="맑은 고딕"/>
        <color theme="1"/>
        <sz val="11.0"/>
      </rPr>
      <t>내용을</t>
    </r>
    <r>
      <rPr>
        <rFont val="맑은 고딕"/>
        <color theme="1"/>
        <sz val="11.0"/>
      </rPr>
      <t xml:space="preserve"> 포함하고 있음</t>
    </r>
  </si>
  <si>
    <t>책임님 확인(20230710)
ㅇ 증적 확보 후 재작성</t>
  </si>
  <si>
    <r>
      <rPr>
        <rFont val="Malgun Gothic"/>
        <color theme="1"/>
        <sz val="11.0"/>
      </rPr>
      <t xml:space="preserve"> - 정보보호지침(BH60-0006K) 제 27 조 (계약 체결)
 - 정보보호지침(BH60-0006K) 제 161 조 (계약 체결)
</t>
    </r>
    <r>
      <rPr>
        <rFont val="맑은 고딕"/>
        <color rgb="FF00B050"/>
        <sz val="11.0"/>
      </rPr>
      <t xml:space="preserve"> - [별첨 #4] 정보보호 특약서</t>
    </r>
  </si>
  <si>
    <t>한화시스템ICT 및 클라우드 서비스 관련 SLA 계약서( (위탁 관련 사항, 데이터 보호를 위한 보안관리 사항, 클라우드 서비스 이용 전환 및 종료에 따른 출구 전략, 책임관계 명확화 포함)) 등 문서화된 자료가 존재합니까?</t>
  </si>
  <si>
    <t xml:space="preserve"> - 확인 예정 : 계약서 샘플
 - 김부장님 확인 예정 : 계약서 샘플</t>
  </si>
  <si>
    <t xml:space="preserve"> - 문서화된 한화시스템ICT 및 클라우드 서비스 관련 계약서 등(위탁 관련 사항, 데이터 보호를 위한 보안관리 사항, 클라우드 서비스 이용 전환 및 종료에 따른 출구 전략, 책임관계 명확화 포함)</t>
  </si>
  <si>
    <t>계약서</t>
  </si>
  <si>
    <t>A.15.1
공급자 관계 정보보호</t>
  </si>
  <si>
    <t>A.15.1.1</t>
  </si>
  <si>
    <t>공급자 협약 내 보안 명시</t>
  </si>
  <si>
    <t>모든 관련 정보보호 요구사항을 수립하여 조직 정보에 대한 접근, 처리, 저장, 통신을 수행하거나 IT 기반 구성요소를 제공하는 공급자와 합의하여야 한다.</t>
  </si>
  <si>
    <r>
      <rPr>
        <rFont val="Malgun Gothic"/>
        <color rgb="FF000000"/>
        <sz val="11.0"/>
      </rPr>
      <t>5.20</t>
    </r>
    <r>
      <rPr>
        <rFont val="맑은 고딕"/>
        <color rgb="FF000000"/>
        <sz val="11.0"/>
      </rPr>
      <t>.1</t>
    </r>
  </si>
  <si>
    <t>ㅇ 협력업체와 계약 시 보안관리 책임이 명시된 '[별첨 #4] 정보보호 특약서'를 부속문서로 통합하여 계약을 체결하고 있으며, 계약하는 경우 보안 요구사항을 명시하여 징구하고 있음
ㅇ 클라우드 서비스 관련 보안사고 예방을 위해 다음 내용을 통해 보안 통제가 구현되도록 안전성 확보조치 방안을 수립하여 이행하고 있음
1. 계정 관리 및 접근 통제
2. 내부 정보시스템 및 단말기 연계 방안
3. 암호화 및 키 관리 방안
4. 접근 기록, 가동 기록 및 보안로그 등 기록∙유지 방안
5. 가상환경 보안 대책 등</t>
  </si>
  <si>
    <t>A.15.1.3</t>
  </si>
  <si>
    <t>정보통신기술 공급망</t>
  </si>
  <si>
    <t>공급자와 관련된 협약에는 정보통신기술 서비스와 제품 공급망에 연관된 정보보호 위험을 다루는 요구사항을 포함하여야 한다.</t>
  </si>
  <si>
    <r>
      <rPr>
        <rFont val="Malgun Gothic"/>
        <color rgb="FF000000"/>
        <sz val="11.0"/>
      </rPr>
      <t>5.21</t>
    </r>
    <r>
      <rPr>
        <rFont val="맑은 고딕"/>
        <color rgb="FF000000"/>
        <sz val="11.0"/>
      </rPr>
      <t>.1</t>
    </r>
  </si>
  <si>
    <r>
      <rPr>
        <rFont val="Malgun Gothic"/>
        <color theme="1"/>
        <sz val="11.0"/>
      </rPr>
      <t xml:space="preserve">ㅇ 한화시스템ICT와 SLA를 통해 정보통신기술 공급망 정보보호에 관한 요구사항을 포함하고 있음
</t>
    </r>
    <r>
      <rPr>
        <rFont val="맑은 고딕"/>
        <color rgb="FFFF0000"/>
        <sz val="11.0"/>
      </rPr>
      <t xml:space="preserve">ㅇ 클라우드 계약서 및 SLA 확인 후 기재 예정
</t>
    </r>
    <r>
      <rPr>
        <rFont val="맑은 고딕"/>
        <color rgb="FF6600FF"/>
        <sz val="11.0"/>
      </rPr>
      <t xml:space="preserve">
</t>
    </r>
    <r>
      <rPr>
        <rFont val="맑은 고딕"/>
        <color theme="1"/>
        <sz val="11.0"/>
      </rPr>
      <t>※ 한화시스템ICT는 ISO27000, ISO27001, ISO27017 인증을 받아, 통제항목을 준수하고 있음</t>
    </r>
  </si>
  <si>
    <t xml:space="preserve"> - 한화시스템(ISO27001) - IS 707803
 - 한화시스템(ISO20000) - ITMS 707805
 - 한화시스템(ISO27017) - CLOUD 707804</t>
  </si>
  <si>
    <t>보안 요구사항이 포함된 한화시스템ICT 및 클라우드 서비스 공급망 관련 계약서, SLA 등 증적 자료가 있습니까?</t>
  </si>
  <si>
    <t xml:space="preserve"> - 보안 요구사항이 포함된 한화시스템ICT 및 클라우드 서비스 공급망 관련 계약서,SLA 등 증적</t>
  </si>
  <si>
    <r>
      <rPr>
        <rFont val="Malgun Gothic"/>
        <color rgb="FF000000"/>
        <sz val="11.0"/>
      </rPr>
      <t>A.1</t>
    </r>
    <r>
      <rPr>
        <rFont val="맑은 고딕"/>
        <color rgb="FF000000"/>
        <sz val="11.0"/>
      </rPr>
      <t>5.2
공급자 서비스 전달 관리</t>
    </r>
  </si>
  <si>
    <t>A.15.2.1</t>
  </si>
  <si>
    <t>공급자 서비스 모니터링 및 검토</t>
  </si>
  <si>
    <t>조직은 공급자의 서비스 전달을 주기적으로 모니터링하고 검토 및 감사를 수행하여야 한다.</t>
  </si>
  <si>
    <r>
      <rPr>
        <rFont val="Malgun Gothic"/>
        <color rgb="FF000000"/>
        <sz val="11.0"/>
      </rPr>
      <t>5.22</t>
    </r>
    <r>
      <rPr>
        <rFont val="맑은 고딕"/>
        <color rgb="FF000000"/>
        <sz val="11.0"/>
      </rPr>
      <t>.1</t>
    </r>
  </si>
  <si>
    <t>SLA 문구, ITO, ERP 부분 아직 못받음 &gt; 부분양호
책임님 확인(20230710)
ITO ERP 월간운영 자료 회신(20230713) 추가 검토 필요
SLA 미확보</t>
  </si>
  <si>
    <t>보안 요구사항이 포함된 한화시스템ICT 및 클라우드 서비스 관련 계약서, SLA 등 증적 자료가 있습니까?</t>
  </si>
  <si>
    <t xml:space="preserve"> - ICT 확인 필요(최승우 과장님 - 월간운영보고로 처리)
 - ICT 확인 필요</t>
  </si>
  <si>
    <t xml:space="preserve"> - 공급자(한화시스템ICT, 클라우드 등) 제공 업무협약 범위 내 검토 및 감사 자료</t>
  </si>
  <si>
    <t xml:space="preserve">1. 보안운영월간보고
2. ITO 월간운영보고
3. ERP 월간운영보고 </t>
  </si>
  <si>
    <t>월간운영</t>
  </si>
  <si>
    <t>A.15.2.2</t>
  </si>
  <si>
    <t>공급자 서비스 변경 관리</t>
  </si>
  <si>
    <t>기존 정보보호 정책, 절차, 통제의 유지관리와 개선을 포함 공급자의 서비스 제공에 대한 변경은 업무 정보, 시스템, 프로세스의 중요성과 위험의 재평가를 감안하여 관리하여야 한다.</t>
  </si>
  <si>
    <r>
      <rPr>
        <rFont val="Malgun Gothic"/>
        <color rgb="FF000000"/>
        <sz val="11.0"/>
      </rPr>
      <t>5.22</t>
    </r>
    <r>
      <rPr>
        <rFont val="맑은 고딕"/>
        <color rgb="FF000000"/>
        <sz val="11.0"/>
      </rPr>
      <t>.2</t>
    </r>
  </si>
  <si>
    <t>ㅇ 한화비전은 한화시스템ICT로 부터 관제, 백업, 클라우드 관리 등의 서비스를 제공받고 있음
ㅇ 한화시스템ICT는 ITSM 매뉴얼을 시스템을 통하여 백업일정 등 서비스 변경이 있는 경우 서비스 영향도 및 위험도 평가 결과를 작성, 이상 발생 시 복구 계획 및 방법에 관한 내용을 작성한 후 승인을 받아 처리하도록 운영되고 있음
※ 한화시스템ICT는 ISO27000, ISO27001, ISO27017 인증을 받아, 통제항목을 준수하고 있음
최승우 과장님</t>
  </si>
  <si>
    <t xml:space="preserve"> - 화/목 17:30 이후
 - 변경 작업 시
 - (NW)
 - 상시
 - 상시
 - 상시</t>
  </si>
  <si>
    <t xml:space="preserve"> - SS3팀 이예진 사원(HR)
 - 신창중(인프라)
 - (NW)
 - 김학춘
 - 황한진
 - 전재덕</t>
  </si>
  <si>
    <t xml:space="preserve"> - 경영혁신팀
 - 경영혁신팀
 - (NW)
 - 경영혁신팀
 - 경영혁신팀
 - 경영혁신팀</t>
  </si>
  <si>
    <t>시스템에 기능개선 반영 시 절차와 변경 프로세스는 어떻게 됩니까?</t>
  </si>
  <si>
    <t xml:space="preserve"> - HR시스템 내 요청센터 통해 접수 OR 메일로 접수 후 SR 등록. 개발 서버 반영 후 테스트 요청 및 테스트 결과서 작성. 화/목 17:30 이후에만 운영서버로 반영 가능. 이관 담당자가 결재 완료 난 건에 한하여 반영 작업 및 ITSM 릴리즈
 - ITSM 을 통한 변경계획 수립
 - ITSM 변경 관리 통해 관리
 - ICT확인 (최승우과장님 - ITSM으로 처리)
 - ICT확인
 - ICT확인</t>
  </si>
  <si>
    <t xml:space="preserve"> - SLA 문서</t>
  </si>
  <si>
    <t xml:space="preserve">비전
- 관련 계약서 문구
ICT 자체적으로 ITSM 인증
</t>
  </si>
  <si>
    <t>신설</t>
  </si>
  <si>
    <r>
      <rPr>
        <rFont val="Malgun Gothic"/>
        <color rgb="FF000000"/>
        <sz val="11.0"/>
      </rPr>
      <t>5.23</t>
    </r>
    <r>
      <rPr>
        <rFont val="맑은 고딕"/>
        <color rgb="FF000000"/>
        <sz val="11.0"/>
      </rPr>
      <t>.1</t>
    </r>
  </si>
  <si>
    <r>
      <rPr>
        <rFont val="Malgun Gothic"/>
        <color rgb="FFFF0000"/>
        <sz val="11.0"/>
      </rPr>
      <t xml:space="preserve">ㅇ 클라우드 SLA 확인 후 기재 예정
</t>
    </r>
    <r>
      <rPr>
        <rFont val="맑은 고딕"/>
        <color theme="1"/>
        <sz val="11.0"/>
      </rPr>
      <t xml:space="preserve">
※ 한화시스템ICT는 ISO27000, ISO27001, ISO27017 인증을 받아, 통제항목을 준수하고 있음</t>
    </r>
  </si>
  <si>
    <t xml:space="preserve">책임님 확인(20230710)
ㅇ SLA 확인 후 재작성 </t>
  </si>
  <si>
    <t xml:space="preserve"> - 상시
 - 상시
 - 상시</t>
  </si>
  <si>
    <t>클라우드 서비스 관련 SLA 계약서(클라우드 보안기능 요건, 클라우드 서비스 보안관리 방안, 클라우드 보안 표준 준수 포함)) 등 문서화된 자료가 존재합니까?</t>
  </si>
  <si>
    <t xml:space="preserve"> - ICT 확인 필요(최승우 과장님 - 계약서 제공은 가능하지만 계약서 내에 개인정보보호 및 데이터 보호에 대한 내용은 존재하지 않음. 인프라 환경을 제공한다는 내용만 존재.)
 - ICT 확인 필요
 - ICT 확인 필요</t>
  </si>
  <si>
    <t xml:space="preserve"> - 클라우드 SLA</t>
  </si>
  <si>
    <t>1. 홈페이지 범위
- ICT 계역서
에져 계약서
- 보안운영팀
- ISO27017 (클라우드인증서) 한화시스템 ICT</t>
  </si>
  <si>
    <t xml:space="preserve"> - 클라우드 SLA
</t>
  </si>
  <si>
    <r>
      <rPr>
        <rFont val="Malgun Gothic"/>
        <color rgb="FF000000"/>
        <sz val="11.0"/>
      </rPr>
      <t>5.23</t>
    </r>
    <r>
      <rPr>
        <rFont val="맑은 고딕"/>
        <color rgb="FF000000"/>
        <sz val="11.0"/>
      </rPr>
      <t>.2</t>
    </r>
  </si>
  <si>
    <t>ㅇ 클라우드 서비스 사용 보안 기준으로 안전한 접속방법, 권한 체계 등 보안 통제 정책을 수립 및 이행하고 있음
 1. 클라우드 보안기능 요건
 2. 클라우드 서비스 보안관리 방안
 3. 클라우드 보안 표준 준수 등
※ 한화시스템ICT는 ISO27000, ISO27001, ISO27017 인증을 받아, 통제항목을 준수하고 있음</t>
  </si>
  <si>
    <t>클라우드 서비스 관련 SLA 계약서(클라우드 보안기능 요건, 클라우드 서비스 보안관리 방안, 클라우드 보안 표준 준수 포함) 등 문서화된 자료가 존재합니까?</t>
  </si>
  <si>
    <t xml:space="preserve"> - ICT 확인 필요
 - ICT 확인 필요</t>
  </si>
  <si>
    <t xml:space="preserve"> - 문서화된 클라우드 서비스 관련 SLA (클라우드 보안기능 요건, 클라우드 서비스 보안관리 방안, 클라우드 보안 표준 준수 포함)</t>
  </si>
  <si>
    <t>ICT
(홈페이지)</t>
  </si>
  <si>
    <r>
      <rPr>
        <rFont val="Malgun Gothic"/>
        <color rgb="FF000000"/>
        <sz val="11.0"/>
      </rPr>
      <t>5.23</t>
    </r>
    <r>
      <rPr>
        <rFont val="맑은 고딕"/>
        <color rgb="FF000000"/>
        <sz val="11.0"/>
      </rPr>
      <t>.3</t>
    </r>
  </si>
  <si>
    <t>책임님 확인(20230710)
ㅇ 회사는 업무용 PC 및 내부망 내 위치한 정보시스템을 클라우드 서비스에 연결해야 하는 경우 전용선 또는 가상사설망 등 안전한 접속 수단(OTP 2차인증)을 적용할 수 있도록 규정하고 있음
ㅇ 클라우드 서비스 이용 업무 담당/관리자의 접근제어 및 통제, 로그 기록, 암호화 등 보호대책을 적용하고 있음 
※ 한화시스템ICT는 ISO27000, ISO27001, ISO27017 인증을 받아, 통제항목을 준수하고 있음</t>
  </si>
  <si>
    <t>클라우드 서비스 공급망 관련 계약서((공급망 보안 등)) 등 자료가 존재합니까?</t>
  </si>
  <si>
    <t xml:space="preserve"> - OTP 2차인증 화면
 - 클라우드 구축 후 보안성 검토 자료</t>
  </si>
  <si>
    <r>
      <rPr>
        <rFont val="Malgun Gothic"/>
        <color rgb="FF000000"/>
        <sz val="11.0"/>
      </rPr>
      <t>5.23</t>
    </r>
    <r>
      <rPr>
        <rFont val="맑은 고딕"/>
        <color rgb="FF000000"/>
        <sz val="11.0"/>
      </rPr>
      <t>.4</t>
    </r>
  </si>
  <si>
    <t>책임님 확인(20230710)
ㅇ 클라우드 서비스의 보안 설정 및 운영현황을 모니터링 하고 계약 사항을 준수하는지 연 1회 이상 보안점검을 통한 위험관리를 수행하고 있음
ㅇ 클라우드 서비스에 대해서 점검 대상 및 방법을 정하여 항목별 점검 영역에 대한 결과와 향후 조치 계획을 단기, 중기, 장기 수립하여 적절성 검토하고 있음
 - 클라우드 관리 30개 영역 점검
 - 개인정보 보안 54개 영역 점검
 - 웹 취약점 점검 30개 영역 점검
※ 한화시스템ICT는 ISO27000, ISO27001, ISO27017 인증을 받아, 통제항목을 준수하고 있음</t>
  </si>
  <si>
    <t>최신화된 클라우드 서비스 주기적 모니터링 검토 및 보안점검 결과를 제공받을 수 있습니까?</t>
  </si>
  <si>
    <t xml:space="preserve"> - ICT 확인 필요</t>
  </si>
  <si>
    <t xml:space="preserve"> - 클라우드 서비스 보안점검 결과 등</t>
  </si>
  <si>
    <t>A.16.1
정보보호 사고 관리 및 개선</t>
  </si>
  <si>
    <t>A.16.1.1</t>
  </si>
  <si>
    <t>책임 및 절차</t>
  </si>
  <si>
    <t>정보보호 사고에 대한 신속하고 효과적이며 순차적인 대응을 보장하기 위하여 관리 책임과 절차를 수립하여야 한다.</t>
  </si>
  <si>
    <r>
      <rPr>
        <rFont val="Malgun Gothic"/>
        <color rgb="FF000000"/>
        <sz val="11.0"/>
      </rPr>
      <t>5.24</t>
    </r>
    <r>
      <rPr>
        <rFont val="맑은 고딕"/>
        <color rgb="FF000000"/>
        <sz val="11.0"/>
      </rPr>
      <t>.1</t>
    </r>
  </si>
  <si>
    <r>
      <rPr>
        <rFont val="Malgun Gothic"/>
        <color rgb="FF000000"/>
        <sz val="11.0"/>
      </rPr>
      <t>5.24</t>
    </r>
    <r>
      <rPr>
        <rFont val="맑은 고딕"/>
        <color rgb="FF000000"/>
        <sz val="11.0"/>
      </rPr>
      <t>.2</t>
    </r>
  </si>
  <si>
    <t>전문가, 전문기관, 전문정부기관 등 협조체계 관련 증적을 받을 수 있습니까?</t>
  </si>
  <si>
    <t xml:space="preserve"> - 전문가, 전문기관, 전문정부기관 등 협조체계 관련 증적</t>
  </si>
  <si>
    <t>O
ICT</t>
  </si>
  <si>
    <r>
      <rPr>
        <rFont val="Malgun Gothic"/>
        <color rgb="FF000000"/>
        <sz val="11.0"/>
      </rPr>
      <t>5.24</t>
    </r>
    <r>
      <rPr>
        <rFont val="맑은 고딕"/>
        <color rgb="FF000000"/>
        <sz val="11.0"/>
      </rPr>
      <t>.3</t>
    </r>
  </si>
  <si>
    <t>A.16.1.4</t>
  </si>
  <si>
    <t>정보보호 이벤트 평가 및 의사결정</t>
  </si>
  <si>
    <t>정보보호 이벤트를 평가하고 정보보호 사고로 분류할지 여부를 결정하여야 한다.</t>
  </si>
  <si>
    <r>
      <rPr>
        <rFont val="Malgun Gothic"/>
        <color rgb="FF000000"/>
        <sz val="11.0"/>
      </rPr>
      <t>5.25</t>
    </r>
    <r>
      <rPr>
        <rFont val="맑은 고딕"/>
        <color rgb="FF000000"/>
        <sz val="11.0"/>
      </rPr>
      <t>.1</t>
    </r>
  </si>
  <si>
    <t>실제로 분류표에 따라서 정의하고 처리되는 프로세스 중 하나의 과정을 화면으로 제공받아야 함
책임님 확인(20230710)</t>
  </si>
  <si>
    <r>
      <rPr>
        <rFont val="맑은 고딕"/>
        <color theme="1"/>
        <sz val="11.0"/>
      </rPr>
      <t>ㅇ 정보보안 이벤트 발생 시 한화ICT 보안관제 조직에서 1차적인 보고절차 후 한화비전의 보안전담조직에서 평가 및 승인 절차를 거쳐 결정하고 그에 따른 조치를 수행하고 있음
ㅇ '[별첨 #12] 위기경보에 따른 침해사고 유형 및 상황'에 따라 분류 기준을 정의하고 있음</t>
    </r>
    <r>
      <rPr>
        <rFont val="맑은 고딕"/>
        <color rgb="FF6600FF"/>
        <sz val="11.0"/>
      </rPr>
      <t xml:space="preserve">
</t>
    </r>
  </si>
  <si>
    <t>침해사고 등급 및 유형을 어떻게 분류하고 있습니까?</t>
  </si>
  <si>
    <t xml:space="preserve"> - 침해사고 등급 및 유형 분류표 등 관련 증적</t>
  </si>
  <si>
    <t>A.16.1.5</t>
  </si>
  <si>
    <t>정보보호 사고는 문서화된 절차에 따라 대응하여야 한다.</t>
  </si>
  <si>
    <r>
      <rPr>
        <rFont val="Malgun Gothic"/>
        <color rgb="FF000000"/>
        <sz val="11.0"/>
      </rPr>
      <t>5.26</t>
    </r>
    <r>
      <rPr>
        <rFont val="맑은 고딕"/>
        <color rgb="FF000000"/>
        <sz val="11.0"/>
      </rPr>
      <t>.1</t>
    </r>
  </si>
  <si>
    <t>A.16.1.6</t>
  </si>
  <si>
    <t>정보보호 사고로부터 학습</t>
  </si>
  <si>
    <t>정보보호 사고를 분석하고 해결하는 과정에서 습득한 지식은 추후 사고의 가능성 또는 영향을 줄이는데 사용하여야 한다.</t>
  </si>
  <si>
    <r>
      <rPr>
        <rFont val="Malgun Gothic"/>
        <color rgb="FF000000"/>
        <sz val="11.0"/>
      </rPr>
      <t>5.27</t>
    </r>
    <r>
      <rPr>
        <rFont val="맑은 고딕"/>
        <color rgb="FF000000"/>
        <sz val="11.0"/>
      </rPr>
      <t>.1</t>
    </r>
  </si>
  <si>
    <r>
      <rPr>
        <rFont val="Malgun Gothic"/>
        <color rgb="FF000000"/>
        <sz val="11.0"/>
      </rPr>
      <t xml:space="preserve">(한화비전)
</t>
    </r>
    <r>
      <rPr>
        <rFont val="맑은 고딕"/>
        <color theme="1"/>
        <sz val="11.0"/>
      </rPr>
      <t>ㅇ 한화비전은 한화시스템 ICT로부터 보안 서비스를 제공받아 보안사고에 대한 처리 및 종결에 관한 내용에 대해 사고내용, 보안사고 통계 등을 월별로 보고받고 있음
 - 티켓처리 프로세스
 - ISS 보고서
※ 한화시스템ICT는 ISO27000, ISO27001, ISO27017 인증을 받아, 통제항목을 준수하고 있음</t>
    </r>
  </si>
  <si>
    <t xml:space="preserve">최신화된 ISS 보고서 내에 존재하는 참고 상세 리스트(마스킹 가능) 및 결과 보고서를 제공받을 수 있습니까?
</t>
  </si>
  <si>
    <t xml:space="preserve"> - 보안관제 전문 인력이 관제 모니터링을 하고 있으며, 사고 후속조치 사항을 이행하고 있음
 - 보안관제 전문 인력이 관제 모니터링을 하고 있으며, 사고 후속조치 사항을 이행하고 있음</t>
  </si>
  <si>
    <t xml:space="preserve"> - 23년 ISS 보고서 내에 존재하는 참고 상세 리스트(마스킹 가능) 및 결과 보고서</t>
  </si>
  <si>
    <t>책임님 확인(20230710)
추가 증적 확보(20230713)
ㅇ 사고 모의훈련 결과에 대해서 추가 증적 확보 이후 재작성</t>
  </si>
  <si>
    <r>
      <rPr>
        <rFont val="Malgun Gothic"/>
        <color theme="1"/>
        <sz val="11.0"/>
      </rPr>
      <t xml:space="preserve">(한화비전)
ㅇ  정보보호 담당자는 연 1회 이상 정보보호 사고 대응 모의 훈련을 실시해야 하고, 모의훈련 종료 후 문제점과 개선방안을 정보보호 최고책임자에게 보고하도록 규정되어 있음 
 1. 악성코드 및 해킹 이메일 모의훈련
</t>
    </r>
    <r>
      <rPr>
        <rFont val="맑은 고딕"/>
        <color rgb="FF00B050"/>
        <sz val="11.0"/>
      </rPr>
      <t xml:space="preserve"> 2. 서비스 거부 공격 대응훈련
 3. 개인정보 유∙노출 대응훈련</t>
    </r>
    <r>
      <rPr>
        <rFont val="맑은 고딕"/>
        <color theme="1"/>
        <sz val="11.0"/>
      </rPr>
      <t xml:space="preserve">
 4. 재해 복구 훈련((23년 10월 예정)
ㅇ 매년 정기적인 취약점 점검을 시행하여 최신 취약점 등에 관하여 점검 및 이행점검을 실시하고 있음</t>
    </r>
  </si>
  <si>
    <t xml:space="preserve"> - 반기
 - 반기</t>
  </si>
  <si>
    <t xml:space="preserve">재발 방지를 위한 훈련 계획 및 결과 보고서(재발 가능 사고 및 대응방안 포함)를 제공받을 수 있습니까?
</t>
  </si>
  <si>
    <t xml:space="preserve"> - 매년 상반기 웹/인프라 취약점 점검을 시행하여 최신의 취약점 등에 노출되었는지 점검하며, 이에 대한 조치가 되었는지 이행점검을 하반기에 시행
 - 매년 상반기 웹/인프라 취약점 점검을 시행하여 최신의 취약점 등에 노출되었는지 점검하며, 이에 대한 조치가 되었는지 이행점검을 하반기에 시행</t>
  </si>
  <si>
    <t xml:space="preserve"> - 23년 훈련 계획 및 결과 보고서(재발 가능 사고 및 대응방안 포함)</t>
  </si>
  <si>
    <t>1. 23년 모의침투
2. 취약점 점검
ICT</t>
  </si>
  <si>
    <t>교육을 보안동향 공유로 대체할 수 있는지 궁금합니다.
게시판에 노트북 사용 주의 관련해서 올라온 글이 있는데 증적으로 활욜할 수 있어 보입니다
ㅇ 한화비전은 한화시스템ICT로 부터 관제 서비스를 제공받고 있으며, 재발방지를 위해 공격시도 IP를 그룹방화벽에서 차단하고, 티켓서비스로 침해사고가 발생하는 경우 보안위반 사고에 대한 대응조치 결과와 소명서를 문서화 하는 등 조치를 취하고 있음
※ 한화시스템ICT는 ISO27000, ISO27001, ISO27017 인증을 받아, 통제항목을 준수하고 있음
책임님 확인(20230710)</t>
  </si>
  <si>
    <t xml:space="preserve">보안사고로 인한 보안체계(정책, 절차, 조직 등) 변경 내역을 제공받을 수 있습니까?
재발 방지를 위한 교육 계획 및 결과 보고서(재발 가능 사고 및 대응방안 포함)를 제공받을 수 있습니까?
</t>
  </si>
  <si>
    <t xml:space="preserve"> - 보안관제를 통해 침해시도가 확인된 내역에 대해서 방화벽 원천 차단하는 등 재발방지 시행 중. 업무용 노트북 분실 사고가 빈번이 접수되어, 유관 컨텐츠 게시판 공지하여 임직원 인식제고.
 - 보안관제를 통해 침해시도가 확인된 내역에 대해서 방화벽 원천 차단하는 등 재발방지 시행 중. 업무용 노트북 분실 사고가 빈번이 접수되어, 유관 컨텐츠 게시판 공지하여 임직원 인식제고.</t>
  </si>
  <si>
    <t xml:space="preserve"> - 보안사고로부터 확보한 정보로 수립한 재발방지대책 내역
 - 23년 교육 계획 및 결과 보고서(재발 가능 사고 및 대응방안 포함)</t>
  </si>
  <si>
    <t>A.16.1.7</t>
  </si>
  <si>
    <t>조직은 증거로 활용할 수 있는 정보를 식별, 수집, 획득, 보존하기 위한 절차를 정의하고 적용하여야 한다.</t>
  </si>
  <si>
    <r>
      <rPr>
        <rFont val="Malgun Gothic"/>
        <color rgb="FF000000"/>
        <sz val="11.0"/>
      </rPr>
      <t>5.28</t>
    </r>
    <r>
      <rPr>
        <rFont val="맑은 고딕"/>
        <color rgb="FF000000"/>
        <sz val="11.0"/>
      </rPr>
      <t>.1</t>
    </r>
  </si>
  <si>
    <t>(한화비전)
ㅇ 한화비전은 한화시스템ICT로 부터 ISS 보안 관제 서비스를 제공 받아 이상징후 및 침해사고에 대한 관리를 티켓서비스로 관리하며, 티켓이 발급되면 담당자가 위반자로부터 소명서를 받거나 대응조치내역 보고서를 받아 다시 한화시스템ICT의 승인을 받아 종결처리 하고 있음
 - 티켓처리 프로세스
ㅇ 티켓에 대한 조치 완료 현황, 공격시도 IP를 그룹웨어 방화벽에서 차단하는 등 재발 방지대책이 포함된 월별 조치 현황을 보고받고 있음 
 - ISS 보고서
※ 한화시스템ICT는 ISO27000, ISO27001, ISO27017 인증을 받아, 통제항목을 준수하고 있음
최승우과장님</t>
  </si>
  <si>
    <t xml:space="preserve"> - (인프라)
 - (NW)
 - 상시
 - 상시</t>
  </si>
  <si>
    <t xml:space="preserve"> - 보안?
 - (NW)
 - 김학춘
 - 전재덕</t>
  </si>
  <si>
    <t xml:space="preserve"> - 경영혁신팀
 - (NW)
 - 경영혁신팀
 - 경영혁신팀</t>
  </si>
  <si>
    <t>침해사고 보고 대응 절차 중 조치 완료 단계에 복구 현황 및 재발 방지 대책 내용이 포함된 최종 보고서를 제공받을 수 있습니까?
한화시스템ICT SLA 문서 내 보안사고 처리 및 복구 절차 내용이 존재합니까?</t>
  </si>
  <si>
    <t xml:space="preserve"> - (인프라)
 - SLA 전체 문서 확인 필요</t>
  </si>
  <si>
    <t xml:space="preserve"> - 침해사고 조치 계획 및 결과 보고 (복구 절차 및 방법, 분석 및 재발방지 대책 마련 등 포함)
 - 한화시스템ICT SLA</t>
  </si>
  <si>
    <r>
      <rPr>
        <rFont val="Malgun Gothic"/>
        <color rgb="FF000000"/>
        <sz val="11.0"/>
      </rPr>
      <t>5.28</t>
    </r>
    <r>
      <rPr>
        <rFont val="맑은 고딕"/>
        <color rgb="FF000000"/>
        <sz val="11.0"/>
      </rPr>
      <t>.2</t>
    </r>
  </si>
  <si>
    <t xml:space="preserve">책임님 확인(20230710)
4주차 주간회의 시 민형사 사건 관련 증적은 참기 어려울 수 있다고 말씀해주심.
증적이 없다면 관제 증적 확보 부분과 게시판 보안동향 고지로 갈음할 수 있는 항목인지 확인해달라고 하셨음. </t>
  </si>
  <si>
    <t xml:space="preserve"> - (인프라)
 - (NW)</t>
  </si>
  <si>
    <t xml:space="preserve"> - 보안?
 - (NW)</t>
  </si>
  <si>
    <t xml:space="preserve"> - 경영혁신팀
 - (NW)</t>
  </si>
  <si>
    <t>법적 대응이 가능하도록 침해사고 보고서를 보관 및 유지관리 하고 있습니까? 관련 증적을 제공받을 수 있습니까?
침해사고 관련 민형사 사건 보고서를 제공받을 수 있습니까?</t>
  </si>
  <si>
    <t xml:space="preserve"> - 
 - 네트워크 별도의 프로세스 없음 (통합 프로세스 확인 필요)</t>
  </si>
  <si>
    <t xml:space="preserve"> - 침해사고 조치 계획 및 결과 (민형사 사건 활용 증적포함)
 - 침해사고 관련 민형사 사건 보고서</t>
  </si>
  <si>
    <t>ICT
보안관제증적</t>
  </si>
  <si>
    <t>로그보관 게시판</t>
  </si>
  <si>
    <r>
      <rPr>
        <rFont val="Malgun Gothic"/>
        <color rgb="FF000000"/>
        <sz val="11.0"/>
      </rPr>
      <t>A.1</t>
    </r>
    <r>
      <rPr>
        <rFont val="맑은 고딕"/>
        <color rgb="FF000000"/>
        <sz val="11.0"/>
      </rPr>
      <t>7.1
정보보호 연속성</t>
    </r>
  </si>
  <si>
    <t>A.17.1.1</t>
  </si>
  <si>
    <t>정보보호 연속성 계획</t>
  </si>
  <si>
    <t>조직은 위기 또는 재난과 같이 어려운 상황에서 정보보호와 정보보호 관리의 연속성에 대한 요구사항을 결정하여야 한다.</t>
  </si>
  <si>
    <r>
      <rPr>
        <rFont val="Malgun Gothic"/>
        <color rgb="FF000000"/>
        <sz val="11.0"/>
      </rPr>
      <t>5.29</t>
    </r>
    <r>
      <rPr>
        <rFont val="맑은 고딕"/>
        <color rgb="FF000000"/>
        <sz val="11.0"/>
      </rPr>
      <t>.1</t>
    </r>
  </si>
  <si>
    <t xml:space="preserve">ㅇ 한화비전은 한화시스템ICT에서 업무연속성과 관련된 서비스를 제공받고 있고 정보보호 요구사항이 지켜지고 있는가에 대하여 일정 주기로 보고를 받고 있음
최승우과장님(20230713) - 실사 시 계약서 해당 부분 확인 예정
※ 한화시스템ICT는 ISO27000, ISO27001, ISO27017 인증을 받아, 백업서비스 및 사이트복구 서비스 등을 제공하고 있음
</t>
  </si>
  <si>
    <t xml:space="preserve"> - 장애 발생 시
 - (NW)</t>
  </si>
  <si>
    <t xml:space="preserve"> - 신창중(인프라)
 - (NW)</t>
  </si>
  <si>
    <t>BCP(업무연속성 계획), DRP(재해복구계획)이 존재합니까?
한화시스템ICT를 통해서 업무연속성 및 계획을 제공받는다면 관련된 문서를 제공받을 수 있습니까?</t>
  </si>
  <si>
    <t xml:space="preserve"> - 재해 대응 매뉴얼 관리
 - 네트워크 별도의 재해 복구 계획 없음 (통합 프로세스 확인 필요)</t>
  </si>
  <si>
    <t xml:space="preserve"> - 재해 복구 계획 및 지침 절차 (절차 수립 참여자, 재해 복구 목표시간, 목표시점 등을 포함)
</t>
  </si>
  <si>
    <t>A.17.1.2</t>
  </si>
  <si>
    <t>정보보호 연속성 구현</t>
  </si>
  <si>
    <t>조직은 어려운 상황에서 정보보호에 필요한 수준의 연속성을 보장하기 위하여 프로세스, 절차, 통제를 수립하고 문서화하여 구현 및 유지하여야 한다.</t>
  </si>
  <si>
    <r>
      <rPr>
        <rFont val="Malgun Gothic"/>
        <color rgb="FF000000"/>
        <sz val="11.0"/>
      </rPr>
      <t>5.29</t>
    </r>
    <r>
      <rPr>
        <rFont val="맑은 고딕"/>
        <color rgb="FF000000"/>
        <sz val="11.0"/>
      </rPr>
      <t>.2</t>
    </r>
  </si>
  <si>
    <r>
      <rPr>
        <rFont val="Malgun Gothic"/>
        <color rgb="FF000000"/>
        <sz val="11.0"/>
      </rPr>
      <t>조직은 어려운 상황에서 정보보호에 필요한 수준의 연속성을 보장하기 위하여 프로세스, 절차, 통제를 수립하고 문서화하여 구현 및 유지하고</t>
    </r>
    <r>
      <rPr>
        <rFont val="맑은 고딕"/>
        <color rgb="FF000000"/>
        <sz val="11.0"/>
      </rPr>
      <t xml:space="preserve"> 있습니까?</t>
    </r>
  </si>
  <si>
    <t xml:space="preserve">ㅇ 한화비전은 한화시스템ICT에서 업무연속성과 관련된 서비스를 제공받아 장애대응 프로세스를 갖추고 있으며 일정 주기로 보고를 받고 있음
최승우과장님(20230713) - 실사 시 계약서 해당 부분 확인 예정
※ 한화시스템ICT는 ISO27000, ISO27001, ISO27017 인증을 받아, 백업서비스 및 사이트복구 서비스 등을 제공하고 있음
</t>
  </si>
  <si>
    <t>한화시스템ICT SLA 문서 내 장애 발생 시 업무연속성을 확보하기 위한 내용이 반영되어 있습니까?</t>
  </si>
  <si>
    <t xml:space="preserve"> - 장애 발생 시 업무 연속성을 확보하기 위해 장애관리 프로세스 절차 수립
 - 네트워크 별도의 재해 복구 계획 없음 (통합 프로세스 확인 필요)</t>
  </si>
  <si>
    <t xml:space="preserve"> - 한화시스템ICT SLA
 - 장애상황기록부</t>
  </si>
  <si>
    <t>A.17.1.3</t>
  </si>
  <si>
    <t>정보보호 연속성 검증, 검토, 평가</t>
  </si>
  <si>
    <t>조직이 수립하고 구현한 정보보호 연속성 통제가 어려운 상황에 적절하고 효과적임을 보장하기 위하여 주기적으로 검증하여야 한다.</t>
  </si>
  <si>
    <r>
      <rPr>
        <rFont val="Malgun Gothic"/>
        <color rgb="FF000000"/>
        <sz val="11.0"/>
      </rPr>
      <t>조직이 수립하고 구현한 정보보호 연속성 통제가 어려운 상황에 적절하고 효과적임을 보장하기 위하여 주기적으로 검증하고</t>
    </r>
    <r>
      <rPr>
        <rFont val="맑은 고딕"/>
        <color rgb="FF000000"/>
        <sz val="11.0"/>
      </rPr>
      <t xml:space="preserve"> 있습니까?</t>
    </r>
  </si>
  <si>
    <t xml:space="preserve">ㅇ 한화비전은 한화시스템ICT에서 업무연속성과 관련된 서비스를 제공받아 서비스 중단 장애상황에 대한 모의 훈련을 매년 실시하며, 결과에 대하여 보고를 받고 있음
최승우과장님(20230713) - 실사 시 계약서 해당 부분 확인 예정
※ 한화시스템ICT는 ISO27000, ISO27001, ISO27017 인증을 받아, 백업서비스 및 사이트복구 서비스 등을 제공하고 있음
</t>
  </si>
  <si>
    <t xml:space="preserve"> - 매년
 - (NW)</t>
  </si>
  <si>
    <t>최근 모의재해복구훈련 결과를 제공받을 수 있습니까?</t>
  </si>
  <si>
    <t xml:space="preserve"> - 2023년 8월 모의 훈련 예정
 - 별도의 모의재해 복구 훈련을 하지는 않고 정기PM간 이중화 테스트 수행</t>
  </si>
  <si>
    <t xml:space="preserve"> - 23년 모의재해복구훈련 결과서
 - 23년 백업데이터 관리대장</t>
  </si>
  <si>
    <t xml:space="preserve">ㅇ 한화비전은 한화시스템ICT에서 업무연속성과 관련된 서비스를 제공받아 누수, 화재 등 재해 유형을 식별하고 유형별 피해규모 및 업무영향도를 고려하여 관리되고 있으며 주기적으로 보고를 받고 있음
최승우과장님(20230713) - 실사 시 계약서 해당 부분 확인 예정
※ 한화시스템ICT는 ISO27000, ISO27001, ISO27017 인증을 받아, 백업서비스 및 사이트복구 서비스 등을 제공하고 있음
</t>
  </si>
  <si>
    <t>재해 복구를 위한 BIA(업무영향분석) 지침 절차와, 비상연락망, 임직원이 볼 수 있는 매뉴얼이 존재합니까?</t>
  </si>
  <si>
    <t xml:space="preserve"> - IT 재해 복구 지침·절차
 - 비상연락망
 - 개인정보처리시스템 위기대응 매뉴얼</t>
  </si>
  <si>
    <t xml:space="preserve">ㅇ 한화비전은 한화시스템ICT에서 업무연속성과 관련된 서비스를 제공받아 복구 목표시간과 복구 목표지점에 대하여 정의하고 있음
최승우과장님(20230713) - 실사 시 계약서 해당 부분 확인 예정
※ 한화시스템ICT는 ISO27000, ISO27001, ISO27017 인증을 받아, 백업서비스 및 사이트복구 서비스 등을 제공하고 있음
</t>
  </si>
  <si>
    <t>BIA(업무영향평가) 결과에 근거하여 RTO(복구목표시간), RPO(복구목표시점), 재해복구 계획이 수립되어 있습니까?
재해복구설비, DR 및 이중화가 구축되어 있습니까?</t>
  </si>
  <si>
    <t xml:space="preserve"> - IT 재해 복구 계획(RTO, RPO 정의 포함)</t>
  </si>
  <si>
    <t xml:space="preserve">ㅇ 한화비전은 한화시스템ICT에서 업무연속성과 관련된 서비스를 제공받아 누수 상황, 화재 및 침수 상황 등 사무실, 서버실, 기반시설 등 시스템에 따라 유형 및 상황별 대처 방법, 비상시 복구조직, 비상연락망을 관리하고 있으며 관리 내용에 대하여 보고를 받고 있음
최승우과장님(20230713) - 실사 시 계약서 해당 부분 확인 예정
※ 한화시스템ICT는 ISO27000, ISO27001, ISO27017 인증을 받아, 백업서비스 및 사이트복구 서비스 등을 제공하고 있음
</t>
  </si>
  <si>
    <t>재해·재난 발생 시에도 핵심 서비스 및 시스템의 연속성을 보장할 수 있도록 복구 전략 및 대책, 비상시 복구 조직, 비상연락체계, 복구 절차 등 재해 복구 계획을 수립되어 있습니까?</t>
  </si>
  <si>
    <t xml:space="preserve"> - IT 재해 복구 지침·절차</t>
  </si>
  <si>
    <t>ICT
ERP(경영혁신팀)</t>
  </si>
  <si>
    <r>
      <rPr>
        <rFont val="Malgun Gothic"/>
        <color rgb="FF000000"/>
        <sz val="11.0"/>
      </rPr>
      <t>A.1</t>
    </r>
    <r>
      <rPr>
        <rFont val="맑은 고딕"/>
        <color rgb="FF000000"/>
        <sz val="11.0"/>
      </rPr>
      <t>8.1
법적 및 계약 요구사항 준수</t>
    </r>
  </si>
  <si>
    <t>A.18.1.1</t>
  </si>
  <si>
    <t>정보시스템과 조직에 관련한 모든 법령, 규제, 계약 요구사항과 조직의 요구사항 만족을 위한 접근방법을 명시적으로 식별하고 문서화하며 최신으로 유지하여야 한다.</t>
  </si>
  <si>
    <r>
      <rPr>
        <rFont val="Malgun Gothic"/>
        <color rgb="FF000000"/>
        <sz val="11.0"/>
      </rPr>
      <t>5.31</t>
    </r>
    <r>
      <rPr>
        <rFont val="맑은 고딕"/>
        <color rgb="FF000000"/>
        <sz val="11.0"/>
      </rPr>
      <t>.1</t>
    </r>
  </si>
  <si>
    <r>
      <rPr>
        <rFont val="Malgun Gothic"/>
        <color rgb="FF000000"/>
        <sz val="11.0"/>
      </rPr>
      <t xml:space="preserve">정보시스템에 대해 관련된 모든 법, 규제, 계약, 정책, 기술상의 요구사항을 정의하고 문서화하고 있습니까?
</t>
    </r>
    <r>
      <rPr>
        <rFont val="맑은 고딕"/>
        <color rgb="FF000000"/>
        <sz val="11.0"/>
      </rPr>
      <t xml:space="preserve"> - </t>
    </r>
    <r>
      <rPr>
        <rFont val="맑은 고딕"/>
        <color rgb="FF000000"/>
        <sz val="11.0"/>
      </rPr>
      <t>산업기술의</t>
    </r>
    <r>
      <rPr>
        <rFont val="맑은 고딕"/>
        <color rgb="FF000000"/>
        <sz val="11.0"/>
      </rPr>
      <t xml:space="preserve"> </t>
    </r>
    <r>
      <rPr>
        <rFont val="맑은 고딕"/>
        <color rgb="FF000000"/>
        <sz val="11.0"/>
      </rPr>
      <t>유출방지</t>
    </r>
    <r>
      <rPr>
        <rFont val="맑은 고딕"/>
        <color rgb="FF000000"/>
        <sz val="11.0"/>
      </rPr>
      <t xml:space="preserve"> </t>
    </r>
    <r>
      <rPr>
        <rFont val="맑은 고딕"/>
        <color rgb="FF000000"/>
        <sz val="11.0"/>
      </rPr>
      <t>및</t>
    </r>
    <r>
      <rPr>
        <rFont val="맑은 고딕"/>
        <color rgb="FF000000"/>
        <sz val="11.0"/>
      </rPr>
      <t xml:space="preserve"> </t>
    </r>
    <r>
      <rPr>
        <rFont val="맑은 고딕"/>
        <color rgb="FF000000"/>
        <sz val="11.0"/>
      </rPr>
      <t>보호에</t>
    </r>
    <r>
      <rPr>
        <rFont val="맑은 고딕"/>
        <color rgb="FF000000"/>
        <sz val="11.0"/>
      </rPr>
      <t xml:space="preserve"> </t>
    </r>
    <r>
      <rPr>
        <rFont val="맑은 고딕"/>
        <color rgb="FF000000"/>
        <sz val="11.0"/>
      </rPr>
      <t>관한</t>
    </r>
    <r>
      <rPr>
        <rFont val="맑은 고딕"/>
        <color rgb="FF000000"/>
        <sz val="11.0"/>
      </rPr>
      <t xml:space="preserve"> </t>
    </r>
    <r>
      <rPr>
        <rFont val="맑은 고딕"/>
        <color rgb="FF000000"/>
        <sz val="11.0"/>
      </rPr>
      <t xml:space="preserve">법률
</t>
    </r>
    <r>
      <rPr>
        <rFont val="맑은 고딕"/>
        <color rgb="FF000000"/>
        <sz val="11.0"/>
      </rPr>
      <t xml:space="preserve"> - </t>
    </r>
    <r>
      <rPr>
        <rFont val="맑은 고딕"/>
        <color rgb="FF000000"/>
        <sz val="11.0"/>
      </rPr>
      <t>정보통신망</t>
    </r>
    <r>
      <rPr>
        <rFont val="맑은 고딕"/>
        <color rgb="FF000000"/>
        <sz val="11.0"/>
      </rPr>
      <t xml:space="preserve"> </t>
    </r>
    <r>
      <rPr>
        <rFont val="맑은 고딕"/>
        <color rgb="FF000000"/>
        <sz val="11.0"/>
      </rPr>
      <t>이용</t>
    </r>
    <r>
      <rPr>
        <rFont val="맑은 고딕"/>
        <color rgb="FF000000"/>
        <sz val="11.0"/>
      </rPr>
      <t xml:space="preserve"> </t>
    </r>
    <r>
      <rPr>
        <rFont val="맑은 고딕"/>
        <color rgb="FF000000"/>
        <sz val="11.0"/>
      </rPr>
      <t>촉진</t>
    </r>
    <r>
      <rPr>
        <rFont val="맑은 고딕"/>
        <color rgb="FF000000"/>
        <sz val="11.0"/>
      </rPr>
      <t xml:space="preserve"> </t>
    </r>
    <r>
      <rPr>
        <rFont val="맑은 고딕"/>
        <color rgb="FF000000"/>
        <sz val="11.0"/>
      </rPr>
      <t>및</t>
    </r>
    <r>
      <rPr>
        <rFont val="맑은 고딕"/>
        <color rgb="FF000000"/>
        <sz val="11.0"/>
      </rPr>
      <t xml:space="preserve"> </t>
    </r>
    <r>
      <rPr>
        <rFont val="맑은 고딕"/>
        <color rgb="FF000000"/>
        <sz val="11.0"/>
      </rPr>
      <t>정보보호</t>
    </r>
    <r>
      <rPr>
        <rFont val="맑은 고딕"/>
        <color rgb="FF000000"/>
        <sz val="11.0"/>
      </rPr>
      <t xml:space="preserve"> </t>
    </r>
    <r>
      <rPr>
        <rFont val="맑은 고딕"/>
        <color rgb="FF000000"/>
        <sz val="11.0"/>
      </rPr>
      <t>등에</t>
    </r>
    <r>
      <rPr>
        <rFont val="맑은 고딕"/>
        <color rgb="FF000000"/>
        <sz val="11.0"/>
      </rPr>
      <t xml:space="preserve"> </t>
    </r>
    <r>
      <rPr>
        <rFont val="맑은 고딕"/>
        <color rgb="FF000000"/>
        <sz val="11.0"/>
      </rPr>
      <t>관한</t>
    </r>
    <r>
      <rPr>
        <rFont val="맑은 고딕"/>
        <color rgb="FF000000"/>
        <sz val="11.0"/>
      </rPr>
      <t xml:space="preserve"> </t>
    </r>
    <r>
      <rPr>
        <rFont val="맑은 고딕"/>
        <color rgb="FF000000"/>
        <sz val="11.0"/>
      </rPr>
      <t xml:space="preserve">법률
</t>
    </r>
    <r>
      <rPr>
        <rFont val="맑은 고딕"/>
        <color rgb="FF000000"/>
        <sz val="11.0"/>
      </rPr>
      <t xml:space="preserve"> - </t>
    </r>
    <r>
      <rPr>
        <rFont val="맑은 고딕"/>
        <color rgb="FF000000"/>
        <sz val="11.0"/>
      </rPr>
      <t xml:space="preserve">개인정보보호법
</t>
    </r>
    <r>
      <rPr>
        <rFont val="맑은 고딕"/>
        <color rgb="FF000000"/>
        <sz val="11.0"/>
      </rPr>
      <t xml:space="preserve"> - </t>
    </r>
    <r>
      <rPr>
        <rFont val="맑은 고딕"/>
        <color rgb="FF000000"/>
        <sz val="11.0"/>
      </rPr>
      <t>부정경쟁방지</t>
    </r>
    <r>
      <rPr>
        <rFont val="맑은 고딕"/>
        <color rgb="FF000000"/>
        <sz val="11.0"/>
      </rPr>
      <t xml:space="preserve"> </t>
    </r>
    <r>
      <rPr>
        <rFont val="맑은 고딕"/>
        <color rgb="FF000000"/>
        <sz val="11.0"/>
      </rPr>
      <t>및</t>
    </r>
    <r>
      <rPr>
        <rFont val="맑은 고딕"/>
        <color rgb="FF000000"/>
        <sz val="11.0"/>
      </rPr>
      <t xml:space="preserve"> </t>
    </r>
    <r>
      <rPr>
        <rFont val="맑은 고딕"/>
        <color rgb="FF000000"/>
        <sz val="11.0"/>
      </rPr>
      <t>영업비밀보호에</t>
    </r>
    <r>
      <rPr>
        <rFont val="맑은 고딕"/>
        <color rgb="FF000000"/>
        <sz val="11.0"/>
      </rPr>
      <t xml:space="preserve"> </t>
    </r>
    <r>
      <rPr>
        <rFont val="맑은 고딕"/>
        <color rgb="FF000000"/>
        <sz val="11.0"/>
      </rPr>
      <t>관한</t>
    </r>
    <r>
      <rPr>
        <rFont val="맑은 고딕"/>
        <color rgb="FF000000"/>
        <sz val="11.0"/>
      </rPr>
      <t xml:space="preserve"> </t>
    </r>
    <r>
      <rPr>
        <rFont val="맑은 고딕"/>
        <color rgb="FF000000"/>
        <sz val="11.0"/>
      </rPr>
      <t xml:space="preserve">법률
</t>
    </r>
    <r>
      <rPr>
        <rFont val="맑은 고딕"/>
        <color rgb="FF000000"/>
        <sz val="11.0"/>
      </rPr>
      <t xml:space="preserve"> - </t>
    </r>
    <r>
      <rPr>
        <rFont val="맑은 고딕"/>
        <color rgb="FF000000"/>
        <sz val="11.0"/>
      </rPr>
      <t>상기</t>
    </r>
    <r>
      <rPr>
        <rFont val="맑은 고딕"/>
        <color rgb="FF000000"/>
        <sz val="11.0"/>
      </rPr>
      <t xml:space="preserve"> </t>
    </r>
    <r>
      <rPr>
        <rFont val="맑은 고딕"/>
        <color rgb="FF000000"/>
        <sz val="11.0"/>
      </rPr>
      <t>법률</t>
    </r>
    <r>
      <rPr>
        <rFont val="맑은 고딕"/>
        <color rgb="FF000000"/>
        <sz val="11.0"/>
      </rPr>
      <t xml:space="preserve"> </t>
    </r>
    <r>
      <rPr>
        <rFont val="맑은 고딕"/>
        <color rgb="FF000000"/>
        <sz val="11.0"/>
      </rPr>
      <t>하위문서</t>
    </r>
    <r>
      <rPr>
        <rFont val="맑은 고딕"/>
        <color rgb="FF000000"/>
        <sz val="11.0"/>
      </rPr>
      <t xml:space="preserve"> </t>
    </r>
    <r>
      <rPr>
        <rFont val="맑은 고딕"/>
        <color rgb="FF000000"/>
        <sz val="11.0"/>
      </rPr>
      <t>및</t>
    </r>
    <r>
      <rPr>
        <rFont val="맑은 고딕"/>
        <color rgb="FF000000"/>
        <sz val="11.0"/>
      </rPr>
      <t xml:space="preserve"> </t>
    </r>
    <r>
      <rPr>
        <rFont val="맑은 고딕"/>
        <color rgb="FF000000"/>
        <sz val="11.0"/>
      </rPr>
      <t>매뉴얼</t>
    </r>
    <r>
      <rPr>
        <rFont val="맑은 고딕"/>
        <color rgb="FF000000"/>
        <sz val="11.0"/>
      </rPr>
      <t xml:space="preserve"> </t>
    </r>
    <r>
      <rPr>
        <rFont val="맑은 고딕"/>
        <color rgb="FF000000"/>
        <sz val="11.0"/>
      </rPr>
      <t xml:space="preserve">등
</t>
    </r>
  </si>
  <si>
    <r>
      <rPr>
        <rFont val="Malgun Gothic"/>
        <color rgb="FF000000"/>
        <sz val="11.0"/>
      </rPr>
      <t>A.1</t>
    </r>
    <r>
      <rPr>
        <rFont val="맑은 고딕"/>
        <color rgb="FF000000"/>
        <sz val="11.0"/>
      </rPr>
      <t>8.1
법적 및 계약 요구사항 준수</t>
    </r>
  </si>
  <si>
    <t>A.18.1.2</t>
  </si>
  <si>
    <t>지적재산권 및 소프트웨어 제품 소유권의 행사에 관련된 법령, 규정, 계약 요구사항의 준수를 보장하기 위하여 적절한 절차를 구현하여야 한다.</t>
  </si>
  <si>
    <t xml:space="preserve">ㅇ 임직원 및 협력업체 대상으로 정보보호 서약서를 징구하고 있으며, 내부정보 유출 방지를 위한 정보보호 교육을 주기적을 실시하여 정품소프트웨어 사용에 대하여 인지시키고 있음
</t>
  </si>
  <si>
    <t>ㅇ 임직원 및 협력업체 대상으로 필수 보안 프로그램 설치를 의무화 하도록 규정이 마련되어 있고, 부득이하게 미설치할 경우 업무목적, 기간 등을 기재하여 정보보호 담당자의 승인을 얻도록 절차가 구현되어 있음
ㅇ 불법 소프트웨어를 사용할 경우 처벌을 받을 수 있음을 명시하였고, 반기 1회 이상 소프트웨어 불법 소프트웨어 사용 여부를 점검하도록 절차가 마련되어 있음
ㅇ 한화비전은 한화시스템ICT로부터 상용메신저(카카오톡) 등 SW 사용 현황에 관하여 보안월간보고를 받고 있으며, SW 구매 및 사용시 신청서를 작성하고 있음
( 소프트웨어 관리현황, 허용 및 금지 목록 더 필요한지 궁금합니다)</t>
  </si>
  <si>
    <r>
      <rPr>
        <rFont val="Malgun Gothic"/>
        <color theme="1"/>
        <sz val="11.0"/>
      </rPr>
      <t xml:space="preserve"> - 보안월간보고_SW현황_한화비전_2023년4월
 - 한화비전_보안월간보고_ SW현황 2023년5월
</t>
    </r>
    <r>
      <rPr>
        <rFont val="맑은 고딕"/>
        <color rgb="FF00B050"/>
        <sz val="11.0"/>
      </rPr>
      <t xml:space="preserve"> - SW 사용 신청서
 - SW구매신청서</t>
    </r>
  </si>
  <si>
    <t>소프트웨어 관리 대장 및 라이선스 보유 현황이 존재합니까?</t>
  </si>
  <si>
    <t xml:space="preserve"> - 소프트웨어 관리 현황(한화비전_보안월간보고_2023년4월)  
 - 허용 및 금지 소프트웨어 목록</t>
  </si>
  <si>
    <t xml:space="preserve"> - 사용 소프트웨어 라이선스 관리 증적
</t>
  </si>
  <si>
    <r>
      <rPr>
        <rFont val="Malgun Gothic"/>
        <color rgb="FF000000"/>
        <sz val="11.0"/>
      </rPr>
      <t>허용 금지</t>
    </r>
    <r>
      <rPr>
        <rFont val="맑은 고딕"/>
        <color rgb="FF000000"/>
        <sz val="11.0"/>
      </rPr>
      <t xml:space="preserve"> 소프트웨어 목록</t>
    </r>
  </si>
  <si>
    <r>
      <rPr>
        <rFont val="Malgun Gothic"/>
        <color rgb="FF000000"/>
        <sz val="11.0"/>
      </rPr>
      <t>A.1</t>
    </r>
    <r>
      <rPr>
        <rFont val="맑은 고딕"/>
        <color rgb="FF000000"/>
        <sz val="11.0"/>
      </rPr>
      <t>8.1
법적 및 계약 요구사항 준수</t>
    </r>
  </si>
  <si>
    <t>A.18.1.3</t>
  </si>
  <si>
    <t>기록은 법령, 규정, 계약, 업무 요구사항에 따라 분실, 파손, 위조, 비인가 접근, 비인가 공개로부터 보호하여야 한다.</t>
  </si>
  <si>
    <r>
      <rPr>
        <rFont val="Malgun Gothic"/>
        <color rgb="FF000000"/>
        <sz val="11.0"/>
      </rPr>
      <t>5.33</t>
    </r>
    <r>
      <rPr>
        <rFont val="맑은 고딕"/>
        <color rgb="FF000000"/>
        <sz val="11.0"/>
      </rPr>
      <t>.1</t>
    </r>
  </si>
  <si>
    <t>Y로 처리했었는데 질의가 나간 상태입니다. 
P로 전환하겠습니다.</t>
  </si>
  <si>
    <r>
      <rPr>
        <rFont val="Malgun Gothic"/>
        <color theme="1"/>
        <sz val="11.0"/>
      </rPr>
      <t xml:space="preserve">ㅇ 업무용 PC 및 저장매체 내 정보보호 관련 암호화 대상 정보 및 개인정보를 포함한 중요 정보 저장 시 필수보안프로그램 중 하나인 DRM으로 문서를 암호화하고 있음
ㅇ 방화벽을 이용하여 비인가자의 무단 액세스를 차단하고, 인가자에 대한 접속만을 허가하고 있음
ㅇ 중요시스템에 대하여는 손실과 파괴, 위조된 데이터가 있더라도 복구할 수 있도록 일정 주기로 백업을 실시하고 있음
ㅇ </t>
    </r>
    <r>
      <rPr>
        <rFont val="맑은 고딕"/>
        <color rgb="FF00B050"/>
        <sz val="11.0"/>
      </rPr>
      <t xml:space="preserve">예외적으로 복호화가 필요한 문서에 대해서는 신청을 받아 처리하고 있음
</t>
    </r>
  </si>
  <si>
    <r>
      <rPr>
        <rFont val="Malgun Gothic"/>
        <color theme="1"/>
        <sz val="11.0"/>
      </rPr>
      <t xml:space="preserve"> - DRM 증적 SoftCamp
 - DRM 증적 SoftCamp_일괄암호화
 - 비업무 사이트 차단
 - 비전_방화벽 현황_20230703
 - 필수보안SW정책(NAC)
 - 백업데이터 관리대장(인프라)
 - 백업점검일지(인프라)
</t>
    </r>
    <r>
      <rPr>
        <rFont val="맑은 고딕"/>
        <color rgb="FF00B050"/>
        <sz val="11.0"/>
      </rPr>
      <t xml:space="preserve"> - DRM 문서 암호해제(복호화) 권한 신청(타인)
 - DRM 문서 프린트 마킹 예외신청 </t>
    </r>
    <r>
      <rPr>
        <rFont val="맑은 고딕"/>
        <color theme="1"/>
        <sz val="11.0"/>
      </rPr>
      <t xml:space="preserve">
 - 정보보호지침(BH60-0006K) 제 77 조 (백업 및 복구 관리)</t>
    </r>
  </si>
  <si>
    <t>최승우
(증빙완료)_230728
정보보호지침으로 증적
제77조 백업및복구</t>
  </si>
  <si>
    <t>개인정보 파일에 대한 암호화관련 증적 자료를 제공받을 수 있습니까?
문서보안 솔루션에 적용된 암호화 방식이 포함된 증정 화면을 제공받을 수 있습니까?</t>
  </si>
  <si>
    <t xml:space="preserve"> - 
 - 네트워크 장비 별도의 개인정보 없음</t>
  </si>
  <si>
    <t xml:space="preserve"> - 암호화 증적 자료(패스워드, 고유식별정보 등)
 - 문서 보안 솔루션 관리 화면</t>
  </si>
  <si>
    <t>1. PC 저장되는 파일 =&gt; DRM 적용 증적
2. 업무시스템의 경우, 
백업 증적/ 무단 액세스 차단 증적
=&gt; ICT</t>
  </si>
  <si>
    <r>
      <rPr>
        <rFont val="Malgun Gothic"/>
        <color rgb="FF000000"/>
        <sz val="11.0"/>
      </rPr>
      <t>A.1</t>
    </r>
    <r>
      <rPr>
        <rFont val="맑은 고딕"/>
        <color rgb="FF000000"/>
        <sz val="11.0"/>
      </rPr>
      <t>8.1
법적 및 계약 요구사항 준수</t>
    </r>
  </si>
  <si>
    <t>A.18.1.4</t>
  </si>
  <si>
    <t>프라이버시 및 개인정보보호</t>
  </si>
  <si>
    <t>프라이버시와 개인정보의 보호는 관련 법규와 규제에서 요구하는 바에 따르고 있음을 보장하여야 한다.</t>
  </si>
  <si>
    <r>
      <rPr>
        <rFont val="Malgun Gothic"/>
        <color rgb="FF000000"/>
        <sz val="11.0"/>
      </rPr>
      <t>5.34</t>
    </r>
    <r>
      <rPr>
        <rFont val="맑은 고딕"/>
        <color rgb="FF000000"/>
        <sz val="11.0"/>
      </rPr>
      <t>.1</t>
    </r>
  </si>
  <si>
    <t xml:space="preserve"> - 상시</t>
  </si>
  <si>
    <r>
      <rPr>
        <rFont val="Malgun Gothic"/>
        <color rgb="FF000000"/>
        <sz val="11.0"/>
      </rPr>
      <t>A.1</t>
    </r>
    <r>
      <rPr>
        <rFont val="맑은 고딕"/>
        <color rgb="FF000000"/>
        <sz val="11.0"/>
      </rPr>
      <t>8.2
정보보호 검토</t>
    </r>
  </si>
  <si>
    <t>A.18.2.1</t>
  </si>
  <si>
    <t>정보보호 독립적 검토</t>
  </si>
  <si>
    <t>정보보호와 그 구현(예: 정보보호에 대한 통제 목적, 통제, 정책, 프로세스, 절차)에 대한 조직의 접근방법은 계획된 주기 또는 중대한 변경이 발생한 시점에 독립적으로 검토하여야 한다.</t>
  </si>
  <si>
    <r>
      <rPr>
        <rFont val="Malgun Gothic"/>
        <color rgb="FF000000"/>
        <sz val="11.0"/>
      </rPr>
      <t>5.35</t>
    </r>
    <r>
      <rPr>
        <rFont val="맑은 고딕"/>
        <color rgb="FF000000"/>
        <sz val="11.0"/>
      </rPr>
      <t>.1</t>
    </r>
  </si>
  <si>
    <r>
      <rPr>
        <rFont val="Malgun Gothic"/>
        <color rgb="FF000000"/>
        <sz val="11.0"/>
      </rPr>
      <t xml:space="preserve">ㅇ 정보보호 위원회를 통해 전사 차원의 정보보호 관련 사항을 심의∙의결 논의하고 있음
 1. 정보보호 업무의 추진 목표 및 계획
 2. 정보보호 지침에 대한 제∙개정에 관한 사항
 3. 취약점 분석∙평가 결과 및 보완조치의 이행계획에 관한 사항
 4. 연간 정보보호 점검 및 교육 계획
 5. 상용 클라우드 서비스 사용에 따른 보안성검토 결과 및 보호대책 검토에 관한 사항
 6. 그 외 정보보호 최고책임자가 필요하다고 인정하는 사항 등
ㅇ 정보보호 실무협의회를 통해 정보보호 위원회의 심의∙의결사항에 대한 검토, 세부 이행방안 수립, 원활한 정보보호 활동을 위한 조정 등 정보보호 실무 업무를 논의하고 있음
 1. 전사 정보보호 연간 계획 검토
 2. 정보보호 지침 검토
 3. 신규 정보시스템 개발 및 도입 시 보안성검토
 4. 그 외 정보보호 관리자가 필요하다고 인정하는 사항 등
</t>
    </r>
    <r>
      <rPr>
        <rFont val="맑은 고딕"/>
        <color rgb="FF6600FF"/>
        <sz val="11.0"/>
      </rPr>
      <t xml:space="preserve">
ㅇ 23년 7월 스마트파킹(모플)의 보안성 검토에 대한 정보보호 위원회와 정보보호 실무협의회가 진행되었음</t>
    </r>
  </si>
  <si>
    <t>정보보호 위원회/실무협의회 심의 및 의결 기록 문서가 있습니까?</t>
  </si>
  <si>
    <t xml:space="preserve"> - 위원회/실무협의회가 필요한 안건이 발생하면 독립적으로 검토 활동을 수행함
 - 위원회/실무협의회가 필요한 안건이 발생하면 독립적으로 검토 활동을 수행함</t>
  </si>
  <si>
    <t xml:space="preserve"> - 정보보호 위원회/실무협의회 심의 및 의결 기록 문서</t>
  </si>
  <si>
    <t>경영혁신팀
법무팀</t>
  </si>
  <si>
    <t>A.18.2
정보보호 검토</t>
  </si>
  <si>
    <t>A.18.2.2</t>
  </si>
  <si>
    <t>보안 정책 및 표준 준수</t>
  </si>
  <si>
    <t>관리자는 자신의 책임 영역 내에서 적절한 보안 정책, 표준, 기타 보안 요구사항에 대한 정보 처리 및 절차의 준거성을 주기적으로 검토하여야 한다.</t>
  </si>
  <si>
    <r>
      <rPr>
        <rFont val="Malgun Gothic"/>
        <color rgb="FF000000"/>
        <sz val="11.0"/>
      </rPr>
      <t>5.36</t>
    </r>
    <r>
      <rPr>
        <rFont val="맑은 고딕"/>
        <color rgb="FF000000"/>
        <sz val="11.0"/>
      </rPr>
      <t>.1</t>
    </r>
  </si>
  <si>
    <t>ㅇ 정보보호 담당자는 회사의 정보보호 목표 수준을 설정하고,  정보보호 정책 준수 여부를 검토하기 위해 다음 방법을 활용하고 있음
 1. 정보보호 수준 평가: 회사의 종합적인 정보보호 수준 측정
 2. 수시 보안 점검: 개인정보 유출, 해킹사고 발생 등 사회적 보안 이슈 발생 가능성 점검
 3. 사무실 보안 점검: 사무실 등 업무 공간 내 업무자료의 방치 여부 점검
(정보보호 수준평가 23년 10월 이후 계획으로, 22년 증적이 최신자료)</t>
  </si>
  <si>
    <t>법무팀
경영혁신팀</t>
  </si>
  <si>
    <t>최신화된 정보보호 수준 평가, 수시 점검, 사무실 보안 점검 내역(계획서, 이력, 결과 보고서)을 제공받을 수 있습니까?</t>
  </si>
  <si>
    <t xml:space="preserve"> - 정보보호 수준 평가 내역(계획서, 이력, 결과 보고서)
 - 수시 보안 점검 내역(계획서, 이력, 결과 보고서)
 - 사무실 보안 점검 내역(계획서, 이력, 결과 보고서)</t>
  </si>
  <si>
    <t xml:space="preserve">경영혁신팀
법무팀
3. 보안월간운영현황
4. 월간 검토자료
5. 정보보호수준평가 년1회
</t>
  </si>
  <si>
    <t>A.18.2.3</t>
  </si>
  <si>
    <t>기술 준거성 검토</t>
  </si>
  <si>
    <t>조직의 정보보호 정책 및 표준에 대한 정보시스템의 준거성을 주기적으로 검토하여야 한다.</t>
  </si>
  <si>
    <r>
      <rPr>
        <rFont val="Malgun Gothic"/>
        <color rgb="FF000000"/>
        <sz val="11.0"/>
      </rPr>
      <t>5.36</t>
    </r>
    <r>
      <rPr>
        <rFont val="맑은 고딕"/>
        <color rgb="FF000000"/>
        <sz val="11.0"/>
      </rPr>
      <t>.2</t>
    </r>
  </si>
  <si>
    <t>최승우
(증빙예정)_230728
정보보호수준평가 증빙</t>
  </si>
  <si>
    <t>최신화된 취약점 진단 결과(계획서, 이력, 결과 보고서)를 제공받을 수 있습니까?</t>
  </si>
  <si>
    <t xml:space="preserve"> - 최신화된 취약점 진단 결과(계획서, 이력, 결과 보고서)</t>
  </si>
  <si>
    <t>ICT
정보보호수준평가
취약점 점검</t>
  </si>
  <si>
    <t>A.12.1.1</t>
  </si>
  <si>
    <r>
      <rPr>
        <rFont val="Malgun Gothic"/>
        <color rgb="FF000000"/>
        <sz val="11.0"/>
      </rPr>
      <t>5.37</t>
    </r>
    <r>
      <rPr>
        <rFont val="맑은 고딕"/>
        <color rgb="FF000000"/>
        <sz val="11.0"/>
      </rPr>
      <t>.1</t>
    </r>
  </si>
  <si>
    <t xml:space="preserve">기재되어 있던 표지에 대해서는 제가 만들었는데, 표지 추가적으로 제공해주시지 않아도 양호로 전환하여도 괜찮은지 궁금합니다.
ㅇ 정보보호 지침과 개인정보보호 업무처리 규정을 표준 지침으로 두고 있고, 세부적으로 관리가 필요한 내용에 대해서는 관련 지침을 따로 마련하여 모든 사용자가 접근할 수 있도록 업무지원포탈을 통해 게시 및 관리하고 있음
</t>
  </si>
  <si>
    <t>현재 파악된 정책/지침 및 매뉴얼 및 가이드는 아래와 같습니다. 이외 운영 절차와 관련된 문서가 있으면 제공해주실 수 있습니까?
 - 정보보호지침
 - 정보보호 관리 기준(제조화학)
 - 정보보호 양식 절차(제조화학)
 - 개인정보보호 업무처리 규정
 - 물리적보안관리절차서 
 - SW 보안 규칙 등</t>
  </si>
  <si>
    <t xml:space="preserve"> - 정책/지침 및 매뉴얼 및 가이드 표지</t>
  </si>
  <si>
    <r>
      <rPr>
        <rFont val="Malgun Gothic"/>
        <color rgb="FF000000"/>
        <sz val="11.0"/>
      </rPr>
      <t>A.</t>
    </r>
    <r>
      <rPr>
        <rFont val="맑은 고딕"/>
        <color rgb="FF000000"/>
        <sz val="11.0"/>
      </rPr>
      <t>7.1
고용 전</t>
    </r>
  </si>
  <si>
    <t>A.7.1.1</t>
  </si>
  <si>
    <t>적격심사</t>
  </si>
  <si>
    <t xml:space="preserve">고용할 모든 후보자에 대한 배경 검증은 관련 법률, 규정, 윤리를 준수해야 하며, 업무 요구사항과 접근할 정보의 등급 및 예상되는 위험에 따라 적절하게 수행하여야 한다. </t>
  </si>
  <si>
    <r>
      <rPr>
        <rFont val="Malgun Gothic"/>
        <color rgb="FF000000"/>
        <sz val="11.0"/>
      </rPr>
      <t>6.1</t>
    </r>
    <r>
      <rPr>
        <rFont val="맑은 고딕"/>
        <color rgb="FF000000"/>
        <sz val="11.0"/>
      </rPr>
      <t>.1</t>
    </r>
  </si>
  <si>
    <t>취업규칙과 입사 전 면담확인서, 인사관계서류 검증 내역(마스킹 가능)을 제공받을 수 있습니까?</t>
  </si>
  <si>
    <t xml:space="preserve"> - 제공받을 수 있습니다.</t>
  </si>
  <si>
    <t xml:space="preserve"> - 취업규칙
 - 인사관계서류 검증 내역</t>
  </si>
  <si>
    <t>비전</t>
  </si>
  <si>
    <r>
      <rPr>
        <rFont val="Malgun Gothic"/>
        <color rgb="FF000000"/>
        <sz val="11.0"/>
      </rPr>
      <t>6.1</t>
    </r>
    <r>
      <rPr>
        <rFont val="맑은 고딕"/>
        <color rgb="FF000000"/>
        <sz val="11.0"/>
      </rPr>
      <t>.2</t>
    </r>
  </si>
  <si>
    <t xml:space="preserve">정보보호 서약서 샘플을 보내주셨는데, '영업비밀 보호 및 경업금지 서약서' 로 지침의 서약서와는 다릅니다.
 &gt; 상급자 내부 검토 내용 요청
ㅇ 물리보안 담당자는 신규 채용인력에게 정보보호 지침 준수 및 비밀유지 내용이 명시된 임직원 정보보호서약서를 징구하고 있음
ㅇ 개인정보, 인사정보, 영업정보, 산업기술정보 등 취급 업무와 정보보호 관리체계 운영 업무 등의 직무를 수행하는 최소한의 임직원을 주요 직무자로 지정하도록 보안대책에 적합하게 수행하고 있음.
</t>
  </si>
  <si>
    <r>
      <rPr>
        <rFont val="Malgun Gothic"/>
        <color theme="1"/>
        <sz val="11.0"/>
      </rPr>
      <t xml:space="preserve">제 18 조  (정보보호 서약서 징구 및 보관)
제 20 조  (주요 직무자 지정 및 감독)
</t>
    </r>
    <r>
      <rPr>
        <rFont val="맑은 고딕"/>
        <color rgb="FF00B050"/>
        <sz val="11.0"/>
      </rPr>
      <t>[별첨 #1] 임직원 정보보호서약서
[별첨 #5] 협력업체 인원 정보보호서약서(투입 시)</t>
    </r>
    <r>
      <rPr>
        <rFont val="맑은 고딕"/>
        <color theme="1"/>
        <sz val="11.0"/>
      </rPr>
      <t xml:space="preserve">
</t>
    </r>
  </si>
  <si>
    <t>최신화된 정보보호서약서 징구 현황 및 작성된 샘플(마스킹 가능)과 주요 직무자 지정 내역(주요 직무자 현황 등)이 존재합니까?</t>
  </si>
  <si>
    <t xml:space="preserve"> - 존재합니다.</t>
  </si>
  <si>
    <t xml:space="preserve"> - 정보보호서약서 징구 현황
 - 주요직무자 현황</t>
  </si>
  <si>
    <t>A.7.1
고용 전</t>
  </si>
  <si>
    <t>A.7.1.2</t>
  </si>
  <si>
    <t>직원 및 계약직의 계약서에는 정보보호에 대한 개인과 조직의 책임을 명시하여야 한다.</t>
  </si>
  <si>
    <t xml:space="preserve">책임님 확인(20230710)
특약서 제공 받은 후 재작성
 &gt; 상급자 내부 검토 내용 요청 
ㅇ 임직원 신규 채용인력에게 정보보호 지침 준수 및 비밀유지 내용이 명시된 임직원 정보보호 서약서(영업비밀 보호 및 경업금지 서약서)를 징구하고 있음
ㅇ 협력업체 계약시 인원, 외부 용역 인원, 외주 계약 인원 등을 구별하여 제안 요청서를 작성하고, 투입 인력에 대한 정보보호서약서를 징구하도록 책임사항을 명문화하고 있음
</t>
  </si>
  <si>
    <t xml:space="preserve"> - 입사 시
 - 비전(HR)</t>
  </si>
  <si>
    <t xml:space="preserve"> - 설승현 대리
 - 비전(HR)</t>
  </si>
  <si>
    <t xml:space="preserve"> - 인사기획팀
 - 인사지원팀</t>
  </si>
  <si>
    <t>최신화된 취업규칙과 작성된 근로계약서, 서약서 샘플(마스킹 가능)을 제공받을 수 있습니까?</t>
  </si>
  <si>
    <t xml:space="preserve"> - 근로계약서 작성하고 있습니다
 - 증빙 첨부</t>
  </si>
  <si>
    <t xml:space="preserve"> - 취업규칙
 - 근로계약서 샘플
 - 임직원 정보보호서약서 샘플
 - 정보보호 특약서 샘플
 - 협력업체 인원 정보보호서약서 샘플</t>
  </si>
  <si>
    <t>A.7.2
고용 중</t>
  </si>
  <si>
    <t>A.7.2.2</t>
  </si>
  <si>
    <t>정보보안 인식, 교육 및 훈련</t>
  </si>
  <si>
    <t>조직의 모든 직원과 관련 계약직은 자신의 직무 기능에 연관된 조직의 정책과 절차에 대해 적절한 인식 교육 및 훈련과 정기적인 갱신 교육을 받아야 한다.</t>
  </si>
  <si>
    <r>
      <rPr>
        <rFont val="Malgun Gothic"/>
        <color rgb="FF000000"/>
        <sz val="11.0"/>
      </rPr>
      <t>6.3</t>
    </r>
    <r>
      <rPr>
        <rFont val="맑은 고딕"/>
        <color rgb="FF000000"/>
        <sz val="11.0"/>
      </rPr>
      <t>.1</t>
    </r>
  </si>
  <si>
    <t xml:space="preserve">ㅇ 교육 및 훈련을 교육의 대상, 내용, 기간 등에 따라 연 1회 이상 정기적으로 실시하도록 규정되어 있음
ㅇ 교육은 다음과 같은 사항을 포함하여 실시하도록 규정하고 있음
 1) 정보보호 지침 변경, 정보보호 유관 법률의 변경 및 처벌 내역
 2) 침해사고 대응 절차 및 사고사례
 3) 정보보호 규정 위반 시 상벌규정과 법적 책임
 4) 정보보호 점검 또는 감사 시 이슈 사항 등에 관한 내용
</t>
  </si>
  <si>
    <t>ㅇ 증적 확보 후 재작성
- 서약서랑, 특약서가 필요한 부분인지 검토해주시면 감사드리겠습니다.
ㅇ 교육 및 훈련을 교육의 대상, 내용, 기간 등에 따라 연 1회 이상 정기적으로 실시하도록 규정되어 있으며, 22년 6월, 23년 3월 교육을 진행하였음
ㅇ 23년 12월에 교육이 예정되어 있음
ㅇ 일반 직무에 대한 보안 교육과 전문 보안을 구분하여 교육하고 있음</t>
  </si>
  <si>
    <r>
      <rPr>
        <rFont val="Malgun Gothic"/>
        <color theme="1"/>
        <sz val="11.0"/>
      </rPr>
      <t xml:space="preserve">ㅇ 교육 및 훈련을 교육의 대상, 내용, 기간 등에 따라 연 1회 이상 정기적으로 실시하도록 규정되어 있으며, 22년 6월, 23년 3월 교육을 진행하였고, 23년 12월에 교육이 예정되어 있음
ㅇ 일반 직무에 대한 보안 교육과 전문 보안을 구분하여 교육하고 있음
ㅇ 외부인력 투입시 서약서 징구와 함께 약식 면담을 진행하여 보안사항을 교육하고 있음
</t>
    </r>
    <r>
      <rPr>
        <rFont val="맑은 고딕"/>
        <color rgb="FF00B050"/>
        <sz val="11.0"/>
      </rPr>
      <t>ㅇ 수탁사 관련된 관리 현황은 보완이 필요함</t>
    </r>
    <r>
      <rPr>
        <rFont val="맑은 고딕"/>
        <color theme="1"/>
        <sz val="11.0"/>
      </rPr>
      <t xml:space="preserve">
</t>
    </r>
  </si>
  <si>
    <r>
      <rPr>
        <rFont val="Malgun Gothic"/>
        <color theme="1"/>
        <sz val="11.0"/>
      </rPr>
      <t xml:space="preserve"> - 037 상반기 입사자 대상으로 개인정보보호 및 정보보호 교육결과 보고
 - 036 22년 교육확인서_개인정보보호 및 정보보호 교육(상반기 입사자)
 - 039. 22상_한화테크윈_이메일 모의훈련결과(ICT)_ 요약
 - 039. KISA 22년상반기 이메일 모의훈련 결과_220613(요약)
 - 040. 상반기 해킹 메일 대응 연습 결과 공지
</t>
    </r>
    <r>
      <rPr>
        <rFont val="맑은 고딕"/>
        <color theme="1"/>
        <sz val="11.0"/>
      </rPr>
      <t xml:space="preserve"> - 6.3.1_22.06월 교육 결과 증빙
 - 6.3.1_23.03월 교육 결과 증빙
 - 6.3.1_23년 하반기 개인정보보호 교육 계획 보고
 - 6.3.1_23년 하반기 개인정보보호 활동 계획 자료
 - 033 교육확인증(PIS FAIR 2022)</t>
    </r>
  </si>
  <si>
    <t xml:space="preserve"> - 매년</t>
  </si>
  <si>
    <t>임직원 및 외부인력에 대해서 정기적으로 실시하는 교육 및 훈련 계획서와 증적을 제공받을 수 있습니까?</t>
  </si>
  <si>
    <t>- 개인정보 : 22년 6월/23년 3월에 교육 진행하였으며, 23년도 12월에 교육 예정되어 있음 &gt; 23년도 12월 교육 예정에 대한 책임자 보고 증빙/ 이전 교육 증빙(출석부) 제공 예정</t>
  </si>
  <si>
    <t xml:space="preserve"> - 교육계획서 및 교육에 관한 증적
 - 정보보안교육계획서(품의서 포함)
 - 임직원 정보보호서약서 샘플
 - 정보보호 특약서 샘플
 - 협력업체 인원 정보보호서약서 샘플</t>
  </si>
  <si>
    <t xml:space="preserve"> - 협력업체(수탁사) 정기 교육 관련(비전)
 - 내부 임직원 교육 증적(비전)
 - 교육 대상 : 비전 내부 임직원, 협력업체
</t>
  </si>
  <si>
    <t>장기</t>
  </si>
  <si>
    <t>수탁사</t>
  </si>
  <si>
    <t>ㅇ 교육 및 훈련을 교육의 대상, 내용, 기간 등에 따라 연 1회 이상 정기적으로 실시하도록 규정되어 있으며, 정보보호 담당자는 정보보호 교육 실시 후 교육 결과를 보고하고 있음
 - 정보보호 교육의 효과성 측정 결과를 차년도 교육 프로그램에 반영하도록 교육 계획을 수립하고 있음(확인필요)</t>
  </si>
  <si>
    <r>
      <rPr>
        <rFont val="Malgun Gothic"/>
        <color rgb="FF6600FF"/>
        <sz val="11.0"/>
      </rPr>
      <t xml:space="preserve">ㅇ 증적 확보 후 재작성
ㅇ 교육 및 훈련을 교육의 대상, 내용, 기간 등에 따라 연 1회 이상 정기적으로 실시하도록 규정되어 있으며, 22년 6월, 23년 3월 교육을 진행하였음
ㅇ 23년 12월에 교육이 예정되어 있음
</t>
    </r>
    <r>
      <rPr>
        <rFont val="맑은 고딕"/>
        <color rgb="FFC55A11"/>
        <sz val="11.0"/>
      </rPr>
      <t xml:space="preserve"> - 교육 계획 수립에 효과성 검토 측정 결과가 반영되었는지 확인 필요</t>
    </r>
    <r>
      <rPr>
        <rFont val="맑은 고딕"/>
        <color rgb="FF6600FF"/>
        <sz val="11.0"/>
      </rPr>
      <t xml:space="preserve">
ㅇ 일반 직무에 대한 보안 교육과 전문 보안을 구분하여 교육하고 있음
</t>
    </r>
  </si>
  <si>
    <r>
      <rPr>
        <rFont val="Malgun Gothic"/>
        <color theme="1"/>
        <sz val="11.0"/>
      </rPr>
      <t>ㅇ 교육 및 훈련을 교육의 대상, 내용, 기간 등에 따라 연 1회 이상 정기적으로 실시하도록 규정되어 있으며, 22년 6월, 23년 3월 교육을 진행하였음
ㅇ 일반 직무에 대한 보안 교육과 전문 보안을 구분하여 교육하고 있음
ㅇ</t>
    </r>
    <r>
      <rPr>
        <rFont val="맑은 고딕"/>
        <color rgb="FF00B050"/>
        <sz val="11.0"/>
      </rPr>
      <t xml:space="preserve"> 교육만족도 조사에 대한 사항은 보완이 필요함</t>
    </r>
  </si>
  <si>
    <t xml:space="preserve"> - 6.3.1_22.06월 교육 결과 증빙
 - 6.3.1_23.03월 교육 결과 증빙
 - 6.3.1_23년 하반기 개인정보보호 교육 계획 보고
 - 6.3.1_23년 하반기 개인정보보호 활동 계획 자료
 - 033 교육확인증(PIS FAIR 2022)</t>
  </si>
  <si>
    <t>임직원 및 외부인력에 대해서 정기적으로 실시하는 교육 및 훈련 계획서와 증적(이전 교육자료 평가 결과가 차기 교육에 반영된 내용 포함)을 제공받을 수 있습니까?</t>
  </si>
  <si>
    <t>- 개인정보 : 작년도 교육 결과 보고 자료 확인 예정</t>
  </si>
  <si>
    <t xml:space="preserve"> - 교육계획서 및 교육에 관한 증적(교육 대상 구분 실시 내용 포함) 
 - 정보보안교육계획서(품의서 포함)
</t>
  </si>
  <si>
    <t xml:space="preserve">- 교육 만족도 조사 내역 및 교육결과 보고 내역
</t>
  </si>
  <si>
    <r>
      <rPr>
        <rFont val="Malgun Gothic"/>
        <color rgb="FF000000"/>
        <sz val="11.0"/>
      </rPr>
      <t>만족도 등</t>
    </r>
    <r>
      <rPr>
        <rFont val="맑은 고딕"/>
        <color rgb="FF000000"/>
        <sz val="11.0"/>
      </rPr>
      <t xml:space="preserve"> 효과성 검토 지표</t>
    </r>
  </si>
  <si>
    <t>ㅇ 임원진 및 외부 인력을 교육에 포함하도록 정책이 수립되어 있으며, 교육 및 훈련이 실행되고 있음
 - 해킹(메일) 대응 모의 훈련을 실시하고 있음
 - DDOS, APT 대응 훈련 등(확인필요)</t>
  </si>
  <si>
    <t>ㅇ 증적 확보 후 재작성</t>
  </si>
  <si>
    <r>
      <rPr>
        <rFont val="맑은 고딕"/>
        <color theme="1"/>
        <sz val="11.0"/>
      </rPr>
      <t xml:space="preserve">ㅇ 임원진 및 외부 인력을 교육에 포함하도록 정책이 수립되어 있으며, 교육 및 훈련이 실행되고 있음
 - 해킹(메일) 대응 모의 훈련을 실시하고 있음
</t>
    </r>
    <r>
      <rPr>
        <rFont val="맑은 고딕"/>
        <color rgb="FF00B050"/>
        <sz val="11.0"/>
      </rPr>
      <t xml:space="preserve"> - DDOS, APT 대응 훈련 등</t>
    </r>
    <r>
      <rPr>
        <rFont val="맑은 고딕"/>
        <color theme="1"/>
        <sz val="11.0"/>
      </rPr>
      <t xml:space="preserve">
</t>
    </r>
  </si>
  <si>
    <t xml:space="preserve"> - 039. 22상_한화테크윈_이메일 모의훈련결과(ICT)_ 요약
 - 039. KISA 22년상반기 이메일 모의훈련 결과_220613(요약)
 - 040. 상반기 해킹 메일 대응 연습 결과 공지
 - 23년 메일 훈련 위반 임직원 리스트
 - 23년도_상반기_해킹메일 훈련결과보고서_한화비전</t>
  </si>
  <si>
    <t>최신화된 해킹(메일) 대응 모의훈련과 DDOS, APT 관련 훈련 내역을 제공받을 수 있습니까?</t>
  </si>
  <si>
    <t xml:space="preserve"> - 23년 해킹(메일) 대응 모의 훈련 계획 및 결과
 - 23년 DDOS 대응 모의 훈련 계획 및 결과
 - 23년 APT 공격 대응 모의 훈련 계획 및 결과</t>
  </si>
  <si>
    <t>ICT(보안운영팀)</t>
  </si>
  <si>
    <t xml:space="preserve"> - DDOS(서비스거부), APT(개인정보노출) 대응 훈련 등</t>
  </si>
  <si>
    <t>ㅇ 교육에 관한 정책이 절차 및 역할 등이 수립되어 있으며, 교육 및 훈련이 실행되고 있음
 - 정기교육 외 절차 및 역할의 변경에 의한 교육 내역 확인이 어려움
 - 정보보호 점검 이후 보안 위반자에 대한 교육을 하는 내용은 확인됨</t>
  </si>
  <si>
    <r>
      <rPr>
        <rFont val="Malgun Gothic"/>
        <color theme="1"/>
        <sz val="11.0"/>
      </rPr>
      <t>ㅇ 교육에 관한 정책이 절차 및 역할 등이 수립되어 있으며, 교육 및 훈련이 실행되고 있으</t>
    </r>
    <r>
      <rPr>
        <rFont val="맑은 고딕"/>
        <color theme="1"/>
        <sz val="11.0"/>
      </rPr>
      <t>나 정기교육 외 절차 및 역할의 변경에 의한 교육 또는 변경에 관하여 공지 또는 임직원에게 안내하는 내용에는 보완이 필요함</t>
    </r>
  </si>
  <si>
    <t xml:space="preserve"> - 23_0621_SaaS 랜섬웨어 피해 사례 공유 게시판 내역
 - 23_0621_SaaS 랜섬웨어 피해 사례 공유
</t>
  </si>
  <si>
    <t>법무팀</t>
  </si>
  <si>
    <t>임직원 및 외부인력에 대해서 수시로 실시하는 교육 및 훈련 계획서와 증적(수시 교육 내용, 보안위반자 대상 수시교육 내용 등 포함)을 제공받을 수 있습니까?</t>
  </si>
  <si>
    <t xml:space="preserve"> - 교육계획서 및 교육에 관한 증적(수시 교육 내용 포함)
 - 보안위반자 대상 수시교육 내역</t>
  </si>
  <si>
    <t xml:space="preserve"> - 사내 게시판 공지 내역 등 임직원 안내 했던 증적 필요</t>
  </si>
  <si>
    <t>위반자 교육</t>
  </si>
  <si>
    <t>A.7.2.3</t>
  </si>
  <si>
    <t>징계 처분</t>
  </si>
  <si>
    <t>정보보호를 위반한 직원에 대한 조치를 취하도록 공식적인 징계 프로세스를 수립하여 배포하여야 한다.</t>
  </si>
  <si>
    <r>
      <rPr>
        <rFont val="Malgun Gothic"/>
        <color rgb="FF000000"/>
        <sz val="11.0"/>
      </rPr>
      <t>6.4</t>
    </r>
    <r>
      <rPr>
        <rFont val="맑은 고딕"/>
        <color rgb="FF000000"/>
        <sz val="11.0"/>
      </rPr>
      <t>.1</t>
    </r>
  </si>
  <si>
    <t xml:space="preserve"> - 상시
</t>
  </si>
  <si>
    <t>징계위원회 회부 내역(마스킹 가능)및 조치 결과 보고서를 제공받을 수 있습니까?
제66조 사고징계처리 처리기준에 따라 징계처리 시 처벌 수위 기준 자료를 제공받을 수 있습니까?</t>
  </si>
  <si>
    <t>- 정보보호 정책 위반으로 징계위원회 회부내역 없음(발생건수 0건). 징계 양정규정 첨부</t>
  </si>
  <si>
    <t xml:space="preserve"> - 징계위원회 회부 내역 및 조치 결과 보고서
 - 처벌 수위 기준 자료</t>
  </si>
  <si>
    <r>
      <rPr>
        <rFont val="Malgun Gothic"/>
        <color rgb="FF000000"/>
        <sz val="11.0"/>
      </rPr>
      <t>A.</t>
    </r>
    <r>
      <rPr>
        <rFont val="맑은 고딕"/>
        <color rgb="FF000000"/>
        <sz val="11.0"/>
      </rPr>
      <t>7.3
고용 종료 혹은 변경</t>
    </r>
  </si>
  <si>
    <t>A.7.3.1</t>
  </si>
  <si>
    <t>고용 책임의 종료 또는 변경</t>
  </si>
  <si>
    <t>고용이 종료되거나 직무가 변경된 이후에도 효력이 유지되어야 하는 정보보호의 책임과 의무를 정의하고 직원 또는 계약직에게 통지하여 시행하도록 하여야 한다.</t>
  </si>
  <si>
    <r>
      <rPr>
        <rFont val="Malgun Gothic"/>
        <color rgb="FF000000"/>
        <sz val="11.0"/>
      </rPr>
      <t>6.5</t>
    </r>
    <r>
      <rPr>
        <rFont val="맑은 고딕"/>
        <color rgb="FF000000"/>
        <sz val="11.0"/>
      </rPr>
      <t>.1</t>
    </r>
  </si>
  <si>
    <t>A.13.2
정보 전송</t>
  </si>
  <si>
    <t>A.13.2.4</t>
  </si>
  <si>
    <t>기밀유지 협약</t>
  </si>
  <si>
    <t>정보보호에 대한 조직의 요구를 반영한 기밀유지협약 및 비밀유지서약 요구사항을 식별하고 주기적으로 검토 및 문서화하여야 한다.</t>
  </si>
  <si>
    <r>
      <rPr>
        <rFont val="Malgun Gothic"/>
        <color rgb="FF000000"/>
        <sz val="11.0"/>
      </rPr>
      <t>6.6</t>
    </r>
    <r>
      <rPr>
        <rFont val="맑은 고딕"/>
        <color rgb="FF000000"/>
        <sz val="11.0"/>
      </rPr>
      <t>.1</t>
    </r>
  </si>
  <si>
    <r>
      <rPr>
        <rFont val="Malgun Gothic"/>
        <color theme="1"/>
        <sz val="11.0"/>
      </rPr>
      <t xml:space="preserve"> - 024. 퇴직 시 모니터링 시행 내역
 - 027. 퇴사자 서클계정 삭제 내역 및 공람 문서
 - 퇴직자 점검 관련_한화비전
</t>
    </r>
    <r>
      <rPr>
        <rFont val="맑은 고딕"/>
        <color theme="1"/>
        <sz val="11.0"/>
      </rPr>
      <t xml:space="preserve"> - 정보보호 서약서_샘플1 ~ 3
 - 퇴직공람 샘플</t>
    </r>
  </si>
  <si>
    <t>작성된 유형별 정보보호서약서(마스킹 가능)와 특약서(마스킹 가능)를 제공받을 수 있습니까?
최신화된 퇴직자 및 협력업체 사업 종료시 점검 내역을 제공받을 수 있습니까?</t>
  </si>
  <si>
    <t>퇴직자 정보보호 서약서 징구 및 퇴직공람 관련 샘플 첨부</t>
  </si>
  <si>
    <t xml:space="preserve"> - 정보보호 서약서 징구 현황(채용, 사업 시작, 퇴직, 사업종료, 변경시 포함)
 - 퇴직자 점검 내역
 - 협력업체 사업 종료 시 점검 내역</t>
  </si>
  <si>
    <t>A.6.2 
모바일 기기 및 원격근무</t>
  </si>
  <si>
    <t>A.6.2.2</t>
  </si>
  <si>
    <t>원격근무</t>
  </si>
  <si>
    <t xml:space="preserve">원격 근무지에서 접근, 처리, 저장하는 정보를 보호하기 위하여 정책을 수립하고 이를 지원하는 보안 대책을 구현하여야 한다. </t>
  </si>
  <si>
    <r>
      <rPr>
        <rFont val="Malgun Gothic"/>
        <color rgb="FF000000"/>
        <sz val="11.0"/>
      </rPr>
      <t>6.7</t>
    </r>
    <r>
      <rPr>
        <rFont val="맑은 고딕"/>
        <color rgb="FF000000"/>
        <sz val="11.0"/>
      </rPr>
      <t>.1</t>
    </r>
  </si>
  <si>
    <r>
      <rPr>
        <rFont val="Malgun Gothic"/>
        <color rgb="FF000000"/>
        <sz val="11.0"/>
      </rPr>
      <t xml:space="preserve">ㅇ 회사는 외부 인터넷에서 내부망 접속이 필요한 경우 가상사설망(VPN) 또는 가상화시스템(VDI)을 활용하고 보호대책을 마련하고 있음
 1. 정보보호 담당자 승인
 2. 계정 및 패스워드 외 OTP 등 추가적인 인증 수단 적용
 3. 계정 사용 기간은 90일 이하로 제한하며 추가 사용 시 연장 신청
 4. 정보시스템 운영 부서는 모든 계정은 사용 이력 추적이 가능하도록 고정 IP주소 부여
 5. 모든 사용자는 접근 가능한 최소한의 업무시스템 지정
 6. 인터넷 접속 차단 
 7. 일정시간(최대 30분 이상) 미사용시 세션 종료 정책 적용
 8. 접속기록 및 계정발급 현황 등 분기 1회 이상 점검하고 불필요한 계정 삭제 및 권한 회수 등
 9. 1개월 이상 미 사용 시 계정 비활성화
</t>
    </r>
    <r>
      <rPr>
        <rFont val="맑은 고딕"/>
        <color rgb="FF6600FF"/>
        <sz val="11.0"/>
      </rPr>
      <t>ㅇ 매달 VDI 사용과 관련하여 정책ID, Action, 출발지, 목적지, 통신포트, 만료일에 대해서 현황을 관리하고 있으며, 방화벽으로 추가 보호대책을 구현하고 있음
최승우과장님</t>
    </r>
  </si>
  <si>
    <r>
      <rPr>
        <rFont val="Malgun Gothic"/>
        <color theme="1"/>
        <sz val="11.0"/>
      </rPr>
      <t xml:space="preserve"> - 방화벽,VPN 장비_관리자 ACL
 - SSLVPN 관리자 계정 현황
</t>
    </r>
    <r>
      <rPr>
        <rFont val="맑은 고딕"/>
        <color rgb="FF00B050"/>
        <sz val="11.0"/>
      </rPr>
      <t xml:space="preserve"> - 205. SSLVPN 필수SW 정책 적용(NAC)(양식)</t>
    </r>
    <r>
      <rPr>
        <rFont val="맑은 고딕"/>
        <color theme="1"/>
        <sz val="11.0"/>
      </rPr>
      <t xml:space="preserve">
 - 208. SSLVPN 추가인증적용
 - 197. SSLVPN 화면
 - 205. VDI 신청 시 MAC 등록
 - 202. VDI 화면
 - 원격 근무 관리 현황_한화비전
 - 한화비전_2023_05 ISS보고서
 - 한화비전_보안월간보고_2023년5월
 - 비전_방화벽 현황_20230703
 - 비전_VDI 원격접속 현황_20230703
</t>
    </r>
    <r>
      <rPr>
        <rFont val="맑은 고딕"/>
        <color rgb="FF00B050"/>
        <sz val="11.0"/>
      </rPr>
      <t xml:space="preserve"> - 해외임직원VPN신청서(원격근무)(양식)
 - 방화벽 등록 신청서(양식)</t>
    </r>
  </si>
  <si>
    <t xml:space="preserve"> - 네트워크?
 - (NW)</t>
  </si>
  <si>
    <t>최신화된 원격 근무 관리 현황을 제공받을 수 있습니까?</t>
  </si>
  <si>
    <t xml:space="preserve"> - 
 - (NW)</t>
  </si>
  <si>
    <t xml:space="preserve"> - 23년 원격 근무 관리 현황_한화비전</t>
  </si>
  <si>
    <t>1. VDI 사용자 현황
2. VPN 사용자 리스트
3. 매달~~~~</t>
  </si>
  <si>
    <t>A.16.1.2</t>
  </si>
  <si>
    <t>적절한 관리 채널을 통해 가능한 신속하게 정보보호 이벤트를 보고하여야 한다.</t>
  </si>
  <si>
    <r>
      <rPr>
        <rFont val="Malgun Gothic"/>
        <color rgb="FF000000"/>
        <sz val="11.0"/>
      </rPr>
      <t>6.8</t>
    </r>
    <r>
      <rPr>
        <rFont val="맑은 고딕"/>
        <color rgb="FF000000"/>
        <sz val="11.0"/>
      </rPr>
      <t>.1</t>
    </r>
  </si>
  <si>
    <t>책임님 확인(20230710)
이제 증적 찾아서 만드는 단계 아니라고 하심</t>
  </si>
  <si>
    <t xml:space="preserve">경영혁신팀
</t>
  </si>
  <si>
    <t>최신화된 ISS 보고서를 제공받을 수 있습니까?</t>
  </si>
  <si>
    <t xml:space="preserve"> - 침해사고 신고절차 공지내역</t>
  </si>
  <si>
    <t>ICT(보안운영팀)
1. 보안월간운영현황
2. ISS 보고서
 - 외부데이터전송
- 악성코드 탐지
- 이상징후탐지</t>
  </si>
  <si>
    <t>A.16.1.3</t>
  </si>
  <si>
    <t>정보보호 약점 보고</t>
  </si>
  <si>
    <t>조직의 정보시스템과 서비스를 사용하는 직원 및 계약자는 시스템 또는 서비스에서 정보보호 약점을 발견하거나 의심되는 경우에 주의 깊게 살펴서 보고하여야 한다.</t>
  </si>
  <si>
    <r>
      <rPr>
        <rFont val="Malgun Gothic"/>
        <color rgb="FF000000"/>
        <sz val="11.0"/>
      </rPr>
      <t>6.8</t>
    </r>
    <r>
      <rPr>
        <rFont val="맑은 고딕"/>
        <color rgb="FF000000"/>
        <sz val="11.0"/>
      </rPr>
      <t>.2</t>
    </r>
  </si>
  <si>
    <t>ㅇ 정보보호 담당자는 양식 절차를 따라 연 2회 이상 취약점 점검과 홈페이지를 포함한 모든 웹 서비스를 대상으로 연 2회 모의해킹을 수행해야 하고 도출된 취약점에 대한 지속적인 개선활동을 수행하도록 보고 절차가 존재함
ㅇ 내부망 및 상용 클라우드에서 운영하는 모든 정보시스템을 대상으로 정보보호 양식 절차에 따라 연 2회 이상 취약점 진단을 수행해야 하며, 긴급 진단이 필요한 경우 추가적으로 수행하도록 하였음
( 방지대책 및 권고 내역에 대한 내용은 없어서 추가 증적 확보를 해야되는 부분인지 궁금합니다. )</t>
  </si>
  <si>
    <t>최신화된 23년 취약점 진단 결과(계획서, 결과보고서, 보고 내역, 방지 대책 조치 권고 내역)를 제공받을 수 있습니까?</t>
  </si>
  <si>
    <t xml:space="preserve"> - 23년 취약점 진단 결과(계획서, 결과보고서, 보고 내역, 방지 대책 조치 권고 내역)</t>
  </si>
  <si>
    <t>1. 매직라인
~~~~~
2. S/W 삭제</t>
  </si>
  <si>
    <r>
      <rPr>
        <rFont val="Malgun Gothic"/>
        <color rgb="FF000000"/>
        <sz val="11.0"/>
      </rPr>
      <t>A.</t>
    </r>
    <r>
      <rPr>
        <rFont val="맑은 고딕"/>
        <color rgb="FF000000"/>
        <sz val="11.0"/>
      </rPr>
      <t>11.1
보안구역</t>
    </r>
  </si>
  <si>
    <t>A.11.1.1</t>
  </si>
  <si>
    <t>물리적 보안 경계</t>
  </si>
  <si>
    <t>기밀 또는 중요 정보와 정보처리 시설을 포함한 구역을 보호하기 위하여 보안 경계를 정의하고 이용하여야 한다.</t>
  </si>
  <si>
    <r>
      <rPr>
        <rFont val="Malgun Gothic"/>
        <color rgb="FF000000"/>
        <sz val="11.0"/>
      </rPr>
      <t>7.1</t>
    </r>
    <r>
      <rPr>
        <rFont val="맑은 고딕"/>
        <color rgb="FF000000"/>
        <sz val="11.0"/>
      </rPr>
      <t>.1</t>
    </r>
  </si>
  <si>
    <t>책임님 확인(20230710)
추가증적확보(20230713) - 비전 통제구역
구역별 출입통제 사진 전부 확보 후 재작성</t>
  </si>
  <si>
    <t>인증범위(그룹웨어, ERP, SCM, MES, HR, HPLM, OPS, BSP) 내 정보시스템 자산은 한화비전과 한화시스템ICT 중 어느 곳에서 관리하고 있습니까?
제한구역과 통제구역은 출입통제 장치 설치가 카드키 또는 지문인식 등 어떤 방식으로 설치되어 있습니까?</t>
  </si>
  <si>
    <t xml:space="preserve"> - ICT 제한구역 출입통제장치 사진
 - ICT 통제구역 출입통제장치 사진
 - 한화비전 제한구역 출입통제장치 사진
 - 한화비전 통제구역 출입통제장치 사진</t>
  </si>
  <si>
    <r>
      <rPr>
        <rFont val="Malgun Gothic"/>
        <color rgb="FF000000"/>
        <sz val="11.0"/>
      </rPr>
      <t>7.1</t>
    </r>
    <r>
      <rPr>
        <rFont val="맑은 고딕"/>
        <color rgb="FF000000"/>
        <sz val="11.0"/>
      </rPr>
      <t>.2</t>
    </r>
  </si>
  <si>
    <t xml:space="preserve">책임님 확인(20230710)
추가 증적 확보(20230713)
(한화비전)
ㅇ 전산실 외부에서 카드키를 이용하여 내부 출입이 가능하며, 내부의 경우 제한구역과 통제구역을 따로 두어 관리자 현황표와 통제구역 표시를 하고 있음
 - 통제구역 출입대장과 보안서약서 작성으로 서버실 출입통제
 - 휴대폰 제출함으로 내부 촬영 통제
 - 전산기계실은 방산시설 보호조치구역이기도 하여, 관리대상자 리스트를 통해 외부인 출입통제
※ 한화시스템ICT는 ISO27000, ISO27001, ISO27017 인증을 받아, 통제항목을 준수하고 있음
</t>
  </si>
  <si>
    <t>중요정보 처리 장비 및 설비에 관리담당자 표시가 되어있는 사진과 6월 28일 통제실 실사 시 촬영한 사진을 제공받을 수 있습니까?</t>
  </si>
  <si>
    <t xml:space="preserve"> - 관리담당자 정 부 표시 사진 등
 - 6월 28일 통제실 실사 시 촬영한 사진</t>
  </si>
  <si>
    <t>A.11.1
보안구역</t>
  </si>
  <si>
    <t>A.11.1.2</t>
  </si>
  <si>
    <t>물리적 출입 통제</t>
  </si>
  <si>
    <t xml:space="preserve">보안 구역은 인가된 인력만 접근이 허용됨을 보장하기 위하여 적절한 출입 통제로 보호하여야 한다. </t>
  </si>
  <si>
    <r>
      <rPr>
        <rFont val="Malgun Gothic"/>
        <color rgb="FF000000"/>
        <sz val="11.0"/>
      </rPr>
      <t>7.2</t>
    </r>
    <r>
      <rPr>
        <rFont val="맑은 고딕"/>
        <color rgb="FF000000"/>
        <sz val="11.0"/>
      </rPr>
      <t>.1</t>
    </r>
  </si>
  <si>
    <r>
      <rPr>
        <rFont val="Malgun Gothic"/>
        <color rgb="FF000000"/>
        <sz val="11.0"/>
      </rPr>
      <t>7.2</t>
    </r>
    <r>
      <rPr>
        <rFont val="맑은 고딕"/>
        <color rgb="FF000000"/>
        <sz val="11.0"/>
      </rPr>
      <t>.2</t>
    </r>
  </si>
  <si>
    <r>
      <rPr>
        <rFont val="Malgun Gothic"/>
        <color theme="1"/>
        <sz val="11.0"/>
      </rPr>
      <t>(한화비전)
ㅇ</t>
    </r>
    <r>
      <rPr>
        <rFont val="맑은 고딕"/>
        <color theme="1"/>
        <sz val="11.0"/>
      </rPr>
      <t xml:space="preserve"> 회사는 사원증, 지문, 방문증(VISTOR 용) 등을 통해 출입 권한을 생성하고 외부인의 통제 및 구분 식별하고 있음.
ㅇ 출입증은 임직원 용과 고정 출입을 하는 방문자 용으로 구분하고 있음.
 1. 협력업체 인원이 고정적으로 상주할 경우 '출입증발급신청서', '정보보호 서약서'등의 서류를 징구 후 임시 출입증 발급
 2. 임시 출입증의 발급은 부서 정보보호 책임자 승인
 3. 출입증의 발급 및 회수 현황을 출입통제 시스템 등에 기록하여 관리
※ 한화시스템ICT는 ISO27000, ISO27001, ISO27017 인증을 받아, 통제항목을 준수하고 있음
</t>
    </r>
  </si>
  <si>
    <t xml:space="preserve">책임님 확인(20230710)
추가 증적 확보(20230713)
(한화비전)
ㅇ 회사는 사원증, 지문, 방문증(VISTOR 용) 등을 통해 출입 권한을 생성하고 외부인의 통제 및 구분 식별하고 있고, 방문자 신청과 협력사 출입신청이 있어야 출입이 가능하도록 관리되고 있음
ㅇ 출입증은 임직원 용과 고정 출입을 하는 방문자 용으로 구분하고 있음.
 1. 협력업체 인원이 고정적으로 상주할 경우 '출입증발급신청서', '정보보호 서약서'등의 서류를 징구 후 임시 출입증 발급
 2. 임시 출입증의 발급은 부서 정보보호 책임자 승인
 3. 출입증의 발급 및 회수 현황을 출입통제 시스템 등에 기록하여 관리
※ 한화시스템ICT는 ISO27000, ISO27001, ISO27017 인증을 받아, 통제항목을 준수하고 있음
</t>
  </si>
  <si>
    <r>
      <rPr>
        <rFont val="맑은 고딕"/>
        <color theme="1"/>
        <sz val="11.0"/>
      </rPr>
      <t xml:space="preserve"> - 071. 서버실_지문인식
 - 한화시스템(ISO27001) - IS 707803
 - 한화시스템(ISO20000) - ITMS 707805
 - 한화시스템(ISO27017) - CLOUD 707804</t>
    </r>
    <r>
      <rPr>
        <rFont val="맑은 고딕"/>
        <color rgb="FF00B050"/>
        <sz val="11.0"/>
      </rPr>
      <t xml:space="preserve">
 - 방문자신청(양식)
 - 협력사 출입신청(양식)</t>
    </r>
  </si>
  <si>
    <t>요청 완료</t>
  </si>
  <si>
    <t xml:space="preserve"> - (인프라)</t>
  </si>
  <si>
    <t>기획?</t>
  </si>
  <si>
    <t>전산 및 실물로 보관되고 있는 출입증 발급 현황 및 출입 내역을 제공받을 수 있습니까?</t>
  </si>
  <si>
    <t xml:space="preserve"> - 출입 관리 대장
 - 출입증 발급 현황</t>
  </si>
  <si>
    <r>
      <rPr>
        <rFont val="Malgun Gothic"/>
        <color rgb="FF000000"/>
        <sz val="11.0"/>
      </rPr>
      <t>7.2</t>
    </r>
    <r>
      <rPr>
        <rFont val="맑은 고딕"/>
        <color rgb="FF000000"/>
        <sz val="11.0"/>
      </rPr>
      <t>.3</t>
    </r>
  </si>
  <si>
    <t>p</t>
  </si>
  <si>
    <t>(한화비전)
ㅇ 물리보안 담당자는 다음 사항에 관하여 출입증 발급 현황 및 출입 권한의 적정성을 분기 1회 이상 검토하고 이상 발급 및 불필요 권한 발견 시 출입권한을 회수하는 등의 조치를 취하도록 규정되어 있음
 1. 업무 목적에 적합한 출입권한 부여
 2. 절차에 부합하는 출입권한 부여
 3. 퇴직자 또는 직무변경자의 출입권한 삭제, 조정 및 출입증 회수 등
 -  단, 회사의 입주 공간이 단일층인 경우 반기 1회 이상 점검함
※ 한화시스템ICT는 ISO27000, ISO27001, ISO27017 인증을 받아, 통제항목을 준수하고 있음</t>
  </si>
  <si>
    <t>책임님 확인(20230710)
ㅇ 출입관리 대장 확보 후 재작성</t>
  </si>
  <si>
    <r>
      <rPr>
        <rFont val="Malgun Gothic"/>
        <color theme="1"/>
        <sz val="11.0"/>
      </rPr>
      <t xml:space="preserve">(한화비전)
ㅇ 보호구역은 출입증 신청을 하여 출입증을 통해서만 출입이 가능하여 </t>
    </r>
    <r>
      <rPr>
        <rFont val="맑은 고딕"/>
        <color rgb="FF00B050"/>
        <sz val="11.0"/>
      </rPr>
      <t>출입관리현황을 정기적으로 검토</t>
    </r>
    <r>
      <rPr>
        <rFont val="맑은 고딕"/>
        <color theme="1"/>
        <sz val="11.0"/>
      </rPr>
      <t xml:space="preserve">하고 있으며, 출입권한에 관하여 임직원 퇴사 등에 관하여 모니터링하고 있으며 사원증을 반납하고 있음
※ 한화시스템ICT는 ISO27000, ISO27001, ISO27017 인증을 받아, 통제항목을 준수하고 있음
</t>
    </r>
  </si>
  <si>
    <t xml:space="preserve"> - 한화시스템(ISO27001) - IS 707803
 - 한화시스템(ISO20000) - ITMS 707805
 - 한화시스템(ISO27017) - CLOUD 707804
 - 퇴직공람 샘플</t>
  </si>
  <si>
    <t>전산 및 실물로 보관되고 있는 출입증 발급 현황 및 출입 권한의 적정성 검토 및 조치 결과 제공받을 수 있습니까?</t>
  </si>
  <si>
    <t xml:space="preserve"> - 출입 관리 대장
 - 출입 권한 검토 및 조치 결과</t>
  </si>
  <si>
    <t>A.11.1.6</t>
  </si>
  <si>
    <t>배송 및 하역 구역</t>
  </si>
  <si>
    <t>배송 및 하역 구역과 같이 비인가자가 구내로 들어올수 있는 접근 장소는 통제하여야 하며, 비인가 접근을 피하기 위하여 정보처리 시설에서 가능한 고립시켜야 한다.</t>
  </si>
  <si>
    <r>
      <rPr>
        <rFont val="Malgun Gothic"/>
        <color rgb="FF000000"/>
        <sz val="11.0"/>
      </rPr>
      <t>7.2</t>
    </r>
    <r>
      <rPr>
        <rFont val="맑은 고딕"/>
        <color rgb="FF000000"/>
        <sz val="11.0"/>
      </rPr>
      <t>.4</t>
    </r>
  </si>
  <si>
    <r>
      <rPr>
        <rFont val="Malgun Gothic"/>
        <color rgb="FF000000"/>
        <sz val="11.0"/>
      </rPr>
      <t>7.2</t>
    </r>
    <r>
      <rPr>
        <rFont val="맑은 고딕"/>
        <color rgb="FF000000"/>
        <sz val="11.0"/>
      </rPr>
      <t>.5</t>
    </r>
  </si>
  <si>
    <t>책임님 확인(20230710)
ㅇ 정보시스템 배치도 확보 후 재작성</t>
  </si>
  <si>
    <r>
      <rPr>
        <rFont val="Malgun Gothic"/>
        <color rgb="FF000000"/>
        <sz val="11.0"/>
      </rPr>
      <t xml:space="preserve">(한화비전)
ㅇ 접견실 등 비인가자 접근 가능 지역이 따로 지정되어 있으며, 소포 및 우편물 관리에 관하여 정보처리설비로 부터 격리되어 있음
 - </t>
    </r>
    <r>
      <rPr>
        <rFont val="맑은 고딕"/>
        <color rgb="FF00B050"/>
        <sz val="11.0"/>
      </rPr>
      <t>판교본사 1층 문서수발실</t>
    </r>
    <r>
      <rPr>
        <rFont val="맑은 고딕"/>
        <color rgb="FF000000"/>
        <sz val="11.0"/>
      </rPr>
      <t xml:space="preserve">
※ 한화시스템ICT는 ISO27000, ISO27001, ISO27017 인증을 받아, 통제항목을 준수하고 있음</t>
    </r>
  </si>
  <si>
    <t>최신화된 자산관리 대장(장비 위치 포함)과 정보처리시설 도면에 따른 정보시스템 배치도를 제공받을 수 있습니까?
문서수발 장소가 정보처리설비로부터 격리되어있음을 확인할 수 있는 사진을 제공받을 수 있습니까?</t>
  </si>
  <si>
    <t xml:space="preserve"> - 정보처리시설 도면 및 정보시스템 배치도
 - 자산관리대장
 - ICT 문서수발실 사진
 - 한화비전 문서수발실 사진</t>
  </si>
  <si>
    <t>A.11.1.3</t>
  </si>
  <si>
    <t>사무 공간 및 시설 보안</t>
  </si>
  <si>
    <t>사무 공간 및 시설에 대한 물리적 보안을 설계하고 적용하여야 한다.</t>
  </si>
  <si>
    <r>
      <rPr>
        <rFont val="Malgun Gothic"/>
        <color rgb="FF000000"/>
        <sz val="11.0"/>
      </rPr>
      <t>7.3</t>
    </r>
    <r>
      <rPr>
        <rFont val="맑은 고딕"/>
        <color rgb="FF000000"/>
        <sz val="11.0"/>
      </rPr>
      <t>.1</t>
    </r>
  </si>
  <si>
    <t>ㅇ 임직원은 사무실 등 개인 업무 공간에 관하여 문서 보관 관련 사항과 자리 이석 관련 사항, 문서 폐기, 퇴근 등 장시간 이석 시 문서 보관 사항 등에 관한 물리적 보호를 설계하고 구현하였음</t>
  </si>
  <si>
    <t>ㅇ 사무실 점검 보고서 확보 후 재작성</t>
  </si>
  <si>
    <r>
      <rPr>
        <rFont val="Malgun Gothic"/>
        <color theme="1"/>
        <sz val="11.0"/>
      </rPr>
      <t xml:space="preserve">ㅇ 임직원은 사무실 등 개인 업무 공간에 관하여 문서 보관 관련 사항과 자리 이석 관련 사항, 문서 폐기, 퇴근 등 장시간 이석 시 문서 보관 사항 등에 관한 물리적 보호를 설계하고 구현하였음
</t>
    </r>
    <r>
      <rPr>
        <rFont val="맑은 고딕"/>
        <color rgb="FF00B050"/>
        <sz val="11.0"/>
      </rPr>
      <t>ㅇ 사무실 등 시설 출입은 카드키를 기반으로 인가된 공간에 대해서만 출입이 가능하도록 통제하고 있음</t>
    </r>
  </si>
  <si>
    <t>보호 대책과 동일한 내용이 이행되고 있고, 체크리스트 점검과 관련된 증적 자료(사무실 보안 점검체크리스트 점검 일지, 작성 현황, 현장 사진, 점검 보고서 등)를 제공받을 수 있습니까?</t>
  </si>
  <si>
    <t xml:space="preserve"> - 사무실 보안 점검체크리스트 점검 일지, 작성 현황, 현장 사진, 점검 보고서 </t>
  </si>
  <si>
    <r>
      <rPr>
        <rFont val="Malgun Gothic"/>
        <color rgb="FF000000"/>
        <sz val="11.0"/>
      </rPr>
      <t>7.4</t>
    </r>
    <r>
      <rPr>
        <rFont val="맑은 고딕"/>
        <color rgb="FF000000"/>
        <sz val="11.0"/>
      </rPr>
      <t>.1</t>
    </r>
  </si>
  <si>
    <t xml:space="preserve">(한화비전)
ㅇ 임직원과 모든 외부인의 출입에 관하여 출입통제를 시스템을 설치 및 운영하고 있으며, 출입기록을 보존하고 있음.
 -  [별첨 #10] 출입 관리대장
 -  [별첨 #11] 통제구역 출입 대장
※ 한화시스템ICT는 ISO27000, ISO27001, ISO27017 인증을 받아, 통제항목을 준수하고 있음
</t>
  </si>
  <si>
    <t xml:space="preserve">책임님 확인(20230710)
(한화비전)
ㅇ 임직원과 모든 외부인의 출입에 관하여 출입통제를 시스템을 설치 및 운영하고 있으며, 출입기록을 보존하고 있음.
 -  [별첨 #10] 출입 관리대장
 -  [별첨 #11] 통제구역 출입 대장
ㅇ 회사 내부는 제한구역으로 방문자 및 협력사 출입 관련하여 신청을 받아 승인 이후 출입이 가능함
ㅇ 통제구역은 카드키를 이용하여 접근 가능하며, 출입인가자만이 출입할 수 있도록 관리되고 있음
※ 한화시스템ICT는 ISO27000, ISO27001, ISO27017 인증을 받아, 통제항목을 준수하고 있음
</t>
  </si>
  <si>
    <r>
      <rPr>
        <rFont val="Malgun Gothic"/>
        <color theme="1"/>
        <sz val="11.0"/>
      </rPr>
      <t xml:space="preserve">(한화비전)
ㅇ 임직원과 모든 외부인의 출입에 관하여 출입통제를 시스템을 설치 및 운영하고 있으며, 출입기록을 보존하고 있음.
 -  </t>
    </r>
    <r>
      <rPr>
        <rFont val="맑은 고딕"/>
        <color rgb="FF00B050"/>
        <sz val="11.0"/>
      </rPr>
      <t>[별첨 #10] 출입 관리대장</t>
    </r>
    <r>
      <rPr>
        <rFont val="맑은 고딕"/>
        <color theme="1"/>
        <sz val="11.0"/>
      </rPr>
      <t xml:space="preserve">
 -  [별첨 #11] 통제구역 출입 대장
ㅇ 회사 내부는 제한구역으로 방문자 및 협력사 출입 관련하여 신청을 받아 승인 이후 출입이 가능함
ㅇ 통제구역은 카드키를 이용하여 접근 가능하며, 출입인가자만이 출입할 수 있도록 관리되고 있음
※ 한화시스템ICT는 ISO27000, ISO27001, ISO27017 인증을 받아, 통제항목을 준수하고 있음
</t>
    </r>
  </si>
  <si>
    <r>
      <rPr>
        <rFont val="Malgun Gothic"/>
        <color rgb="FF000000"/>
        <sz val="11.0"/>
      </rPr>
      <t xml:space="preserve"> - 071. 서버실_지문인식
</t>
    </r>
    <r>
      <rPr>
        <rFont val="맑은 고딕"/>
        <color theme="1"/>
        <sz val="11.0"/>
      </rPr>
      <t xml:space="preserve"> - 한화시스템(ISO27001) - IS 707803
 - 한화시스템(ISO20000) - ITMS 707805
 - 한화시스템(ISO27017) - CLOUD 707804
</t>
    </r>
    <r>
      <rPr>
        <rFont val="맑은 고딕"/>
        <color rgb="FF00B050"/>
        <sz val="11.0"/>
      </rPr>
      <t xml:space="preserve"> - 방문자신청
 - 협력사 출입신청</t>
    </r>
    <r>
      <rPr>
        <rFont val="맑은 고딕"/>
        <color theme="1"/>
        <sz val="11.0"/>
      </rPr>
      <t xml:space="preserve">
 - 통제구역 출입절차 안내서
 - 통제구역 표시지
 - 판교 전산기계실 출입인가자 현황</t>
    </r>
  </si>
  <si>
    <r>
      <rPr>
        <rFont val="Malgun Gothic"/>
        <color rgb="FF000000"/>
        <sz val="11.0"/>
      </rPr>
      <t>7.4</t>
    </r>
    <r>
      <rPr>
        <rFont val="맑은 고딕"/>
        <color rgb="FF000000"/>
        <sz val="11.0"/>
      </rPr>
      <t>.2</t>
    </r>
  </si>
  <si>
    <r>
      <rPr>
        <rFont val="Malgun Gothic"/>
        <color theme="1"/>
        <sz val="11.0"/>
      </rPr>
      <t>(한화비전)
ㅇ</t>
    </r>
    <r>
      <rPr>
        <rFont val="맑은 고딕"/>
        <color theme="1"/>
        <sz val="11.0"/>
      </rPr>
      <t xml:space="preserve"> 물리보안 담당자는 다음 사항에 관하여 출입증 발급 현황 및 출입 권한의 적정성을 분기 1회 이상 검토하고 이상 발급 및 불필요 권한 발견 시 출입권한을 회수하는 등의 조치를 취하도록 규정되어 있음
 1. 업무 목적에 적합한 출입권한 부여
 2. 절차에 부합하는 출입권한 부여
 3. 퇴직자 또는 직무변경자의 출입권한 삭제, 조정 및 출입증 회수 등
 -  단, 회사의 입주 공간이 단일층인 경우 반기 1회 이상 점검함
※ 한화시스템ICT는 ISO27000, ISO27001, ISO27017 인증을 받아, 통제항목을 준수하고 있음
</t>
    </r>
  </si>
  <si>
    <t>책임님 확인(20230710)
ㅇ 출입 관리 대장 및 출입 권한 검토 및 조치 결과 관련 증적 확보 후 재작성</t>
  </si>
  <si>
    <r>
      <rPr>
        <rFont val="Malgun Gothic"/>
        <color theme="1"/>
        <sz val="11.0"/>
      </rPr>
      <t>(한화비전)
ㅇ 물리보안 담당자는 다음 사항에 관하여</t>
    </r>
    <r>
      <rPr>
        <rFont val="맑은 고딕"/>
        <color rgb="FF00B050"/>
        <sz val="11.0"/>
      </rPr>
      <t xml:space="preserve"> 출입증 발급 현황</t>
    </r>
    <r>
      <rPr>
        <rFont val="맑은 고딕"/>
        <color theme="1"/>
        <sz val="11.0"/>
      </rPr>
      <t xml:space="preserve"> 및 출입 권한의 적정성을 정기적 검토를 통하여 이상 발급 및 불필요 권한 발견 시 출입권한을 회수하는 등의 조치를 취하도록 규정되어 있음
 1. 업무 목적에 적합한 출입권한 부여
 2. 절차에 부합하는 출입권한 부여
 3. 퇴직자 또는 직무변경자의 출입권한 삭제, 조정 및 출입증 회수 등
※ 한화시스템ICT는 ISO27000, ISO27001, ISO27017 인증을 받아, 통제항목을 준수하고 있음
</t>
    </r>
  </si>
  <si>
    <t xml:space="preserve"> - 보호구역 출입 관리 현황</t>
  </si>
  <si>
    <r>
      <rPr>
        <rFont val="Malgun Gothic"/>
        <color rgb="FF000000"/>
        <sz val="11.0"/>
      </rPr>
      <t>7.4</t>
    </r>
    <r>
      <rPr>
        <rFont val="맑은 고딕"/>
        <color rgb="FF000000"/>
        <sz val="11.0"/>
      </rPr>
      <t>.3</t>
    </r>
  </si>
  <si>
    <r>
      <rPr>
        <rFont val="Malgun Gothic"/>
        <color theme="1"/>
        <sz val="11.0"/>
      </rPr>
      <t>ㅇ 정보시스템이 설치된 정보통신시설 내 사각 지대가 발생하지 않도록 CCTV를 설치하여야 하며, CCTV는 항상 정상 가동 상태를 유지하도록 하며 장애 발생 시 물리보안 부서에게 전달하고 순찰 강화 등의 조치를 취한 후 수리하도록 규정되어 있음.
 - 1. 통제구역 설비 2. 전력 설비 3. 소화 및 소방 설비 4. CCTV 5. 공조 설비 6. 장비 배치 7. 케이블 보호
※</t>
    </r>
    <r>
      <rPr>
        <rFont val="맑은 고딕"/>
        <color theme="1"/>
        <sz val="11.0"/>
      </rPr>
      <t xml:space="preserve"> </t>
    </r>
    <r>
      <rPr>
        <rFont val="맑은 고딕"/>
        <color theme="1"/>
        <sz val="11.0"/>
      </rPr>
      <t>한화시스템</t>
    </r>
    <r>
      <rPr>
        <rFont val="맑은 고딕"/>
        <color theme="1"/>
        <sz val="11.0"/>
      </rPr>
      <t>ICT</t>
    </r>
    <r>
      <rPr>
        <rFont val="맑은 고딕"/>
        <color theme="1"/>
        <sz val="11.0"/>
      </rPr>
      <t>는</t>
    </r>
    <r>
      <rPr>
        <rFont val="맑은 고딕"/>
        <color theme="1"/>
        <sz val="11.0"/>
      </rPr>
      <t xml:space="preserve"> ISO27000, ISO27001, ISO27017 </t>
    </r>
    <r>
      <rPr>
        <rFont val="맑은 고딕"/>
        <color theme="1"/>
        <sz val="11.0"/>
      </rPr>
      <t>인증을</t>
    </r>
    <r>
      <rPr>
        <rFont val="맑은 고딕"/>
        <color theme="1"/>
        <sz val="11.0"/>
      </rPr>
      <t xml:space="preserve"> </t>
    </r>
    <r>
      <rPr>
        <rFont val="맑은 고딕"/>
        <color theme="1"/>
        <sz val="11.0"/>
      </rPr>
      <t>받아</t>
    </r>
    <r>
      <rPr>
        <rFont val="맑은 고딕"/>
        <color theme="1"/>
        <sz val="11.0"/>
      </rPr>
      <t xml:space="preserve">, </t>
    </r>
    <r>
      <rPr>
        <rFont val="맑은 고딕"/>
        <color theme="1"/>
        <sz val="11.0"/>
      </rPr>
      <t>통제항목을</t>
    </r>
    <r>
      <rPr>
        <rFont val="맑은 고딕"/>
        <color theme="1"/>
        <sz val="11.0"/>
      </rPr>
      <t xml:space="preserve"> </t>
    </r>
    <r>
      <rPr>
        <rFont val="맑은 고딕"/>
        <color theme="1"/>
        <sz val="11.0"/>
      </rPr>
      <t>준수하고</t>
    </r>
    <r>
      <rPr>
        <rFont val="맑은 고딕"/>
        <color theme="1"/>
        <sz val="11.0"/>
      </rPr>
      <t xml:space="preserve"> </t>
    </r>
    <r>
      <rPr>
        <rFont val="맑은 고딕"/>
        <color theme="1"/>
        <sz val="11.0"/>
      </rPr>
      <t>있음</t>
    </r>
  </si>
  <si>
    <t>책임님 확인(20230710)
ㅇ 시스템 배치도 및 전산실 CCTV 운영현황 증적 확보 후 재작성</t>
  </si>
  <si>
    <r>
      <rPr>
        <rFont val="Malgun Gothic"/>
        <color theme="1"/>
        <sz val="11.0"/>
      </rPr>
      <t>ㅇ 보호구역 내로 진입하기 위해서는 휴대폰 카메라 봉인지 부착을 해야하며, 출입시에는 휴대물품 엑스레이 통과 및 감시인원이 배치되어 있음
ㅇ 통제구역에 대하여</t>
    </r>
    <r>
      <rPr>
        <rFont val="맑은 고딕"/>
        <color rgb="FF00B050"/>
        <sz val="11.0"/>
      </rPr>
      <t xml:space="preserve"> CCTV는</t>
    </r>
    <r>
      <rPr>
        <rFont val="맑은 고딕"/>
        <color theme="1"/>
        <sz val="11.0"/>
      </rPr>
      <t xml:space="preserve"> 항상 정상 가동 상태를 유지하도록 하며 장애 발생 시 물리보안 부서에게 전달하고 순찰 강화 등의 조치를 취한 후 수리하도록 강화된 감시가 이루어 지고 있음 
 - 1. 통제구역 설비 2. 전력 설비 3. 소화 및 소방 설비 4. CCTV 5. 공조 설비 6. 장비 배치 7. 케이블 보호
※ 한화시스템ICT는 ISO27000, ISO27001, ISO27017 인증을 받아, 통제항목을 준수하고 있음</t>
    </r>
  </si>
  <si>
    <r>
      <rPr>
        <rFont val="Malgun Gothic"/>
        <color theme="1"/>
        <sz val="11.0"/>
      </rPr>
      <t xml:space="preserve">제 49 조  (통제구역 운영)
[붙임 #9] 통제구역 운영 설비
</t>
    </r>
    <r>
      <rPr>
        <rFont val="맑은 고딕"/>
        <color rgb="FF00B050"/>
        <sz val="11.0"/>
      </rPr>
      <t>[별첨 #10] 출입 관리대장</t>
    </r>
    <r>
      <rPr>
        <rFont val="맑은 고딕"/>
        <color theme="1"/>
        <sz val="11.0"/>
      </rPr>
      <t xml:space="preserve">
[별첨 #11] 통제구역 출입 대장</t>
    </r>
  </si>
  <si>
    <t xml:space="preserve"> - 06_데이터센터 운영시설 모니터링현황
 - 071. 서버실 RACK1
 - 071. 서버실 RACK2
 - 071. 서버실_지문인식
 - 073. 서버실 케이블 보호1
 - 073. 서버실 케이블 보호2
 - 한화시스템(ISO27001) - IS 707803
 - 한화시스템(ISO20000) - ITMS 707805
 - 한화시스템(ISO27017) - CLOUD 707804
 - 통제구역 보안서약서
 - 통제구역 출입절차 안내서
 - 통제구역 표시지
 - 통제구역 핸드폰보관대
 - 판교 전산기계실 출입인가자 현황</t>
  </si>
  <si>
    <t>보호구역에 대한 관제가 통제구역 운영 설비 정보보호 관리 기준에 적합하게 운영되고 있습니까? 운영 현황을 알 수 있는 증적 자료를 제공받을 수 있습니까?</t>
  </si>
  <si>
    <t xml:space="preserve"> - 정보처리시설 도면 및 정보시스템 배치도
 - 데이터센터 전산실 CCTV 운영 현황</t>
  </si>
  <si>
    <t>A.11.1.4</t>
  </si>
  <si>
    <t>외부 및 환경 위협에 대비한 보호</t>
  </si>
  <si>
    <t>자연 재해, 악의적인 공격 또는 사고에 대비한 물리적 보호를 설계하고 적용하여야 한다.</t>
  </si>
  <si>
    <r>
      <rPr>
        <rFont val="Malgun Gothic"/>
        <color rgb="FF000000"/>
        <sz val="11.0"/>
      </rPr>
      <t>7.5</t>
    </r>
    <r>
      <rPr>
        <rFont val="맑은 고딕"/>
        <color rgb="FF000000"/>
        <sz val="11.0"/>
      </rPr>
      <t>.1</t>
    </r>
  </si>
  <si>
    <r>
      <rPr>
        <rFont val="Malgun Gothic"/>
        <color theme="1"/>
        <sz val="11.0"/>
      </rPr>
      <t>ㅇ 회사는 전산실 등이 위치한 통제구역의 운영을 위해 온∙습도 관리, 화재 감지, 전력이상 모니터링, 공조설비 등을 갖추고 '[붙임 #9] 통제구역 운영 설비'에 따라 운영하도록 규정되어 있음
※</t>
    </r>
    <r>
      <rPr>
        <rFont val="맑은 고딕"/>
        <color theme="1"/>
        <sz val="11.0"/>
      </rPr>
      <t xml:space="preserve"> </t>
    </r>
    <r>
      <rPr>
        <rFont val="맑은 고딕"/>
        <color theme="1"/>
        <sz val="11.0"/>
      </rPr>
      <t>한화시스템</t>
    </r>
    <r>
      <rPr>
        <rFont val="맑은 고딕"/>
        <color theme="1"/>
        <sz val="11.0"/>
      </rPr>
      <t>ICT</t>
    </r>
    <r>
      <rPr>
        <rFont val="맑은 고딕"/>
        <color theme="1"/>
        <sz val="11.0"/>
      </rPr>
      <t>는</t>
    </r>
    <r>
      <rPr>
        <rFont val="맑은 고딕"/>
        <color theme="1"/>
        <sz val="11.0"/>
      </rPr>
      <t xml:space="preserve"> ISO27000, ISO27001, ISO27017 </t>
    </r>
    <r>
      <rPr>
        <rFont val="맑은 고딕"/>
        <color theme="1"/>
        <sz val="11.0"/>
      </rPr>
      <t>인증을</t>
    </r>
    <r>
      <rPr>
        <rFont val="맑은 고딕"/>
        <color theme="1"/>
        <sz val="11.0"/>
      </rPr>
      <t xml:space="preserve"> </t>
    </r>
    <r>
      <rPr>
        <rFont val="맑은 고딕"/>
        <color theme="1"/>
        <sz val="11.0"/>
      </rPr>
      <t>받아</t>
    </r>
    <r>
      <rPr>
        <rFont val="맑은 고딕"/>
        <color theme="1"/>
        <sz val="11.0"/>
      </rPr>
      <t xml:space="preserve">, </t>
    </r>
    <r>
      <rPr>
        <rFont val="맑은 고딕"/>
        <color theme="1"/>
        <sz val="11.0"/>
      </rPr>
      <t>통제항목을</t>
    </r>
    <r>
      <rPr>
        <rFont val="맑은 고딕"/>
        <color theme="1"/>
        <sz val="11.0"/>
      </rPr>
      <t xml:space="preserve"> </t>
    </r>
    <r>
      <rPr>
        <rFont val="맑은 고딕"/>
        <color theme="1"/>
        <sz val="11.0"/>
      </rPr>
      <t>준수하고</t>
    </r>
    <r>
      <rPr>
        <rFont val="맑은 고딕"/>
        <color theme="1"/>
        <sz val="11.0"/>
      </rPr>
      <t xml:space="preserve"> </t>
    </r>
    <r>
      <rPr>
        <rFont val="맑은 고딕"/>
        <color theme="1"/>
        <sz val="11.0"/>
      </rPr>
      <t>있음</t>
    </r>
  </si>
  <si>
    <t>책임님 확인(20230710)
ㅇ 시스템 배치도 증적 확보 후 재작성</t>
  </si>
  <si>
    <r>
      <rPr>
        <rFont val="Malgun Gothic"/>
        <color theme="1"/>
        <sz val="11.0"/>
      </rPr>
      <t xml:space="preserve">ㅇ 회사는 전산실 등이 위치한 </t>
    </r>
    <r>
      <rPr>
        <rFont val="맑은 고딕"/>
        <color rgb="FF00B050"/>
        <sz val="11.0"/>
      </rPr>
      <t>통제구역의 운영</t>
    </r>
    <r>
      <rPr>
        <rFont val="맑은 고딕"/>
        <color theme="1"/>
        <sz val="11.0"/>
      </rPr>
      <t>을 위해 온∙습도 관리, 화재 감지, 전력이상 모니터링, 공조설비 등을 갖추고 '[붙임 #9] 통제구역 운영 설비'에 따라 운영하고 있음</t>
    </r>
    <r>
      <rPr>
        <rFont val="맑은 고딕"/>
        <color theme="1"/>
        <sz val="11.0"/>
      </rPr>
      <t xml:space="preserve">
※</t>
    </r>
    <r>
      <rPr>
        <rFont val="맑은 고딕"/>
        <color theme="1"/>
        <sz val="11.0"/>
      </rPr>
      <t xml:space="preserve"> 한화시스템ICT는 ISO27000, ISO27001, ISO27017 인증을 받아, 통제항목을 준수하고 있음</t>
    </r>
  </si>
  <si>
    <t>최신화된 정보처리시설 도면에 따른 정보시스템 배치도를 제공받을 수 있습니까?</t>
  </si>
  <si>
    <t xml:space="preserve"> - 정보처리시설 도면 및 정보시스템 배치도
</t>
  </si>
  <si>
    <r>
      <rPr>
        <rFont val="Malgun Gothic"/>
        <color rgb="FF000000"/>
        <sz val="11.0"/>
      </rPr>
      <t>7.5</t>
    </r>
    <r>
      <rPr>
        <rFont val="맑은 고딕"/>
        <color rgb="FF000000"/>
        <sz val="11.0"/>
      </rPr>
      <t>.2</t>
    </r>
  </si>
  <si>
    <t>ㅇ 화재 수재 등에 대한 UPS 설치, 항온항습기 설치 등 운영시설에 관한 장비를 설치하고 모니터링이 이루어지고 있음
 - 전력선 이중화
 - UPS, 비상발전기, 전압유지기
 - 화재감지 및 소화설비, 누수감지기
 - CCTV, 외부침입탐지 및 경보, 출입통제시스템
 - 항온항습기 또는 에어컨 등 온·습도 조절기
※ 한화시스템ICT는 ISO27000, ISO27001, ISO27017 인증을 받아, 통제항목을 준수하고 있음</t>
  </si>
  <si>
    <t xml:space="preserve">책임님 확인(20230710)
추가증적확보(20230713)
최승우 과장님(20230713) 해당 이메일들로 정기적으로 관리하고 있음을 증빙할 수 있도록 가능한지 확인 요청
ㅇ 데이터 센터 화재 대피 훈련 및 발전기 실부 테스트, UPS 교체 등 화재 등 기반시설의 환경적 위협에 대하여 관리가 이루어지고 있음
</t>
  </si>
  <si>
    <t xml:space="preserve"> - 한화시스템(ISO27001) - IS 707803
 - 한화시스템(ISO20000) - ITMS 707805
 - 한화시스템(ISO27017) - CLOUD 707804
 - 2022-10-28 1559_용석민(YONG SEOKMIN)_공지데이터센터 화재대피훈련 시행 안내의 건113
 - 2023-04-05 0901_용석민(YONG SEOKMIN)_안내데이터센터 ‘23년 상반기 발전기 실부하 절체 테스트 및 일부 점검작업 안내의 건 
 - 2023-06-08 1633_용석민(YONG SEOKMIN)_안내데이터센터 비상전원설비UPS STS교체를 위한 사전 작업 안내 및 협조 요청의 건
 - 7.5.2 센터 재해대응 매뉴얼
 - 06_데이터센터 운영시설 모니터링현황</t>
  </si>
  <si>
    <t>관련 증적을 제공받을 수 있습니까?</t>
  </si>
  <si>
    <t xml:space="preserve"> - 설치 및 정기적 관리 이력
 1) 전력선 이중화
 2) UPS, 비상발전기, 전압유지기
 3) 화재감지 및 소화설비, 누수감지기
 4) CCTV, 외부침입탐지 및 경보, 출입통제시스템
 5) 항온항습기 또는 에어컨 등 온·습도 조절기</t>
  </si>
  <si>
    <r>
      <rPr>
        <rFont val="Malgun Gothic"/>
        <color rgb="FF000000"/>
        <sz val="11.0"/>
      </rPr>
      <t>7.5</t>
    </r>
    <r>
      <rPr>
        <rFont val="맑은 고딕"/>
        <color rgb="FF000000"/>
        <sz val="11.0"/>
      </rPr>
      <t>.3</t>
    </r>
  </si>
  <si>
    <t xml:space="preserve">인사지원팀
</t>
  </si>
  <si>
    <t>A.11.1.5</t>
  </si>
  <si>
    <t>보안 구역 내 작업</t>
  </si>
  <si>
    <t>보안 구역 내에서의 작업을 위한 절차를 설계하고 적용하여야 한다.</t>
  </si>
  <si>
    <r>
      <rPr>
        <rFont val="Malgun Gothic"/>
        <color rgb="FF000000"/>
        <sz val="11.0"/>
      </rPr>
      <t>7.6</t>
    </r>
    <r>
      <rPr>
        <rFont val="맑은 고딕"/>
        <color rgb="FF000000"/>
        <sz val="11.0"/>
      </rPr>
      <t>.1</t>
    </r>
  </si>
  <si>
    <r>
      <rPr>
        <rFont val="Malgun Gothic"/>
        <color theme="1"/>
        <sz val="11.0"/>
      </rPr>
      <t xml:space="preserve">ㅇ 유지 보수 및 전산작업 등의 목적으로 통제구역의 출입이 필요한 경우 통제구역 관리자의 사전 승인이 필요하며 반드시 임직원이 동행하여 작업 내역을 감독하도록 보안대책이 수립되어 있으며, 시행되고 있음
</t>
    </r>
    <r>
      <rPr>
        <rFont val="맑은 고딕"/>
        <color theme="1"/>
        <sz val="11.0"/>
      </rPr>
      <t>( 작업 신청서가 추가적으로 필요한지 궁금합니다) )</t>
    </r>
  </si>
  <si>
    <t xml:space="preserve"> - 인사지원팀
 - 경영혁신팀</t>
  </si>
  <si>
    <t xml:space="preserve"> - 작업 신청서, 작업 일지
 - 통제구역 출입 대장(승인 내역 포함)
 - 통제구역에 대한 출입기록 및 작업기록 검토 내역</t>
  </si>
  <si>
    <t>A.11.2
장비</t>
  </si>
  <si>
    <t>A.11.2.9</t>
  </si>
  <si>
    <t>책상 정리 및 화면보호 정책</t>
  </si>
  <si>
    <t>서류와 이동식 저장 매체를 대상으로 한 책상 정리 정책 및 정보처리 시설에 대한 화면보호 정책을 적용하여야 한다.</t>
  </si>
  <si>
    <r>
      <rPr>
        <rFont val="Malgun Gothic"/>
        <color rgb="FF000000"/>
        <sz val="11.0"/>
      </rPr>
      <t>7.7</t>
    </r>
    <r>
      <rPr>
        <rFont val="맑은 고딕"/>
        <color rgb="FF000000"/>
        <sz val="11.0"/>
      </rPr>
      <t>.1</t>
    </r>
  </si>
  <si>
    <r>
      <rPr>
        <rFont val="Malgun Gothic"/>
        <color rgb="FF000000"/>
        <sz val="11.0"/>
      </rPr>
      <t>7.7</t>
    </r>
    <r>
      <rPr>
        <rFont val="맑은 고딕"/>
        <color rgb="FF000000"/>
        <sz val="11.0"/>
      </rPr>
      <t>.2</t>
    </r>
  </si>
  <si>
    <t>ㅇ 전사를 대상으로 분기 1회 이상 사무실 보안 점검을 실시하고 있음
 - 클린데스크, SNS/SMS, 출력물 관리 등</t>
  </si>
  <si>
    <t>ㅇ 사무실 보안 점검 관련 증적 확보 후 재작성</t>
  </si>
  <si>
    <r>
      <rPr>
        <rFont val="Malgun Gothic"/>
        <color theme="1"/>
        <sz val="11.0"/>
      </rPr>
      <t xml:space="preserve">ㅇ 근무시간 및 퇴근시간에 대하여 비인가자에 의한 정보접근 또는 정보 손상을 방지하기 위하여 적이적으로 </t>
    </r>
    <r>
      <rPr>
        <rFont val="맑은 고딕"/>
        <color rgb="FF00B050"/>
        <sz val="11.0"/>
      </rPr>
      <t xml:space="preserve">사무실 보안 점검을 </t>
    </r>
    <r>
      <rPr>
        <rFont val="맑은 고딕"/>
        <color theme="1"/>
        <sz val="11.0"/>
      </rPr>
      <t>이행하고 있음</t>
    </r>
  </si>
  <si>
    <t xml:space="preserve"> - 사무실 보안 점검체크리스트 점검 일지
 - 체크리스트 작성 현황(마스킹 가능)
 - 점검 보고서 </t>
  </si>
  <si>
    <t>A.11.2.1</t>
  </si>
  <si>
    <t>장비 배치 및 보호</t>
  </si>
  <si>
    <t>장비는 환경적 위협과 유해요소, 비인가 접근의 가능성을 감소시킬 수 있도록 배치하고 보호하여야 한다.</t>
  </si>
  <si>
    <r>
      <rPr>
        <rFont val="Malgun Gothic"/>
        <color rgb="FF000000"/>
        <sz val="11.0"/>
      </rPr>
      <t>7.8</t>
    </r>
    <r>
      <rPr>
        <rFont val="맑은 고딕"/>
        <color rgb="FF000000"/>
        <sz val="11.0"/>
      </rPr>
      <t>.1</t>
    </r>
  </si>
  <si>
    <r>
      <rPr>
        <rFont val="Malgun Gothic"/>
        <color rgb="FF000000"/>
        <sz val="11.0"/>
      </rPr>
      <t xml:space="preserve">ㅇ 정보시스템은 (ERP, SCM, MES, HR, HPLM, OPS, BSP) 한화시스템ICT 내에 설치되어 운영하고 있으며, 업무 중요도와 특성에 따라 화재, 전력이상, 비인가된 외부침입 등을 방지를 위한 설계가 되어 있음
1) 전력선 이중화
2) UPS, 비상발전기, 전압유지기
3) 화재감지 및 소화설비, 누수감지기
4) CCTV, 외부침입탐지 및 경보, 출입통제시스템
5) 항온항습기 또는 에어컨 등 온·습도 조절기 
6) 정보시스템은 잠금 장치가 있는 랙에 설치
7) 도청 또는 전자기 간섭 피해방지 설비
8) 통제구역 내 개인 소유 물품 등 불필요한 물품 보관 금지
9) 통제구역 내 무선통신망 운영 금지 등
 - 전산 장비 배치 시 화재 예방을 위해 종이, 박스 등과 같은 가연성 물질과 이격하여 배치한다. 
 - 잠금 장치가 있는 전용랙에 설치하거나 시건 장치가 마련된 별도의 공간에 배치한다.
 - [붙임 #9] 통제구역 운영 설비
</t>
    </r>
    <r>
      <rPr>
        <rFont val="맑은 고딕"/>
        <color theme="1"/>
        <sz val="11.0"/>
      </rPr>
      <t xml:space="preserve">
※ 한화시스템ICT는 ISO27000, ISO27001, ISO27017 인증을 받아, 통제항목을 준수하고 있음
</t>
    </r>
  </si>
  <si>
    <t xml:space="preserve">책임님 확인(20230710)
</t>
  </si>
  <si>
    <t xml:space="preserve"> - 한화시스템(ISO27001) - IS 707803
 - 한화시스템(ISO20000) - ITMS 707805
 - 한화시스템(ISO27017) - CLOUD 707804
 - 2022-10-28 1559_용석민(YONG SEOKMIN)_공지데이터센터 화재대피훈련 시행 안내의 건113
 - 2023-04-05 0901_용석민(YONG SEOKMIN)_안내데이터센터 ‘23년 상반기 발전기 실부하 절체 테스트 및 일부 점검작업 안내의 건 
 - 2023-06-08 1633_용석민(YONG SEOKMIN)_안내데이터센터 비상전원설비UPS STS교체를 위한 사전 작업 안내 및 협조 요청의 건
 - 06_데이터센터 운영시설 모니터링현황</t>
  </si>
  <si>
    <t>정보시스템 배치도를 제공받을 수 있습니까?
전산실 및 데이터센터 보안 관련 운영 현황을 알 수 있는 증적 자료를 제공받을 수 있습니까?</t>
  </si>
  <si>
    <t xml:space="preserve"> - 정보처리시설 도면 및 정보시스템 배치도
 - 전산실 및 데이터센터 보안 보호설비 운영 내역
   1) 방화시설 
   2) 항온항습기
   3) 전원설비
   4) 케이블 보안
   5) 누수방지
   6) CCTV설치
   7) 전산장비보안</t>
  </si>
  <si>
    <t>A.11.2.6</t>
  </si>
  <si>
    <t>구외 장비 및 자산 보안</t>
  </si>
  <si>
    <t>조직 외부에서의 작업으로 인한 다양한 위험을 고려하여 구외(off-site) 자산에 보안을 적용하여야 한다.</t>
  </si>
  <si>
    <t>ㅇ 외부로 전자 장비를 반출하는 경우에 대해서 관리감독 하고 있으며, 사내 사용되는 전자장비는  보안프로그램을 설치하여 통제하고 있음
 - DRM, DLP 등
( 원격지 위치 추적 관리 현황은 확보할 수 있으면 추가적으로 확보하라고 하셨던 부분이라서 양호처리 가능한지 궁금합니다. )</t>
  </si>
  <si>
    <r>
      <rPr>
        <rFont val="Malgun Gothic"/>
        <color theme="1"/>
        <sz val="11.0"/>
      </rPr>
      <t xml:space="preserve"> - 068. 업무지원포털-반출입 관리대장
 - DRM 문서 암호해제(복호화) 권한 신청(타인)
</t>
    </r>
    <r>
      <rPr>
        <rFont val="맑은 고딕"/>
        <color rgb="FF00B050"/>
        <sz val="11.0"/>
      </rPr>
      <t xml:space="preserve"> - DRM 문서 프린트 마킹 예외신청
 - PC보안(CososysDLP) 정책예외신청서</t>
    </r>
  </si>
  <si>
    <t>최신화된 반출입 관리대장 현황 및 관련 증적 자료를 제공받을 수 있습니까?</t>
  </si>
  <si>
    <t xml:space="preserve"> - 반출입 관리대장 현황
 - 원격지 위치 추적 관리 현황 등</t>
  </si>
  <si>
    <t>A.8.3
매체 취급</t>
  </si>
  <si>
    <t>A.8.3.1</t>
  </si>
  <si>
    <t>이동식 매체 관리</t>
  </si>
  <si>
    <t>조직에서 채택한 정보 등급화 체계에 따라 이동식 매체의 관리를 위한 절차를 구현하여야 한다.</t>
  </si>
  <si>
    <r>
      <rPr>
        <rFont val="Malgun Gothic"/>
        <color rgb="FF000000"/>
        <sz val="11.0"/>
      </rPr>
      <t>7.10</t>
    </r>
    <r>
      <rPr>
        <rFont val="맑은 고딕"/>
        <color rgb="FF000000"/>
        <sz val="11.0"/>
      </rPr>
      <t>.1</t>
    </r>
  </si>
  <si>
    <t>ㅇ 회사는 임직원에게 휴대용 저장매체 쓰기 권한을 통제하고 업무상 반드시 필요한 경우에 한하여 제한적으로 저장매체 쓰기 권한을 부여할 수 있으며, 임직원은 저장매체 쓰기 권한 신청 시 저장매체 사용 기간을 명시하고 상위 보직자의 승인을 득한 후 IT보안담당자의 최종 승인을 받도록 절차가 구현되어 있음
( 최승우 과장님(20230713 - 신청 양식 존재로 운영현황 작성 후 실사 때 자료 제공하면 괜찮은지 여부 확인 요청  )</t>
  </si>
  <si>
    <r>
      <rPr>
        <rFont val="Malgun Gothic"/>
        <color theme="1"/>
        <sz val="11.0"/>
      </rPr>
      <t xml:space="preserve">ㅇ 회사는 임직원에게 휴대용 저장매체 쓰기 권한을 통제하고 업무상 반드시 필요한 경우에 한하여 제한적으로 </t>
    </r>
    <r>
      <rPr>
        <rFont val="맑은 고딕"/>
        <color rgb="FF00B050"/>
        <sz val="11.0"/>
      </rPr>
      <t>저장매체 쓰기 권한</t>
    </r>
    <r>
      <rPr>
        <rFont val="맑은 고딕"/>
        <color theme="1"/>
        <sz val="11.0"/>
      </rPr>
      <t xml:space="preserve">을 부여할 수 있으며, 임직원은 저장매체 쓰기 권한 신청 시 저장매체 사용 기간을 명시하고 상위 보직자의 승인을 득한 후 IT보안담당자의 최종 승인을 받도록 절차가 구현되어 있음
ㅇ 한화비전은 한화시스템ICT로부터 저장매체 쓰기 권한에 관현 사항 등 월간 보안운영 현황을 보고 받고 있음
</t>
    </r>
  </si>
  <si>
    <r>
      <rPr>
        <rFont val="Malgun Gothic"/>
        <color rgb="FF000000"/>
        <sz val="11.0"/>
      </rPr>
      <t xml:space="preserve"> - 휴대용 저장매체 사용 통제_한화비전
</t>
    </r>
    <r>
      <rPr>
        <rFont val="맑은 고딕"/>
        <color rgb="FF00B050"/>
        <sz val="11.0"/>
      </rPr>
      <t xml:space="preserve"> - 휴대용 저장매체 관리대장
 - 보조기억매체 관리대장
 - USB 메모리 대여 신청서
</t>
    </r>
    <r>
      <rPr>
        <rFont val="맑은 고딕"/>
        <color theme="1"/>
        <sz val="11.0"/>
      </rPr>
      <t xml:space="preserve"> - 한화비전_보안월간보고_2023년5월_저장매체 쓰기 제한</t>
    </r>
  </si>
  <si>
    <t>증빙완료
최승우_230728
정보보호지침, DLP 솔루션</t>
  </si>
  <si>
    <t>최신화된 휴대용 저장매체 사용통제 내역을 제공받을 수 있습니까?</t>
  </si>
  <si>
    <t xml:space="preserve"> - 휴대용 저장매체 관리대장
 - 보조기억매체 관리대장</t>
  </si>
  <si>
    <t>A.8.3.2</t>
  </si>
  <si>
    <t>매체 폐기</t>
  </si>
  <si>
    <t xml:space="preserve">더 이상 필요하지 않은 매체는 공식적인 절차를 통해 안전하게 폐기하여야 한다. </t>
  </si>
  <si>
    <r>
      <rPr>
        <rFont val="Malgun Gothic"/>
        <color rgb="FF000000"/>
        <sz val="11.0"/>
      </rPr>
      <t>7.10</t>
    </r>
    <r>
      <rPr>
        <rFont val="맑은 고딕"/>
        <color rgb="FF000000"/>
        <sz val="11.0"/>
      </rPr>
      <t>.2</t>
    </r>
  </si>
  <si>
    <t>ㅇ 저장매체 불용처리 관련 증적 확보 후 재작성</t>
  </si>
  <si>
    <r>
      <rPr>
        <rFont val="Malgun Gothic"/>
        <color theme="1"/>
        <sz val="11.0"/>
      </rPr>
      <t xml:space="preserve">ㅇ 저장매체 불용처리 기준에 따라 하드디스크(SSD 등 포함)는 서비스 환경과 운영 중인 정보를 고려하여 정보시스템의 저장자료 삭제 방법을 구분하고 있음
 - 완전파괴(소각ㆍ파쇄ㆍ용해) 
</t>
    </r>
    <r>
      <rPr>
        <rFont val="맑은 고딕"/>
        <color theme="1"/>
        <sz val="11.0"/>
      </rPr>
      <t xml:space="preserve">
</t>
    </r>
  </si>
  <si>
    <t>최신화된 저장매체 관리 내역(관리대장, 반출입대장, 불용처리확인서)을 제공받을 수 있습니까?</t>
  </si>
  <si>
    <t xml:space="preserve"> - 23년 저장매체 불용처리 계획서 및 결과 보고서
 - 23년 저장매체 불용처리확인서</t>
  </si>
  <si>
    <t>A.8.3.3</t>
  </si>
  <si>
    <t>물리적 매체 이송</t>
  </si>
  <si>
    <t>정보를 포함한 매체는 운반 도중에 비인가 접근, 오용, 훼손으로부터 보호되어야 한다.</t>
  </si>
  <si>
    <t>ㅇ 휴대용 저장매체, 보조기억매체에 관한 보호대책이 수립되어 있으며 불법적인 접근에 관한 보호대책이 수립되어 있으며 이행하고 있음
 - 매체제어시스템, NAC</t>
  </si>
  <si>
    <r>
      <rPr>
        <rFont val="Malgun Gothic"/>
        <color theme="1"/>
        <sz val="11.0"/>
      </rPr>
      <t xml:space="preserve"> - 필수보안SW정책(NAC)
</t>
    </r>
    <r>
      <rPr>
        <rFont val="맑은 고딕"/>
        <color rgb="FF00B050"/>
        <sz val="11.0"/>
      </rPr>
      <t xml:space="preserve"> - 인터넷 접속차단 해제신청서</t>
    </r>
    <r>
      <rPr>
        <rFont val="맑은 고딕"/>
        <color theme="1"/>
        <sz val="11.0"/>
      </rPr>
      <t xml:space="preserve">
 - 비전_인터넷 사이트 차단 예외 대상자 리스트_20230703</t>
    </r>
  </si>
  <si>
    <t>PC 내 매체제어시스템, NAC 통제화면을 제공받을 수 있습니까?</t>
  </si>
  <si>
    <t xml:space="preserve"> - 매체제어시스템, NAC 통제화면</t>
  </si>
  <si>
    <t>A.11.2.5</t>
  </si>
  <si>
    <t>자산 반출</t>
  </si>
  <si>
    <t>장비, 정보, 소프트웨어는 사전 승인 없이 외부로 반출되지 않도록 해야 한다.</t>
  </si>
  <si>
    <t xml:space="preserve">경영혁신팀
인사지원팀
</t>
  </si>
  <si>
    <t>A.11.2.2</t>
  </si>
  <si>
    <t>지원 설비</t>
  </si>
  <si>
    <t>지원 설비의 장애로 인한 전력 중단이나 기타 저해 요인으로부터 장비를 보호하여야 한다.</t>
  </si>
  <si>
    <r>
      <rPr>
        <rFont val="Malgun Gothic"/>
        <color rgb="FF000000"/>
        <sz val="11.0"/>
      </rPr>
      <t>7.11</t>
    </r>
    <r>
      <rPr>
        <rFont val="맑은 고딕"/>
        <color rgb="FF000000"/>
        <sz val="11.0"/>
      </rPr>
      <t>.1</t>
    </r>
  </si>
  <si>
    <r>
      <rPr>
        <rFont val="Malgun Gothic"/>
        <color theme="1"/>
        <sz val="11.0"/>
      </rPr>
      <t>ㅇ 화재 수재 등에 대한 UPS 설치, 항온항습기 설치 등 운영시설에 관한 장비를 설치하고 모니터링이 이루어지고 있음
※</t>
    </r>
    <r>
      <rPr>
        <rFont val="맑은 고딕"/>
        <color theme="1"/>
        <sz val="11.0"/>
      </rPr>
      <t xml:space="preserve"> </t>
    </r>
    <r>
      <rPr>
        <rFont val="맑은 고딕"/>
        <color theme="1"/>
        <sz val="11.0"/>
      </rPr>
      <t>한화시스템</t>
    </r>
    <r>
      <rPr>
        <rFont val="맑은 고딕"/>
        <color theme="1"/>
        <sz val="11.0"/>
      </rPr>
      <t>ICT</t>
    </r>
    <r>
      <rPr>
        <rFont val="맑은 고딕"/>
        <color theme="1"/>
        <sz val="11.0"/>
      </rPr>
      <t>는</t>
    </r>
    <r>
      <rPr>
        <rFont val="맑은 고딕"/>
        <color theme="1"/>
        <sz val="11.0"/>
      </rPr>
      <t xml:space="preserve"> ISO27000, ISO27001, ISO27017 </t>
    </r>
    <r>
      <rPr>
        <rFont val="맑은 고딕"/>
        <color theme="1"/>
        <sz val="11.0"/>
      </rPr>
      <t>인증을</t>
    </r>
    <r>
      <rPr>
        <rFont val="맑은 고딕"/>
        <color theme="1"/>
        <sz val="11.0"/>
      </rPr>
      <t xml:space="preserve"> </t>
    </r>
    <r>
      <rPr>
        <rFont val="맑은 고딕"/>
        <color theme="1"/>
        <sz val="11.0"/>
      </rPr>
      <t>받아</t>
    </r>
    <r>
      <rPr>
        <rFont val="맑은 고딕"/>
        <color theme="1"/>
        <sz val="11.0"/>
      </rPr>
      <t xml:space="preserve">, </t>
    </r>
    <r>
      <rPr>
        <rFont val="맑은 고딕"/>
        <color theme="1"/>
        <sz val="11.0"/>
      </rPr>
      <t>통제항목을</t>
    </r>
    <r>
      <rPr>
        <rFont val="맑은 고딕"/>
        <color theme="1"/>
        <sz val="11.0"/>
      </rPr>
      <t xml:space="preserve"> </t>
    </r>
    <r>
      <rPr>
        <rFont val="맑은 고딕"/>
        <color theme="1"/>
        <sz val="11.0"/>
      </rPr>
      <t>준수하고</t>
    </r>
    <r>
      <rPr>
        <rFont val="맑은 고딕"/>
        <color theme="1"/>
        <sz val="11.0"/>
      </rPr>
      <t xml:space="preserve"> </t>
    </r>
    <r>
      <rPr>
        <rFont val="맑은 고딕"/>
        <color theme="1"/>
        <sz val="11.0"/>
      </rPr>
      <t>있음</t>
    </r>
  </si>
  <si>
    <t>A.11.2.3</t>
  </si>
  <si>
    <t>배선 보안</t>
  </si>
  <si>
    <t>데이터를 전송하거나 정보 서비스를 지원하는 전력 및 통신 배선을 도청, 간섭, 파손으로부터 보호하여야 한다.</t>
  </si>
  <si>
    <r>
      <rPr>
        <rFont val="Malgun Gothic"/>
        <color rgb="FF000000"/>
        <sz val="11.0"/>
      </rPr>
      <t>7.12</t>
    </r>
    <r>
      <rPr>
        <rFont val="맑은 고딕"/>
        <color rgb="FF000000"/>
        <sz val="11.0"/>
      </rPr>
      <t>.1</t>
    </r>
  </si>
  <si>
    <t xml:space="preserve">1차 확인 완료
 - </t>
  </si>
  <si>
    <t>A.11.2.4</t>
  </si>
  <si>
    <t>장비 유지보수</t>
  </si>
  <si>
    <t>장비는 지속적인 가용성과 무결성을 보장하도록 정확하게 유지하여야 한다.</t>
  </si>
  <si>
    <r>
      <rPr>
        <rFont val="Malgun Gothic"/>
        <color rgb="FF000000"/>
        <sz val="11.0"/>
      </rPr>
      <t>7.13</t>
    </r>
    <r>
      <rPr>
        <rFont val="맑은 고딕"/>
        <color rgb="FF000000"/>
        <sz val="11.0"/>
      </rPr>
      <t>.1</t>
    </r>
  </si>
  <si>
    <t xml:space="preserve">ㅇ 한화비전은 한화시스템ICT와 유지보수 계약을 체결하여 장비의 가용성과 무결성을 위한 유지보수 서비스를 제공받고 있으며 매달 운영현황에 관하여 보고를 받고 있음
최승우과장님(20230713) - 실사 시 계약서 해당 부분 확인 예정
※ 한화시스템ICT는 ISO27000, ISO27001, ISO27017 인증을 받아, 통제항목을 준수하고 있음
실사
</t>
  </si>
  <si>
    <r>
      <rPr>
        <rFont val="Malgun Gothic"/>
        <color theme="1"/>
        <sz val="11.0"/>
      </rPr>
      <t xml:space="preserve"> - 한화시스템(ISO27001) - IS 707803
 - 한화시스템(ISO20000) - ITMS 707805
 - 한화시스템(ISO27017) - CLOUD 707804
</t>
    </r>
    <r>
      <rPr>
        <rFont val="맑은 고딕"/>
        <color rgb="FF00B050"/>
        <sz val="11.0"/>
      </rPr>
      <t xml:space="preserve"> - 7.13.1 유지보수 계약 품의(인프라)
</t>
    </r>
    <r>
      <rPr>
        <rFont val="맑은 고딕"/>
        <color theme="1"/>
        <sz val="11.0"/>
      </rPr>
      <t xml:space="preserve"> - (IMS) 민수4사_월간운영현황보고_2023년 6월
 - (IMS) 별첨1.민수4사_월간운영현황보고_2023년 6월
 - (AMS)한화비전외2사_월간운영현황보고_2023년06월_전체
</t>
    </r>
    <r>
      <rPr>
        <rFont val="맑은 고딕"/>
        <color rgb="FF00B050"/>
        <sz val="11.0"/>
      </rPr>
      <t xml:space="preserve"> - ′23년 6월 AMS／그룹웨어／e-HR／IMS 월간 운영 보고</t>
    </r>
    <r>
      <rPr>
        <rFont val="맑은 고딕"/>
        <color theme="1"/>
        <sz val="11.0"/>
      </rPr>
      <t xml:space="preserve">
 - 한화비전_사용자계정현황_OS_202306
 - 한화비전_DBSAFER_사용자계정현황_DB_202306
 - 한화비전_DBMS_계정현황_DB_202306
 - 한화비전_접속로그_OS_202306
 - 한화비전_접속로그_DB_202306</t>
    </r>
  </si>
  <si>
    <t xml:space="preserve"> - 매달
 - (NW)</t>
  </si>
  <si>
    <t>정보시스템 장애예방을 위해 정기적으로 전문가에 의한 유지보수가 진행되고 있고, 이와 관련된 증적 자료(유지보수 관리 내역 포함)이 존재합니까?</t>
  </si>
  <si>
    <t xml:space="preserve"> - 매달 각 점검 대장에 맞춰서 점검 진행 중
 - 장비 별 유지보수 수행 (고객 계약서 참고)</t>
  </si>
  <si>
    <t xml:space="preserve"> - 유지보수 관리 계약서
 - 유지보수 관리 대장</t>
  </si>
  <si>
    <t>A.11.2.7</t>
  </si>
  <si>
    <t>장비 안전 폐기 및 재사용</t>
  </si>
  <si>
    <t>저장 매체를 포함하고 있는 모든 장비는 폐기 또는 재사용하기 전에 기밀 데이터와 라이선스 소프트웨어를 삭제하거나 안전한 덮어쓰기 처리를 보장하기 위하여 검증하여야 한다.</t>
  </si>
  <si>
    <r>
      <rPr>
        <rFont val="Malgun Gothic"/>
        <color rgb="FF000000"/>
        <sz val="11.0"/>
      </rPr>
      <t>7.14</t>
    </r>
    <r>
      <rPr>
        <rFont val="맑은 고딕"/>
        <color rgb="FF000000"/>
        <sz val="11.0"/>
      </rPr>
      <t>.1</t>
    </r>
  </si>
  <si>
    <t>ㅇ 정보시스템 저장매체의 고장수리, 자료복구 등을 외부인에게 의뢰할 경우 저장매체에 보관된 자료의 유출 방지를 위해 수리 및 복구를 담당하는 인원에게 정보보호서약서 징구, 정보보호 교육 등 보호조치를 적용 해야 하고 정보보호 담당자가 입회하여 작업을 감독하도록 규정되어 있음</t>
  </si>
  <si>
    <r>
      <rPr>
        <rFont val="Malgun Gothic"/>
        <color rgb="FF000000"/>
        <sz val="11.0"/>
      </rPr>
      <t xml:space="preserve">ㅇ 정보시스템 저장매체의 고장수리, 자료복구 등을 외부인에게 의뢰할 경우 저장매체에 보관된 자료의 유출 방지를 위해 수리 및 복구를 담당하는 인원에게 정보보호서약서 징구, 정보보호 교육 등 보호조치를 적용 해야 하고 정보보호 담당자가 입회하여 작업을 감독하도록 규정되어 있음
</t>
    </r>
    <r>
      <rPr>
        <rFont val="맑은 고딕"/>
        <color rgb="FF6600FF"/>
        <sz val="11.0"/>
      </rPr>
      <t>( 자산반출 관련 - 최승우 과장님(20230713 - 신청 양식 존재로 운영현황 작성 후 실사 때 자료 제공 가능 여부 확인 요청  )</t>
    </r>
  </si>
  <si>
    <t xml:space="preserve"> - 055. 불용자산 처리 계획 및 결과 보고
 - 055. 불용자산 처리 증적
 - 자산반출신청
 - 068. 업무지원포털-반출입 관리대장</t>
  </si>
  <si>
    <t xml:space="preserve"> - 23년 저장매체 관리대장
 - 23년 저장매체 반출입대장
 - 23년 저장매체 불용처리 계획서 및 결과 보고서
 - 23년 저장매체 불용처리확인서
</t>
  </si>
  <si>
    <r>
      <rPr>
        <rFont val="Malgun Gothic"/>
        <color rgb="FF000000"/>
        <sz val="11.0"/>
      </rPr>
      <t>7.14</t>
    </r>
    <r>
      <rPr>
        <rFont val="맑은 고딕"/>
        <color rgb="FF000000"/>
        <sz val="11.0"/>
      </rPr>
      <t>.2</t>
    </r>
  </si>
  <si>
    <t>ㅇ 개인정보 등 중요 자료 및 비밀자료(대외비 이상)를 저장한 저장매체는 폐기시 완전파괴하고 있음</t>
  </si>
  <si>
    <r>
      <rPr>
        <rFont val="Malgun Gothic"/>
        <color rgb="FF000000"/>
        <sz val="11.0"/>
      </rPr>
      <t xml:space="preserve">ㅇ 개인정보 등 중요 자료 및 비밀자료(대외비 이상)를 저장한 저장매체는 폐기시 완전파괴하고 있음
</t>
    </r>
    <r>
      <rPr>
        <rFont val="맑은 고딕"/>
        <color rgb="FF6600FF"/>
        <sz val="11.0"/>
      </rPr>
      <t xml:space="preserve">
( 자산반출 관련 - 최승우 과장님(20230713 - 신청 양식 존재로 운영현황 작성 후 실사 때 자료 제공 가능 여부 확인 요청  )</t>
    </r>
  </si>
  <si>
    <r>
      <rPr>
        <rFont val="Malgun Gothic"/>
        <color rgb="FF000000"/>
        <sz val="11.0"/>
      </rPr>
      <t xml:space="preserve"> - 055. 불용자산 처리 계획 및 결과 보고
 - 055. 불용자산 처리 증적
</t>
    </r>
    <r>
      <rPr>
        <rFont val="맑은 고딕"/>
        <color rgb="FF00B050"/>
        <sz val="11.0"/>
      </rPr>
      <t xml:space="preserve"> - 자산반출신청</t>
    </r>
    <r>
      <rPr>
        <rFont val="맑은 고딕"/>
        <color theme="1"/>
        <sz val="11.0"/>
      </rPr>
      <t xml:space="preserve">
 - 068. 업무지원포털-반출입 관리대장</t>
    </r>
  </si>
  <si>
    <t>A.6.2
모바일 기기 및 원격근무</t>
  </si>
  <si>
    <t>A.6.2.1</t>
  </si>
  <si>
    <t>모바일 기기 정책</t>
  </si>
  <si>
    <t xml:space="preserve">모바일 기기의 사용으로 인해 유발되는 위험을 관리하기 위하여 정책 및 이를 지원하는 보안 대책을 채택하여야 한다. </t>
  </si>
  <si>
    <t>책임님 확인(20230710)
추가증적확보(20230713)
최승우 과장님 ( 20230713 - 신청 양식 존재로 운영현황 작성 후 실사 때 자료 제공 가능 여부 확인 요청  )
ㅇ 모바일 환경에서 근무를 위한 한화 앱을 사용하기 위해서는 CIRCLE 내 모바일 오피스 관련 신청 및 설치를 하도록 관리되고 있음
ㅇ 노트북, 모바일 등 유무선 내부 네트워크에 접속하기 위해서는 IP를 할당 받거나 등록하여,  사용 신청에 대한 승인을 받고록 관리하고 있음</t>
  </si>
  <si>
    <r>
      <rPr>
        <rFont val="Malgun Gothic"/>
        <color theme="1"/>
        <sz val="11.0"/>
      </rPr>
      <t xml:space="preserve"> - 한화시스템(ISO27001) - IS 707803
 - 한화시스템(ISO20000) - ITMS 707805
 - 한화시스템(ISO27017) - CLOUD 707804
</t>
    </r>
    <r>
      <rPr>
        <rFont val="맑은 고딕"/>
        <color rgb="FF00B050"/>
        <sz val="11.0"/>
      </rPr>
      <t xml:space="preserve"> - DRM 문서 암호해제(복호화) 권한 신청(타인)(양식)
 - DRM 문서 프린트 마킹 예외신청(양식)
 - 그룹웨어(서클) 가입신청서(양식)
 - 그룹웨어(서클) 가입신청서 및 연장신청서(협력사용)(양식)
 - 모바일기기 WIFI 서비스 신청서(양식)
 - 무선 AP 등록 신청서(WIPS)(양식)</t>
    </r>
    <r>
      <rPr>
        <rFont val="맑은 고딕"/>
        <color theme="1"/>
        <sz val="11.0"/>
      </rPr>
      <t xml:space="preserve">
 - 사용자 엔드포인트 장치 앱
</t>
    </r>
    <r>
      <rPr>
        <rFont val="맑은 고딕"/>
        <color rgb="FF00B050"/>
        <sz val="11.0"/>
      </rPr>
      <t xml:space="preserve"> - 유무선 IP주소 및 LAN Cable 설치신청서(양식)</t>
    </r>
    <r>
      <rPr>
        <rFont val="맑은 고딕"/>
        <color theme="1"/>
        <sz val="11.0"/>
      </rPr>
      <t xml:space="preserve">
 - 모바일 앱 화면</t>
    </r>
  </si>
  <si>
    <t xml:space="preserve">  - 모바일 서비스를 사용하고 있습니까?</t>
  </si>
  <si>
    <t xml:space="preserve">1. PC 보안통제 증적 (노트북)
2. 파일은 DRM 사용 중
3. 업무는 그룹웨어 
ICT ISO27001 인증 받음
4. 모바일 옙
</t>
  </si>
  <si>
    <t>A.11.2.8</t>
  </si>
  <si>
    <t>방치된 사용자 장비</t>
  </si>
  <si>
    <t>사용자는 방치된 장비에 대한 적절한 보호를 보장하여야 한다.</t>
  </si>
  <si>
    <r>
      <rPr>
        <rFont val="Malgun Gothic"/>
        <color theme="1"/>
        <sz val="11.0"/>
      </rPr>
      <t>8.1.2</t>
    </r>
  </si>
  <si>
    <t>ㅇ OA 대여 신청서, 전산기기지급대장 및 전산기기 사용자 변경 신청서를 작성하여 지급 및 대여의 이력 관리를 실시하고 있음
ㅇ [별첨 #9] 사무실 보안 점검 체크리스트를 활용하여 부서 별 자체 점검을 수시로 실시하고 있으며, 전사를 대상으로도 분기 1회 이상 사무실 보안 점검을 실시하고 있음 
ㅇ 사무실 보안점검 대장 증적 확보 후 재작성</t>
  </si>
  <si>
    <r>
      <rPr>
        <rFont val="Malgun Gothic"/>
        <color theme="1"/>
        <sz val="11.0"/>
      </rPr>
      <t xml:space="preserve">ㅇ </t>
    </r>
    <r>
      <rPr>
        <rFont val="맑은 고딕"/>
        <color rgb="FF00B050"/>
        <sz val="11.0"/>
      </rPr>
      <t>전산기기지급대장 및 전산기기 사용자 변경 신청서 등을 작</t>
    </r>
    <r>
      <rPr>
        <rFont val="맑은 고딕"/>
        <color theme="1"/>
        <sz val="11.0"/>
      </rPr>
      <t xml:space="preserve">성하여 지급 및 대여의 이력 관리를 실시하고 있음
</t>
    </r>
  </si>
  <si>
    <t xml:space="preserve"> - 수시로 진행되는 사무실 보안 점검 대장 등에 대한 제출용 증적이 있습니까?</t>
  </si>
  <si>
    <t xml:space="preserve"> - 사무실 보안 점검 대장
 - 구매시스템(구매요청품의서 PC/OA)
 - 전자결재(OA 대여 신청서)</t>
  </si>
  <si>
    <t>A.9.2.3</t>
  </si>
  <si>
    <t>특수 접근권한 관리</t>
  </si>
  <si>
    <t>특권의 할당 및 사용은 제한적이어야 하고 통제되어야 한다.</t>
  </si>
  <si>
    <t xml:space="preserve">ㅇ 특수 접근 권한의 할당 및 사용에 관하여 서버 계정 신청 및 서버 및 DB 접근제한 신청서를 작성하여 승인을 받도록 관리되어지고 있음
ㅇ 한화비전은 한화시스템ICT로부터 특수 권한 사용자 계정 현황에 대해서 월간 운영 현황을 보고받고 있음
ㅇ HR의 경우 admin 권한 소유자만 타이용자에게 권한을 부여할 수 있음
최승우과장님(20230713) - 실사 시 계약서 해당 부분 확인 예정
</t>
  </si>
  <si>
    <r>
      <rPr>
        <rFont val="맑은 고딕"/>
        <color rgb="FF00B050"/>
        <sz val="11.0"/>
      </rPr>
      <t xml:space="preserve"> - 서버 계정 신청서(접근제어 포함)
 - 서버 및 DB 접근권한 신청서</t>
    </r>
    <r>
      <rPr>
        <rFont val="맑은 고딕"/>
        <color theme="1"/>
        <sz val="11.0"/>
      </rPr>
      <t xml:space="preserve">
 - (IMS) 별첨2.한화테크윈_사용자계정현황_OS_202208
 - (IMS) 별첨3.한화테크윈_사용자계정현황_DB_202208
 - (IMS) 한화테크윈 월간운영보고 시스템 모니터링 보고서(슈퍼유저 접근 관리)
 - 8.2.1.특수접근권한부여(HR)
 - 8.2.1 슈퍼계정 검토 및 보고(인프라)
 - 8.2.1 슈퍼계정 권한부여(인프라)
 - 8.2.1 하이웨어 계정 관리(NW)</t>
    </r>
  </si>
  <si>
    <t xml:space="preserve"> - N/A
 - 매일
 - (NW)</t>
  </si>
  <si>
    <t xml:space="preserve"> - SS3팀 이예진 사원(HR)
 - 신창중(인프라)
 - (NW)</t>
  </si>
  <si>
    <t xml:space="preserve"> - 경영혁신팀
 - 경영혁신팀
 - (NW)</t>
  </si>
  <si>
    <t xml:space="preserve"> - 온프레미스(서버,데이터베이스 등) 슈퍼유저 계정에 대한 권한 부여의 절차는 어떻게 됩니까?
 - 온프레미스(서버,데이터베이스 등) 슈퍼유저의 정기적인 권한 사용에 대한 검토 주기는 어떻게 됩니까?</t>
  </si>
  <si>
    <t xml:space="preserve"> - admin 권한 소유자가 권한 부여
 - 슈퍼유저 계정은 계정관리 담당자에게 부여. 매월 운영현황보고 시 검토 및 보고 중
 - 하이웨어 계정별 설정 (계정권한 및 마지막 접속일)</t>
  </si>
  <si>
    <t xml:space="preserve"> - 슈퍼유저 계정 권한 부여/관리 화면
 - 계정 관리 대장
 - 정기적인 계정 권한 검토 및 보고</t>
  </si>
  <si>
    <t>ICT 월간 ITO 보고</t>
  </si>
  <si>
    <r>
      <rPr>
        <rFont val="Malgun Gothic"/>
        <color theme="1"/>
        <sz val="11.0"/>
      </rPr>
      <t>8.2.2</t>
    </r>
  </si>
  <si>
    <t xml:space="preserve">ㅇ 서버 계정을 할당 받아 서버 및 DB 접근 권한을 신청하여 승인받은 사용자가 해당 서버 및 DB에 접근하는 경우, 장비명과 IP, 사용 시간 및 접속 시간에 대한 로그를 기록하고 있음
ㅇ 한화비전은 한화시스템ICT로부터 특수 권한 사용자 계정 현황에 대해서 월간 운영 현황을 보고받고 있음
ㅇ HR의 경우 admin 권한 소유자 접속시마다 로그를 기록하고 있음
ㅇ 온프레미스와 클라우드에 관한 내용은 한 번에 관리하고 있음
최승우과장님(20230713) - 실사 시 계약서 해당 부분 확인 예정
</t>
  </si>
  <si>
    <t xml:space="preserve"> - 접속시
 - 매일
 - (NW)</t>
  </si>
  <si>
    <t xml:space="preserve"> - 온프레미스(서버,데이터베이스 등)온프레미스 및 클라우드의 슈퍼유저 사용시에 대한 로그를 저장하고 있습니까?</t>
  </si>
  <si>
    <t xml:space="preserve"> - (슈퍼유저 접속로그 접속시 마다 저장되고 있음)
 - 슈퍼유저 계정 접속 시도 시 로그 기록
 -  접근제어 솔루션에서 장비 접속 기록 로깅</t>
  </si>
  <si>
    <t xml:space="preserve"> - 온프레미스 슈퍼유저 로그 저장 데이터 화면
 - 클라우드 슈퍼유저 로그 저장 데이터 화면</t>
  </si>
  <si>
    <t>A.9.4.1</t>
  </si>
  <si>
    <t>정보 접근제한</t>
  </si>
  <si>
    <t>접근통제 정책에 따라 정보와 응용 시스템 기능에 대한 접근을 제한하여야 한다.</t>
  </si>
  <si>
    <r>
      <rPr>
        <rFont val="Malgun Gothic"/>
        <color theme="1"/>
        <sz val="11.0"/>
      </rPr>
      <t xml:space="preserve"> - 그룹웨어(서클) 가입신청서
 - 그룹웨어(서클) 가입신청서 및 연장신청서(협력사용)
 - (IMS) 별첨2.한화테크윈_사용자계정현황_OS_202208
 - (IMS) 별첨3.한화테크윈_사용자계정현황_DB_202208
</t>
    </r>
    <r>
      <rPr>
        <rFont val="맑은 고딕"/>
        <color rgb="FF00B050"/>
        <sz val="11.0"/>
      </rPr>
      <t xml:space="preserve"> - VDI 신청서(원격근무)
 - 모바일기기 WIFI 서비스 신청서
 - 무선 AP 등록 신청서(WIPS)
 - 방화벽 등록 신청서
 - 보안 SW 미설치 PC 네트워크 접속 신청
 - 업무용 Network 장비 신청서
 - 유무선 IP주소 및 LAN Cable 설치신청서
 - 해외임직원VPN신청서(원격근무)</t>
    </r>
    <r>
      <rPr>
        <rFont val="맑은 고딕"/>
        <color theme="1"/>
        <sz val="11.0"/>
      </rPr>
      <t xml:space="preserve">
 - 8.3.1.접근통제관리현황(HR)
 - 8.3.1 사용자별 서버접근통제 관리현황(인프라)</t>
    </r>
  </si>
  <si>
    <t>증빙완료
최승우_230728</t>
  </si>
  <si>
    <t xml:space="preserve"> - N/A 
 - 매일</t>
  </si>
  <si>
    <t xml:space="preserve"> - SS3팀 이예진 사원(HR)
 - 신창중(인프라)</t>
  </si>
  <si>
    <t xml:space="preserve"> - 온프레미스(서버,데이터베이스 등) 및 클라우드의 각자 설정된 접근권한들에 대한 증적을 제공해 주실수 있습니까?</t>
  </si>
  <si>
    <t xml:space="preserve"> - (SVN 서버  USER, ADMIN 권한 소유자 증적)
 - 사용자별 서버 접근 권한 설정</t>
  </si>
  <si>
    <t xml:space="preserve"> - 사용자별 접근 통제 관리 현황(온프레미스 및 클라우드)
 - 계정 관리 대장</t>
  </si>
  <si>
    <t>A.9.4.5</t>
  </si>
  <si>
    <t>프로그램 소스코드 접근통제</t>
  </si>
  <si>
    <t>프로그램 소스 코드에 대한 접근은 제한되어야 한다.</t>
  </si>
  <si>
    <t>ㅇ Java EE workspace 개발도구를 활용하여 소스코드를 개발하고 있고, HPLM으로 사용자 등록을 신청하고 승인받아, VisualSVN Server에 등록된 사용자만 소스코드에 접근이 가능하도록 관리하고 있음
ㅇ 형상관리 시스템 접근 권한은 HPLM의 운영 담당하고 있는 한화시스템의 운영담당자만 가지고 있으며, HPLM의 일반 사용자는 접근 불가하고, HPLM 운영담당자 또한 담당에 따라 사용 권한을 달리 부여하여 통제가 이루어지고 있음
인터뷰 질의서 확인 요청</t>
  </si>
  <si>
    <t xml:space="preserve"> - 상시
 - 상시
 - 프로그램 변경 및 반영 시 
 - 수시</t>
  </si>
  <si>
    <t xml:space="preserve"> - 황의예
 - 한화시스템 김태형 대리
 - SS3팀 이예진 사원(HR)
 - 김윤기 대리(그룹웨어)</t>
  </si>
  <si>
    <t xml:space="preserve"> - 경영혁신팀
 - 개발기획팀
 - 경영혁신팀
 - 경영혁신팀</t>
  </si>
  <si>
    <t xml:space="preserve"> - 형상관리 시스템 접근 권한 관리 화면을 증적으로 제공해 주실수 있습니까?</t>
  </si>
  <si>
    <t xml:space="preserve"> - 
 - 형상관리 시스템 접근 권한은 HPLM의 운영 담당하고 있는 한화시스템의 운영담당자만 가지고 있음. HPLM의 일반 사용자는 접근 불가 (메일 캡쳐 참고). 추가로 HPLM 시스템의 경우에도 사용자에 따라 사용 권한을 달리 부여함 (메일 캡쳐화면 참고).
 - (프로그램 반영 화면, SVN USER, ADMIN 권한 화면)
 - CVS로 관리되며 서버 접근제어를 통해 접근 후 터미널에서 계정 관리</t>
  </si>
  <si>
    <t xml:space="preserve"> - 형상관리 시스템 접근 권한 관리 화면</t>
  </si>
  <si>
    <t>A.9.4.2</t>
  </si>
  <si>
    <t>안전한 로그인 절차</t>
  </si>
  <si>
    <t>운영시스템에 대한 접근은 안전한 로그온 절차에 의해 통제되어야 한다.</t>
  </si>
  <si>
    <t>ㅇ1차 인증은 사용자 계정과 비밀번호로 인증이 이루어지며, 2차 인증은 OTP 인증을 받아야 시스템에 접근이 가능함.
5.17.3 증적 재활용 가능 확인
최승우과장님</t>
  </si>
  <si>
    <t xml:space="preserve"> - 로그인 시
 - (NW)</t>
  </si>
  <si>
    <t xml:space="preserve"> - 신장중(인프라)
 - (NW)</t>
  </si>
  <si>
    <t xml:space="preserve"> - 시스템 별 인증 절차 화면 증적으로 제공해 주실수 있습니까?</t>
  </si>
  <si>
    <t xml:space="preserve"> - 1차 ID/PW 입력. 2차 OTP 입력
 - 하이웨어에서 계정별 권한 부여</t>
  </si>
  <si>
    <t xml:space="preserve"> - 시스템 별 인증 절차 화면</t>
  </si>
  <si>
    <t>A.12.1
운영 절차 및 책임</t>
  </si>
  <si>
    <t>A.12.1.3</t>
  </si>
  <si>
    <t>용량 관리</t>
  </si>
  <si>
    <t>필요한 시스템 성능을 보장하기 위하여 자원의 사용을 모니터링 및 조절하고 향후 용량 요구사항을 예측하여야 한다.</t>
  </si>
  <si>
    <t xml:space="preserve"> - 임계치 초과 시
 - (NW)</t>
  </si>
  <si>
    <t>경영혁신팀
 - (NW)</t>
  </si>
  <si>
    <t xml:space="preserve"> - 임계치 근접 및 초과 시 알람에 대한 증적 자료를 제공받을 수 있습니까?</t>
  </si>
  <si>
    <t xml:space="preserve"> - 임계치 초과 시 온튠 뷰어 이벤트 화면 및 SMS 알림 제공
 - NMS통해 네트워크 장비 리소스 점검 및 알림</t>
  </si>
  <si>
    <t xml:space="preserve"> - 임계치 근접 및 초과 시 SMS 등 알림 화면</t>
  </si>
  <si>
    <t>A.12.2
악성코드 방지</t>
  </si>
  <si>
    <t>A.12.2.1</t>
  </si>
  <si>
    <t>악성코드 통제</t>
  </si>
  <si>
    <t>악성코드로부터 보호하기 위하여 탐지, 예방, 복구 통제를 구현하고 적절한 사용자 인식 교육을 연계하여야 한다.</t>
  </si>
  <si>
    <t>최승우 과장님 20230713 - V3 EPP APC 관련해서 사용중 &gt; 온프레미스, 클라우드 같이 관리
 - 백신 관리 화면 확보 후 재작성</t>
  </si>
  <si>
    <t xml:space="preserve"> - 보안?</t>
  </si>
  <si>
    <t xml:space="preserve"> - 온프레미스(Window,Linux) 및 클라우드 서버의 사용중인 백신 및 버전의 이력을 별도로 관리하고 있습니까? </t>
  </si>
  <si>
    <t xml:space="preserve"> - 백신 및 버전 이력관리 대장(온프레미스, 클라우드)</t>
  </si>
  <si>
    <t>A.12.6
기술적 취약점 관리</t>
  </si>
  <si>
    <t>A.12.6.1</t>
  </si>
  <si>
    <t>사용 중인 정보시스템의 기술 취약점 정보를 적시에 수집하고, 해당 취약점에 대한 조직의 노출 정도를 평가하여 관련 위험을 해결할 수 있는 적절한 조치를 취해야 한다.</t>
  </si>
  <si>
    <t>ㅇ 정보시스템에 대해 매년 2회 이상 정기 취약점 점검을 실시하고 도출된 취약점 제거 등 개선 조치하고 있음
ㅇ 클라우드 취약점 점검은 연 1회 이상 실시하고 취약점 외 클라우드 서비스의 특성에 따른 고유 위험에 대해서도 추가적인 점검을 실시하고 있음
※ 최승우 과장님 - 클라우드 관련된 취약점 관리 및 진단은 일반 서버와 같은 형태로 진행한다고 해주심(20230713)</t>
  </si>
  <si>
    <t>증빙예정
최승우_230728</t>
  </si>
  <si>
    <t xml:space="preserve"> - 최신화된 취약점 진단 결과(인프라, 웹, 모의해킹, 시큐어코딩)에 대한 증적 자료를 제공받을 수 있습니까?
(온프레미스, 클라우드)</t>
  </si>
  <si>
    <t xml:space="preserve"> - (인프라)
 - 상반기 / 하반기 취약점 진단 진행</t>
  </si>
  <si>
    <t xml:space="preserve"> - 온프레미스, 클라우드 정기적 취약점 진단 결과(계획서, 진단 이력, 결과 보고서, 조치 계획 및 보고서)</t>
  </si>
  <si>
    <r>
      <rPr>
        <rFont val="Malgun Gothic"/>
        <color theme="1"/>
        <sz val="11.0"/>
      </rPr>
      <t>8.8.2</t>
    </r>
  </si>
  <si>
    <t>ㅇ 주기적으로 과학기술정보통신부의 "주요정보통신기반시설 기술적 취약점 분석평가 가이드"를 기반으로 정보시스템에 대한 기술적 취약점 진단과 웹서비스에 대한 모의해킹을 수행하고 있음
* 인터뷰 후 재작성</t>
  </si>
  <si>
    <t>ㅇ 주기적으로 과학기술정보통신부의 "주요정보통신기반시설 기술적 취약점 분석평가 가이드"를 기반으로 정보시스템에 대한 기술적 취약점 진단과 웹서비스에 대한 모의해킹을 수행하고 있음
※ 최승우 과장님 - 클라우드 관련된 취약점 관리 및 진단은 일반 서버와 같은 형태로 진행한다고 해주심(20230713)</t>
  </si>
  <si>
    <r>
      <rPr>
        <rFont val="Malgun Gothic"/>
        <color theme="1"/>
        <sz val="11.0"/>
      </rPr>
      <t>ㅇ 주기적으로 과학기술정보통신부의 "주요정보통신기반시설 기술적 취약점 분석평가 가이드"를 기반으로 정보시스템에 대한 기술적 취약점 진단과 웹서비스에 대한</t>
    </r>
    <r>
      <rPr>
        <rFont val="맑은 고딕"/>
        <color rgb="FF00B050"/>
        <sz val="11.0"/>
      </rPr>
      <t xml:space="preserve"> 모의해킹을 </t>
    </r>
    <r>
      <rPr>
        <rFont val="맑은 고딕"/>
        <color theme="1"/>
        <sz val="11.0"/>
      </rPr>
      <t xml:space="preserve">수행하고 있음
</t>
    </r>
  </si>
  <si>
    <t xml:space="preserve"> - 최신화된 취약점 점검 보고서에 대한 증적 자료를 제공받을 수 있습니까?
 - 취약점 점검은 어떤 기준으로 실시하고 있는지?
(클라우드 취약점 점검 리스트)</t>
  </si>
  <si>
    <t>ㅇ 형상관리 계획서와 테스트 설계서와 결과서를 문서화하여 관리하고 있고, 형상관리 계획서에는 형상항목 식별, 형상관리 환경, 형상 권한 통제, 형상관리 감사, 형상활동 모니터링에 관한 내용을 기반으로 형상관리가 이루어짐
ㅇ 일정 주기를 기준으로 정기배포를 진행하며 매주 작업 진행 건에 대해 문서화 하여 결재 처리하고 있음
ㅇ ITSM을 통해 형상에 대한 변경, 테스트 설계 및 결과에 대한 문서화가 이루어지고 있음
최승우과장님</t>
  </si>
  <si>
    <t xml:space="preserve"> - (ERP)
 - 주 1회</t>
  </si>
  <si>
    <t xml:space="preserve"> - 정용덕(ERP)
 - 김윤기 대리(그룹웨어)</t>
  </si>
  <si>
    <t xml:space="preserve"> - S-ERP
 - 경영혁신팀</t>
  </si>
  <si>
    <t xml:space="preserve"> - 형상관리 대상 전반에 대해 문서화하여 관리하고 있습니까?</t>
  </si>
  <si>
    <t xml:space="preserve"> - ERP
 - 주 1회 목요일 정기배포를 진행하며 매주 작업 진행 건에 대해 문서화 하여 결재 처리
 - ITSM을 통해 변경/문제/장애 이력 관리</t>
  </si>
  <si>
    <t xml:space="preserve"> - SW형상관리규칙에 포함된 형상관리 관련 문서
(계획서, 결과서 등)</t>
  </si>
  <si>
    <r>
      <rPr>
        <rFont val="Malgun Gothic"/>
        <color theme="1"/>
        <sz val="11.0"/>
      </rPr>
      <t>8.9.2</t>
    </r>
  </si>
  <si>
    <t xml:space="preserve"> - (ERP)
 - 주 1회
 - (인프라)
 - (NW)</t>
  </si>
  <si>
    <t xml:space="preserve"> - 정용덕(ERP)
 - 김윤기 대리(그룹웨어)
 - ITO?
 - (NW)</t>
  </si>
  <si>
    <t xml:space="preserve"> - S-ERP
 - 경영혁신팀
 - 경영혁신팀
 - (NW)</t>
  </si>
  <si>
    <t xml:space="preserve"> - 영향분석/평가 및 심의를 수행하고 있습니까?</t>
  </si>
  <si>
    <t xml:space="preserve"> - (ERP)
 - 코드 영향도 분석회의 록 및 변경 내역 첨부하여 내부 결재 처리
 - (인프라)
 -  ITSM 변경 처리 상신 시 영향도 분석</t>
  </si>
  <si>
    <t xml:space="preserve"> - 영향분석/평가 및 심의 수행 관련 증적</t>
  </si>
  <si>
    <t xml:space="preserve"> - (ERP)
 - 수시
 - (인프라)
 - (NW)</t>
  </si>
  <si>
    <t xml:space="preserve"> - 변경 사항 발생시 변경 내용은 어떤 방식으로 SW개발자에게 전달하고 있습니까?</t>
  </si>
  <si>
    <t xml:space="preserve"> - 고객을 요청사항은 CR로 솔맨에 생성됨. 운영개발자는 영향도분석 수행후, 설계서를 작성하여 개발자에게 배정함. 이 모든 절차는 솔맨을 통해 진행됨 (증빙은 8.9.1 / 8.9.2 항목의 파일들 참조)
 -  ITSM 시스템을 통해 문의 접수 후 개발담당자(현장대리인) 이관 처리
 - (인프라)
 - ITSM 변경처리 등록 항목에 관련 자들에게 공유 여부 체크리스트 확인</t>
  </si>
  <si>
    <t xml:space="preserve"> - 변경 사항 발생시 SW개발자에게 전달 방법
 - 형상관리시스템 내의 ‘Change Request’에 등록 화면
 - 형상관리시스템 내의 ‘Change Request’ 승인 검토 화면</t>
  </si>
  <si>
    <t>ㅇ 개인정보의 이용 및 보유기간을 정하여 개인정보를 관리하며, 보유 및 이용기간은 필요 최소한의 기간으로 정하고 있음</t>
  </si>
  <si>
    <t>ㅇ 개인정보 관리 화면 증적 확보 후 재작성</t>
  </si>
  <si>
    <r>
      <rPr>
        <rFont val="Malgun Gothic"/>
        <color theme="1"/>
        <sz val="11.0"/>
      </rPr>
      <t xml:space="preserve">ㅇ 개인정보의 이용 및 보유기간을 정하여 개인정보를 관리하며, 보유 및 이용기간은 필요 최소한의 기간으로 정하고 있음
ㅇ 정보시스템 기타 저장매체에 대하여 불용처리 시에 </t>
    </r>
    <r>
      <rPr>
        <rFont val="맑은 고딕"/>
        <color rgb="FF00B050"/>
        <sz val="11.0"/>
      </rPr>
      <t>HDD를 물리적 폐기</t>
    </r>
    <r>
      <rPr>
        <rFont val="맑은 고딕"/>
        <color theme="1"/>
        <sz val="11.0"/>
      </rPr>
      <t>하고 출력서류의 경우 문서 폐기함으로 파쇄하고 있음
ㅇ 임직원 퇴사 등</t>
    </r>
    <r>
      <rPr>
        <rFont val="맑은 고딕"/>
        <color rgb="FF00B050"/>
        <sz val="11.0"/>
      </rPr>
      <t xml:space="preserve"> PC 반납에</t>
    </r>
    <r>
      <rPr>
        <rFont val="맑은 고딕"/>
        <color theme="1"/>
        <sz val="11.0"/>
      </rPr>
      <t xml:space="preserve"> 관하여 초기화 및 OS 재설치가 이루어 지고 있음</t>
    </r>
  </si>
  <si>
    <t xml:space="preserve"> - ITAM 폐기자산
 - 문서 폐기함 사진
 - 불용자산 처리 계획 및 결과 보고
 - 불용자산 처리 증적
 - 퇴직공람 샘플</t>
  </si>
  <si>
    <t>인사지원팀
경영혁신팀</t>
  </si>
  <si>
    <t xml:space="preserve"> - 개인정보의 보유 및 이용기간은 어떻게 됩니까?</t>
  </si>
  <si>
    <t xml:space="preserve"> - 개인정보 관리 화면</t>
  </si>
  <si>
    <t xml:space="preserve"> - 개인정보 관리 화면
 - 비전 HDD 폐기 이력
 - 임직원 퇴사 시 PC 반납 절차 (OS 재설치 등) 
</t>
  </si>
  <si>
    <t xml:space="preserve">ㅇ 업무시스템 보안에서 접근권한 부여시 개인정보가 처리되는 업무 담당시 목적에 따른 접근권한 분류 및 차등권한을 부여하고 마스킹 등 보호조치를 적용하고 있음
 1. 개인정보의 출력 및 인쇄 시 용도에 따라 중요 항목의 최소화 출력
 2. 개인정보가 출력되는 화면 내 화면캡쳐 기능 차단 
 3. 개인정보 다운로드 시 승인 기능
 4. List 성 개인정보 열람 시 마스킹 처리 등
 5. 마스킹 처리된 정보에 대한 소스보기 시 개인정보 등의 노출 금지 등
</t>
  </si>
  <si>
    <t>ㅇ 테스트서버 사용자 정보 마스킹하고 전화번호에 대해 의미없는 값으로 치환(1234-1234)하게 되어 있음
ㅇ OPS, SCM 등 일부 시스템에서는 그룹웨어 ID, 직위, 법인, 부서, 메일정보 이외에는 사용자 정보 자체를 활용하지 않음
ㅇ 목적에 따른 개인정보 조회 및 출력에 차이를 두어 개인정보 노출을 감소하기 위한 관리가 이루어지고 있음
ㅇ 운영서버는 사원 조회 목적으로 관리하기 때문에 정보에 대하여 마스킹처리를 하고 있지 않음
마스킹 부분 확인 어려움 &gt; 증적 재요청
 - BSP, HPLM &gt; 운영서버</t>
  </si>
  <si>
    <r>
      <rPr>
        <rFont val="Malgun Gothic"/>
        <color theme="1"/>
        <sz val="11.0"/>
      </rPr>
      <t>ㅇ 테스트서버 사용자 정보 마스킹하고 전화번호에 대해 의미없는 값으로 치환(1234-1234)하게 되어 있음
ㅇ OPS, SCM 등 일부 시스템에서는 그룹웨어 ID, 직위, 법인, 부서, 메일정보 이외에는 사용자 정보 자체를 활용하지 않아 목적에 따른 개인정보 조회 및 출력에 차이를 두어 개인정보 노출을 감소하기 위한 관리가 이루어지고 있음
ㅇ 운영서버는 사원 조회 목적으로 관리하기 때문에 정보에 대하여</t>
    </r>
    <r>
      <rPr>
        <rFont val="맑은 고딕"/>
        <color rgb="FF00B050"/>
        <sz val="11.0"/>
      </rPr>
      <t xml:space="preserve"> 마스킹처리</t>
    </r>
    <r>
      <rPr>
        <rFont val="맑은 고딕"/>
        <color theme="1"/>
        <sz val="11.0"/>
      </rPr>
      <t xml:space="preserve">를 하고 있지 않음
</t>
    </r>
  </si>
  <si>
    <t xml:space="preserve"> - 8.11.1 접근 권한 분류 및 마스킹 처리(BSP)
 - 8.11.1 사용자 관리화면(HPLM)
 - 8.11.1 사용자 관리화면(SCM)
 - 8.11.1_형상관리_그룹웨어
 - 8.11.1 사용자 관리화면(OPS)</t>
  </si>
  <si>
    <t xml:space="preserve"> - 1일
 - (HPLM)
 - (ERP)
 - 1일
 - 수시
 - 1일</t>
  </si>
  <si>
    <t xml:space="preserve"> - 한주원 사원(BSP)
 - (HPLM)
 - (ERP)
 - 한승희 과장(SCM)
 - 김윤기 대리(그룹웨어)
 - 오국경 과장(OPS)</t>
  </si>
  <si>
    <t xml:space="preserve"> - 경영혁신팀
 - (HPLM)
 - (ERP)
 - 경영혁신팀
 - 경영혁신팀
 - 경영혁신팀</t>
  </si>
  <si>
    <t xml:space="preserve"> - 업무 목적에 맞게 접근 권한을 분류하고 개인정보에 대해 마스킹 처리를 하고 있습니까?</t>
  </si>
  <si>
    <t xml:space="preserve"> - 개인정보(전화번호 등)가 노출되는 화면은 특정 권한을 가진 관리자만 접근이 가능합니다.
 - (HPLM)
 - (ERP)
 - SCM에서는 그룹웨어 ID, 직위, 법인, 부서, 메일정보 이외에는 사용자 정보를 활용하지 않습니다.
 - 개발서버 정보에 대해서는 개인정보 마스킹 처리가 되어 있으며, 운영서버는 사원 조회 목적의 정보에 대해서는 미처리
 - OPS에서는 그룹웨어 ID, 직위, 법인, 부서, 메일정보 이외에는 사용자 정보를 활용하지 않습니다.</t>
  </si>
  <si>
    <t xml:space="preserve"> - 접근 권한 대장
 - 마스킹 처리 화면</t>
  </si>
  <si>
    <t>한화시스템 ITO
ERP(SDS)</t>
  </si>
  <si>
    <t xml:space="preserve"> - 마스킹 처리 화면</t>
  </si>
  <si>
    <t>마스킹 처리</t>
  </si>
  <si>
    <r>
      <rPr>
        <rFont val="Malgun Gothic"/>
        <color rgb="FF000000"/>
        <sz val="11.0"/>
      </rPr>
      <t xml:space="preserve"> - 코소시스DLP 관리자 계정 증적1(접근통제,PW변경주기)
</t>
    </r>
    <r>
      <rPr>
        <rFont val="맑은 고딕"/>
        <color rgb="FF00B050"/>
        <sz val="11.0"/>
      </rPr>
      <t xml:space="preserve"> - DRM 문서 암호해제(복호화) 권한 신청(타인)
 - DRM 문서 프린트 마킹 예외신청
 - PC보안(CososysDLP) 정책예외신청서
 - 유무선 IP주소 및 LAN Cable 설치신청서
</t>
    </r>
    <r>
      <rPr>
        <rFont val="맑은 고딕"/>
        <color theme="1"/>
        <sz val="11.0"/>
      </rPr>
      <t xml:space="preserve"> - DRM 증적 SoftCamp
 - DRM 증적 SoftCamp_일괄암호화
 - 한화비전_보안월간보고_2023년5월_저장매체 쓰기 제한</t>
    </r>
  </si>
  <si>
    <t>증빙완료</t>
  </si>
  <si>
    <t xml:space="preserve"> - 데이터 유출 방지 차단에 관련된 증적을 제공 받을수 있습니까?</t>
  </si>
  <si>
    <t xml:space="preserve"> - 네트워크 차단 솔루션(NAC)을 통해 IP 및 MAC 기반 접근을 제한 화면
 - PC보안솔루션(DLP), 문서보안솔루션(DRM) 적용 화면</t>
  </si>
  <si>
    <t>질의없</t>
  </si>
  <si>
    <r>
      <rPr>
        <rFont val="Malgun Gothic"/>
        <color theme="1"/>
        <sz val="11.0"/>
      </rPr>
      <t>8.12.2</t>
    </r>
  </si>
  <si>
    <t>인터뷰 질의가 안나간 항목입니다
하지만 해당 내용과 증적으로 처리 가능해보입니다.
ㅇ 사내 NW접속전산기기 현황 관리를 통해 IP를 부여하고 필수 보안 설치 현황관리를 통제하고 있음
ㅇ 무선 네트워크 장비(AP)의 비 인가 접근 및 불법적인 접속 등을 예방하고 있음
1. 무선 네트워크 내 기기 등록 통제(IP주소, MAC 통제)
2. 관리자 페이지는 계정 및 패스워드 외 MAC 접근통제
3. 기본 SSID 및 무선 네트워크 장비의 초기 관리자 패스워드 변경 등</t>
  </si>
  <si>
    <r>
      <rPr>
        <rFont val="Malgun Gothic"/>
        <color theme="1"/>
        <sz val="11.0"/>
      </rPr>
      <t xml:space="preserve"> - 별첨7 정보보안 운영내역(pclient)
</t>
    </r>
    <r>
      <rPr>
        <rFont val="맑은 고딕"/>
        <color rgb="FF00B050"/>
        <sz val="11.0"/>
      </rPr>
      <t xml:space="preserve"> - 모바일기기 WIFI 서비스 신청서(양식)
 - 무선 AP 등록 신청서(WIPS)(양식)
 - 유무선 IP주소 및 LAN Cable 설치신청서(양식)</t>
    </r>
    <r>
      <rPr>
        <rFont val="맑은 고딕"/>
        <color theme="1"/>
        <sz val="11.0"/>
      </rPr>
      <t xml:space="preserve">
 - 205. SSLVPN 필수SW 정책 적용(NAC)
 - 민수3사_WIPS_증적1 ~ 5</t>
    </r>
  </si>
  <si>
    <t>A.12.3
백업</t>
  </si>
  <si>
    <t>A.12.3.1</t>
  </si>
  <si>
    <t>합의된 백업 정책에 따라 주기적으로 정보, 소프트웨어, 시스템 이미지에 대한 백업 복사본을 생성하고 시험하여야 한다.</t>
  </si>
  <si>
    <t>ㅇ 한화비전은 한화ICT로부터 장애를 대비하하기 위한 정보시스템 백업 계획을 수립하여 이행하고 있으며, 정기적으로 복구테스트를 실시하고 이에 대한 보고를 받고 있음
※ 한화시스템ICT는 ISO27000, ISO27001, ISO27017 인증을 받아, 백업서비스 및 사이트복구 서비스 등을 제공하고 있음
최승우과장님(20230713) - 클라우드, 온프레미스 한번에 관리, 실사 시 계약서 해당 부분 확인 예정</t>
  </si>
  <si>
    <t xml:space="preserve"> - 매일</t>
  </si>
  <si>
    <t xml:space="preserve"> - 신창중(인프라)</t>
  </si>
  <si>
    <t xml:space="preserve"> - 최신화된 시스템별 백업 현황을 파악할 수 있는 증적자료(일지, 계획서, 결과보고서, 복구테스트 결과, 소산백업 현황 등)를 제공해주실 수 있습니까?
 - 클라우드 시스템 백업 절차 및 체계는 어떻게 됩니까?</t>
  </si>
  <si>
    <t xml:space="preserve"> - 백업점검일지 관리</t>
  </si>
  <si>
    <t xml:space="preserve"> - 최신화된 백업 및 복구 증적 자료(온프레미스, 클라우드)</t>
  </si>
  <si>
    <t>A.17.2
이중화</t>
  </si>
  <si>
    <t>A.17.2.1</t>
  </si>
  <si>
    <t>정보처리 시설 가용성</t>
  </si>
  <si>
    <t>정보처리 시설은 가용성 요구사항을 만족하는데 충분하도록 이중화하여 구현하여야 한다.</t>
  </si>
  <si>
    <t>ㅇ BSP WEB/WAS와 같이 중요업무를 처리하는 IT시스템에 대하여 #1과 #2처럼 관리하여 이중화가 필요한 정보처리설비에 대하여 이중화 구성이 되어 있음
최승우과장님</t>
  </si>
  <si>
    <t xml:space="preserve"> - 시스템이 이중화 사실을 확인할수 있는 증적 자료를 제공받을 수 있습니까?</t>
  </si>
  <si>
    <t xml:space="preserve"> - 주기적인 로그 백업 및 온튠을 이용한 로그 모니터링</t>
  </si>
  <si>
    <t xml:space="preserve"> - 이중화 관련 증적 
 - 자산관리대장</t>
  </si>
  <si>
    <t>A.12.4
로그기록 및 모니터링</t>
  </si>
  <si>
    <t>A.12.4.1</t>
  </si>
  <si>
    <t>이벤트 로그기록</t>
  </si>
  <si>
    <t>사용자 활동, 예외, 고장, 정보보호 이벤트를 기록하는 이벤트 로그를 생성하고 보존하며 주기적으로 검토하여야 한다.</t>
  </si>
  <si>
    <t>ㅇ 정보시스템 운영 담당자는 시스템에 접속한 기록이 위·변조 되지 않도록 정기적인 백업을 수행하고 있음
ㅇ 이벤트 로그의 유형에 따라 보관 기간을 구분하여 보존하고 있음
※ 한화시스템ICT는 ISO27000, ISO27001, ISO27017 인증을 받아, 로깅 서비스 등을 제공하고 있음
최승우과장님(20230713)
 - 실사 시 계약서 해당 부분 확인 예정
 - 온프레미스, 클라우드 한번에 관리</t>
  </si>
  <si>
    <r>
      <rPr>
        <rFont val="Malgun Gothic"/>
        <color theme="1"/>
        <sz val="11.0"/>
      </rPr>
      <t xml:space="preserve">ㅇ 정보보호지침(BH60 -0006K)
ㅇ 정보보호지침(BH60 -0006K)
ㅇ (개정) 정보보호 관리 기준(제조화학)_v1.0_(230106)
ㅇ [HSC_ICT_I01] 정보보안지침
ㅇ [HSC_ICT_I01] 정보보안지침
ㅇ [HSC_ICT_I01] 정보보안지침
ㅇ 정보보안관리가이드
</t>
    </r>
    <r>
      <rPr>
        <rFont val="맑은 고딕"/>
        <color rgb="FF0000FF"/>
        <sz val="11.0"/>
      </rPr>
      <t>ㅇ [첨부1] Public 클라우드 보안가이드</t>
    </r>
  </si>
  <si>
    <r>
      <rPr>
        <rFont val="Malgun Gothic"/>
        <color theme="1"/>
        <sz val="11.0"/>
      </rPr>
      <t xml:space="preserve">제 79 조  (로그 보관)
제 80 조  (로그 점검)
[붙임 #15] 정보시스템 로그 관리
제 81 조  (로그 관리)
제 82 조  (로그 점검)
제 168 조  (로그 관리)
[가이드 #3] 정보시스템 로그관리 가이드
</t>
    </r>
    <r>
      <rPr>
        <rFont val="맑은 고딕"/>
        <color rgb="FF0000FF"/>
        <sz val="11.0"/>
      </rPr>
      <t>[붙임 1] 상용 클라우드 안전성 확보조치 기준</t>
    </r>
  </si>
  <si>
    <t xml:space="preserve"> - 매일
 - (NW)</t>
  </si>
  <si>
    <t xml:space="preserve"> - 별도의 백업 매체에 로그가 저장되고 검토하고 있다면 이와 관련된 최신화 된 증적 자료를 제공받을 수 있습니까?
 - 클라우드 설정 화면과 로그 이력 자료를 제공 받을 수 있습니까?
</t>
  </si>
  <si>
    <t xml:space="preserve"> - 주기적인 로그 백업 및 온튠을 이용한 로그 모니터링
 - 시스로그 서버 없음</t>
  </si>
  <si>
    <t xml:space="preserve"> - 최신화된 로그에 대한 백업 내역
 - 클라우드 설정 화면 및 로그 이력 </t>
  </si>
  <si>
    <t>A.12.4.2</t>
  </si>
  <si>
    <t>로그 정보 보호</t>
  </si>
  <si>
    <t>로그기록 설비와 로그 정보를 변조 및 비인가 접근으로부터 보호하여야 한다.</t>
  </si>
  <si>
    <t>ㅇ ICT 정보보호지침 및 한화비전 정보보호지침에 로그 관리 지침이 명시되어 있으며, 개인정보처리시스템의 경우 개인정보보호 업무처리 규정에 정의되어 있음
ㅇ ICT Public 클라우드 보안가이드로 단계별 보호조치 절차 및 상용 클라우드 안정성 확보조치 기준에 의거하여 작성되었음
※ 한화시스템ICT는 ISO27000, ISO27001, ISO27017 인증을 받아, 로깅 서비스 등을 제공하고 있음
최승우과장님(20230713) - 실사 시 계약서 해당 부분 확인 예정</t>
  </si>
  <si>
    <t xml:space="preserve"> - 클라우드?
 - (NW)</t>
  </si>
  <si>
    <t xml:space="preserve"> - 정책 및 지침내 클라우드 백업관련 조항이 존재하지 않습니다 별도의 가이드 및 매뉴얼이 존재합니까?</t>
  </si>
  <si>
    <t xml:space="preserve"> - (인프라)
 - 클라우드 네트워크 관리장비 없음</t>
  </si>
  <si>
    <t xml:space="preserve"> - 클라우드 로그 백업 가이드 및 매뉴얼</t>
  </si>
  <si>
    <t>A.12.4.3</t>
  </si>
  <si>
    <t>관리자 및 운영자 로그</t>
  </si>
  <si>
    <t>시스템 관리자와 시스템 운영자의 활동을 기록하고 로그를 보호하여 주기적으로 검토하여야 한다.</t>
  </si>
  <si>
    <t xml:space="preserve">ㅇ 한화비전은 한화시스템ICT에서 로깅과 관련된 제공받고 있고 최소 분기 1회 이상 로그의 정상 기록 여부 및 침입사고 발생 여부를 확인하여 보고하고 있음
ㅇ 클라우드와 온프레미스를 한번에 관리하고 있음
최승우과장님(20230713) - 실사 시 계약서 해당 부분 확인 예정
※ 한화시스템ICT는 ISO27000, ISO27001, ISO27017 인증을 받아, 백업서비스 및 사이트복구 서비스 등을 제공하고 있음
</t>
  </si>
  <si>
    <t xml:space="preserve"> - N/A
 - (인프라)
 - (NW)</t>
  </si>
  <si>
    <t xml:space="preserve"> - SS3팀 이예진 사원(HR)
 -  유인선(인프라)
 - (NW)</t>
  </si>
  <si>
    <t xml:space="preserve"> - 최신화된 시스템 관리자와 시스템 운영자의 활동 로그를 제공해주실 수 있으십니까?(현재 DB접근제어 로그 증적 22년 8월 내용)
 - 정책 및 지침내 클라우드 로그 점검 관련 조항이 존재하지 않습니다 별도의 가이드 및 매뉴얼이 존재합니까?</t>
  </si>
  <si>
    <t>- 운영자 계정에 대한 DML 로그. 관리자 계정(SUPERUSER)인 SYS,SYSTEM 계정 로그인 이력
 - (인프라)
 - 클라우드 네트워크 관리장비 없음</t>
  </si>
  <si>
    <t xml:space="preserve"> - 클라우드 로그 점검 가이드 및 매뉴얼</t>
  </si>
  <si>
    <t>ㅇ 한화비전은 한화시스템ICT로 부터 H-Cyber Kill Chain, 웹사이트 관제, APT 관제, 패킷 분석 시스템, 암호화 트래픽 관제, HMCS (Hone Malware Cross Analysis System), 이상징후 탐지, 망분리 환경 보안 관제, 의심메일 신고, Threat Intelligence, 보안관제 티켓처리시스템의 형태로 ISS 보안 관제 서비스를 제공받고 있음 
ㅇ 보안 사고, 해킹 시도, 악성코드 탐지, 외부데이터전송, E-Mail 위협 탐지 등에 대해 월별 조치 현황을 보고받고 있음
※ 한화시스템ICT는 ISO27000, ISO27001, ISO27017 인증을 받아, 통제항목을 준수하고 있음
최승우 계약 클라우드</t>
  </si>
  <si>
    <t xml:space="preserve"> - 관제 모니터링 현황과 이상징후 탐지 대응 관련 증적과 23년 자료를 제공해주실 수 있으십니까?
 - 온프레미스 관제내에 클라우드 관제도 포함되어 있습니까?</t>
  </si>
  <si>
    <t xml:space="preserve"> - (인프라)
 - 장비 PING FAIL시 SMS수신</t>
  </si>
  <si>
    <t xml:space="preserve"> - 관제 모니터링 내역
 - 127. 한화테크윈_2023년도 ISS 보고서</t>
  </si>
  <si>
    <r>
      <rPr>
        <rFont val="Malgun Gothic"/>
        <color theme="1"/>
        <sz val="11.0"/>
      </rPr>
      <t>8.16.2</t>
    </r>
  </si>
  <si>
    <t>ㅇ 해당 항목도 ISS 보안 서비스로 처리 가능해 보임
그러면 이 항목도 클라우드 관련해서 온프레미스와 동일하게 보안 서비스를 받고 있는 중인지 확인해보고 양호 처리 하면 되는지 궁금합니다.</t>
  </si>
  <si>
    <t xml:space="preserve"> - 최신화된 이상징후 탐지 대응 분석 및 조치 결과에 대한 증적을 제공해주실 수 있으십니까?(온프레미스, 클라우드)</t>
  </si>
  <si>
    <t xml:space="preserve"> - 최신화된 이상징후 탐지 대응 분석 결과 및 조치 결과(온프레미스, 클라우드)</t>
  </si>
  <si>
    <t>A.12.4.4</t>
  </si>
  <si>
    <t>조직 또는 보안 영역 내에서 모든 관련 정보처리 시스템의 시각은 동일한 출처의 참조 시간으로 동기화하여야 한다.</t>
  </si>
  <si>
    <t xml:space="preserve"> ㅇ 온튠뷰어를 통하여 정보 처리 시스템에 대한 NTP 설정을 하여 시각 동기화가 이루어지고 있음
ㅇ 클라우드와 온프레미스를 한번에 관리하고 있음
최승우과장님(20230713) - 실사 시 계약서 해당 부분 확인 예정
※ 한화시스템ICT는 ISO27000, ISO27001, ISO27017 인증을 받아, 백업서비스 및 사이트복구 서비스 등을 제공하고 있음</t>
  </si>
  <si>
    <t xml:space="preserve"> - 매주</t>
  </si>
  <si>
    <t xml:space="preserve"> - 시각동기화 화면을 제공받을 수 있습니까?
(온프레미스, 클라우드)</t>
  </si>
  <si>
    <t xml:space="preserve"> - 제공 가능</t>
  </si>
  <si>
    <t xml:space="preserve"> - 시각동기화 화면(온프레미스, 클라우드)</t>
  </si>
  <si>
    <t>A.9.4.4</t>
  </si>
  <si>
    <t>특수 유틸리티 프로그램사용</t>
  </si>
  <si>
    <t>시스템과 애플리케이션의 통제를 초월할 수 있는 유틸리티 프로그램은 제한적으로 사용하고 철저히 통제하여야 한다.</t>
  </si>
  <si>
    <t>ㅇ 한화비전은 한화시스템ICT로부터 보안서비스를 제공받고 있으며, 월별로 보안운영 현황 보고를 받고 있음
ㅇ 월별 보안운영 햔황 보고에는 허가되지 않은 유티리티 프로그램의 사용 제한 및 통제에 관한  한화시스템ICT에서 점검한 IP 사용현황 별 보안 SW 설치 현황, PC 보안 예외정책 상세, 비 업무용 SW 사용 현황, 인터넷 차단 예외 현황에 대한 내용이 존재함
ㅇ 허가된 SW를 사용하게끔 사용 신청서 및 구매 신청서를 작성하도록 되어있음
한화시스템ICT 보안 서비스에 IP 네트워크  증적으로 하면 양호 처리 가능한지 궁금합니다.
VDI콘솔 / 인터넷 이라고 되어있는 것으로 봤을 때 예전에 받았던 증적에서 관련 증적을 추가했지만, 불필요해 보이는데 빼도 괜찮을지 모르겠습니다.</t>
  </si>
  <si>
    <r>
      <rPr>
        <rFont val="Malgun Gothic"/>
        <color theme="1"/>
        <sz val="11.0"/>
      </rPr>
      <t xml:space="preserve">ㅇ 한화비전은 한화시스템ICT로부터 보안서비스를 제공받고 있으며, 월별로 보안운영 현황 보고를 받고 있음
ㅇ 월별 보안운영 햔황 보고에는 허가되지 않은 유티리티 프로그램의 사용 제한 및 통제에 관한  한화시스템ICT에서 점검한 IP 사용현황 별 보안 SW 설치 현황, PC 보안 예외정책 상세, 비 업무용 SW 사용 현황, 인터넷 차단 예외 현황에 대한 내용이 존재함
ㅇ </t>
    </r>
    <r>
      <rPr>
        <rFont val="맑은 고딕"/>
        <color rgb="FF00B050"/>
        <sz val="11.0"/>
      </rPr>
      <t>허가된 SW를 사용하게끔 사용 신청서 및 구매 신청서를 작성하도록 되어있음</t>
    </r>
    <r>
      <rPr>
        <rFont val="맑은 고딕"/>
        <color theme="1"/>
        <sz val="11.0"/>
      </rPr>
      <t xml:space="preserve">
</t>
    </r>
  </si>
  <si>
    <r>
      <rPr>
        <rFont val="Malgun Gothic"/>
        <color theme="1"/>
        <sz val="11.0"/>
      </rPr>
      <t xml:space="preserve"> - 202. VDI 화면
 - 205. VDI 신청 시 MAC 등록
 - 한화비전_보안월간보고_2023년5월
</t>
    </r>
    <r>
      <rPr>
        <rFont val="맑은 고딕"/>
        <color rgb="FF00B050"/>
        <sz val="11.0"/>
      </rPr>
      <t xml:space="preserve"> - SW 사용 신청서(양식)
 - SW구매신청서(양식)</t>
    </r>
  </si>
  <si>
    <t xml:space="preserve"> - 허가되지 않은 유틸리티 프로그램의 사용 제한 및 통제가 어떻게 이루어지고 있습니까?</t>
  </si>
  <si>
    <t xml:space="preserve"> - (인프라)
 -  장비 접속 콘솔 통해서만 장비 접속 가능</t>
  </si>
  <si>
    <t xml:space="preserve"> - 허가되지 않은 유틸리티 프로그램의 사용 제한 및 통제에 대한 증적(관리대장 등)</t>
  </si>
  <si>
    <t>ICT
VDI 콘솔 / 인터넷</t>
  </si>
  <si>
    <t>A.12.5
운영 소프트웨어 통제</t>
  </si>
  <si>
    <t>A.12.5.1</t>
  </si>
  <si>
    <t>운영 시스템 소프트웨어 설치</t>
  </si>
  <si>
    <t>운영 시스템 상의 소프트웨어 설치를 통제하기 위한 절차를 구현하여야 한다.</t>
  </si>
  <si>
    <t xml:space="preserve">ㅇ 한화비전은 한화시스템ICT로부터 보안서비스를 제공받고 있으며, 월별로 보안운영 현황 보고를 받고 있음
ㅇ 제공받는 월별 보안운영 현황 보고에는 보안 SW의 설치 현황을 알 수 있음
 - NW 모니터링
 - 바이러스 백신
 - 백신 업데이트
 - 악성코드 차단
 - 문서보안
 - PC보안(SafePC)
 - PC보안(cososys) 국내 해외
ㅇ smart NAC 솔루션을 통해 단말별 필수SW설치 정책 및 현황을 관리하고 있음
한화시스템ICT 보안 서비스에 보안SW 설치 현황 있었는데, 이걸로 사용 현황을 증적으로 하면 양호 처리 가능한지 궁금합니다.
</t>
  </si>
  <si>
    <r>
      <rPr>
        <rFont val="Malgun Gothic"/>
        <color theme="1"/>
        <sz val="11.0"/>
      </rPr>
      <t xml:space="preserve"> - 한화비전_보안월간보고_2023년5월
 - 필수보안SW정책(NAC)
</t>
    </r>
    <r>
      <rPr>
        <rFont val="맑은 고딕"/>
        <color rgb="FF00B050"/>
        <sz val="11.0"/>
      </rPr>
      <t xml:space="preserve"> - PC보안(CososysDLP) 정책예외신청서
 - SW 사용 신청서
 - SW구매신청서</t>
    </r>
  </si>
  <si>
    <t xml:space="preserve"> - 유인선(인프라)</t>
  </si>
  <si>
    <t xml:space="preserve"> - 회사가 승인한 소프트웨어만 사용하는지에 대한 관리는 어떻게 이루어지고 있습니까?
 - 필수 보안 프로그램 설치 관리는 어떻게 이루어지고 있습니까?</t>
  </si>
  <si>
    <t xml:space="preserve"> - 별도의 키관리 서버가 존재하지 않음</t>
  </si>
  <si>
    <t xml:space="preserve"> - 소프트웨어 사용 점검 계획 및 결과 보고서
 - 필수 보안 프로그램 설치 화면 및 관리 대장 등</t>
  </si>
  <si>
    <t>A.12.6.2</t>
  </si>
  <si>
    <t>소프트웨어 설치 제한</t>
  </si>
  <si>
    <t>사용자의 소프트웨어 설치를 제한하는 규정을 수립하고 구현하여야 한다.</t>
  </si>
  <si>
    <r>
      <rPr>
        <rFont val="Malgun Gothic"/>
        <color theme="1"/>
        <sz val="11.0"/>
      </rPr>
      <t>8.19.2</t>
    </r>
  </si>
  <si>
    <t xml:space="preserve">ㅇ 한화비전은 한화시스템ICT로부터 보안서비스를 제공받고 있으며, 월별로 보안운영 현황 보고를 받고 있음
ㅇ 월별 보안운영 햔황 보고에는 항당된 IP 기반으로 소프트웨어 설치에 대한 제한을 하고 있으며 한화시스템ICT에서 점검한 IP 사용현황 별 보안 SW 설치 현황, PC 보안 예외정책 상세, 비 업무용 SW 사용 현황, 인터넷 차단 예외 현황에 대한 내용이 존재함
한화시스템ICT 보안 서비스에 상용메신저 등 허가되지 않은 SW 사용 현황을 증적으로 하면 양호 처리 가능한지 궁금합니다.
</t>
  </si>
  <si>
    <r>
      <rPr>
        <rFont val="Malgun Gothic"/>
        <color theme="1"/>
        <sz val="11.0"/>
      </rPr>
      <t xml:space="preserve"> - 한화비전_보안월간보고_2023년5월
</t>
    </r>
    <r>
      <rPr>
        <rFont val="맑은 고딕"/>
        <color rgb="FF00B050"/>
        <sz val="11.0"/>
      </rPr>
      <t xml:space="preserve"> - SW 사용 신청서
 - SW구매신청서
 - 필수보안SW정책</t>
    </r>
  </si>
  <si>
    <t xml:space="preserve"> - 소프트웨어 사용 기간 만료 여부 점검 관련 증적을 받을수 있습니까?</t>
  </si>
  <si>
    <t xml:space="preserve"> - 소프트웨어 사용 점검 계획 및 결과 보고서</t>
  </si>
  <si>
    <t>A.13.1
네트워크 보안 관리</t>
  </si>
  <si>
    <t>A.13.1.1</t>
  </si>
  <si>
    <t>네크워크 통제</t>
  </si>
  <si>
    <t>시스템과 애플리케이션에서 처리되는 정보를 보호하기 위하여 네트워크를 관리하고 통제하여야 한다.</t>
  </si>
  <si>
    <t>ㅇ 네트워크 구성 시 서비스, 사용자 그룹, 정보자산의 중요도 등으로 구분하여 방화벽, 침입차단시스템 등을 활용하여 네트워크를 분리·운영하고 접근 관리 및 통제하고 있음
ㅇ 한화 시스템 ICT로부터 월간 관제보고서를 제공받고 있음</t>
  </si>
  <si>
    <t>ㅇ 한화비전은 한화시스템ICT로부터 보안서비스를 제공받고 있으며, 월별로 보안 관제 현황 보고를 받고 있음
ㅇ 사용자 및 업무 어플리케이션 요구사항은 IP할당에 따라 보안 정책 현황을 월별로 보안 은영 현황을 보고받고 있음
최승우 양식</t>
  </si>
  <si>
    <r>
      <rPr>
        <rFont val="Malgun Gothic"/>
        <color rgb="FF000000"/>
        <sz val="11.0"/>
      </rPr>
      <t xml:space="preserve"> - 161. 파일서버_공유폴더_접근권한_신청서_화면스냅샷
 - APC 관리자 계정 증적(접근통제,PW변경주기)
 - SafePC 관리자 계정 증적(접근통제)
 - SmartNAC 관리자 계정 증적1(접근통제,PW변경주기)
 - SSLVPN 관리자 ACL
 - SSLVPN 관리자 계정 현황
 - 방화벽,VPN 장비_관리자 ACL
 - 웹키퍼 관리자 ACL
 - 웹키퍼 관리자 계정 현황
 - 코소시스DLP 관리자 계정 증적1(접근통제,PW변경주기)
</t>
    </r>
    <r>
      <rPr>
        <rFont val="맑은 고딕"/>
        <color theme="1"/>
        <sz val="11.0"/>
      </rPr>
      <t xml:space="preserve"> - 127. 한화테크윈_2022_07 ISS 보고서
 - 비전_ 자산관리대장_ISO27001_230725
 - 한화비전_2023_05 ISS보고서
 - 한화비전_보안월간보고_2023년5월
 - ISS 보안서비스 소개자료_23
 - 민수3사_WIPS_증적1 ~ 5
</t>
    </r>
    <r>
      <rPr>
        <rFont val="맑은 고딕"/>
        <color rgb="FF00B050"/>
        <sz val="11.0"/>
      </rPr>
      <t xml:space="preserve"> - VDI 신청서(원격근무)(양식)
 - 공유폴더 접근권한 신청(양식)
 - 모바일기기 WIFI 서비스 신청서(양식)
 - 무선 AP 등록 신청서(WIPS)(양식)
 - 파일서버 공유폴더 생성신청서(양식)
 - 파일서버 공유폴더 용량증설 신청서(양식)
 - 업무용 Network 장비 신청서(양식)
 - 유무선 IP주소 및 LAN Cable 설치신청서(양식)</t>
    </r>
  </si>
  <si>
    <t>증빙보완예정
최승우 과장</t>
  </si>
  <si>
    <t xml:space="preserve"> - (NW)</t>
  </si>
  <si>
    <t xml:space="preserve"> - 네트워크 통제 관련 증적(네트워크 구성도, IP 관리대장, 정보자산 목록, 방화벽룰 등)을 제공받을 수 있습니까?
 - 한화 시스템 ICT로부터 월간 관제보고서를 받고 있습니까?</t>
  </si>
  <si>
    <t xml:space="preserve"> - 월간보고서에 네트워크 구성도 첨부</t>
  </si>
  <si>
    <t xml:space="preserve"> - 네트워크 구성도
 - IP 관리대장(VPN, VDI 포함)
 - 자산목록
 - 한화 시스템 ICT 관제보고서</t>
  </si>
  <si>
    <t>A.13.1.2</t>
  </si>
  <si>
    <t>네트워크 서비스 보안</t>
  </si>
  <si>
    <t>내부 또는 외부에서 제공하는 모든 네트워크 서비스의 보안 메커니즘, 서비스 수준, 관리 요구사항을 식별하고 네트워크 서비스 협약에 포함시켜야 한다.</t>
  </si>
  <si>
    <t xml:space="preserve">ㅇ 한화비전은 한화시스템ICT로부터 보안서비스를 제공받고 있으며, 월별로 보안운영 현황 보고를 받고 있음
ㅇ 월별 보안운영 햔황 보고에는 한화시스템ICT에서 점검한 IP 사용현황 별 보안 SW 설치 현황, PC 보안 예외정책 상세, 비 업무용 SW 사용 현황, 인터넷 차단 예외 현황에 대한 내용이 존재함
</t>
  </si>
  <si>
    <t xml:space="preserve"> - NAC(IP주소 또는 MAC)을 통한 접근 통제가 이루어지고 있습니까?</t>
  </si>
  <si>
    <t xml:space="preserve"> - 네트워크 구성도
 - 네트워크 점검 이력
 - IP 관리대장</t>
  </si>
  <si>
    <t>A.13.1.3</t>
  </si>
  <si>
    <t>정보 서비스, 사용자, 정보시스템을 그룹화하여 네트워크 상에서 분리하여야 한다.</t>
  </si>
  <si>
    <t>ㅇ 네트워크 구성 시 서비스, 사용자 그룹, 정보자산의 중요도 등으로 구분하여 다음 각 호의 영역으로 침입차단시스템 등을 활용하여 네트워크를 분리·운영하고 있음
1. 정보시스템 개발 및 테스트 전용 네트워크
2. 정보시스템 운영 네트워크
3. 대외 서비스용 네트워크 (외부DMZ)
4. 임직원 업무 네트워크
5. 협력업체 업무 네트워크 등
6. 외부 인터넷으로 구성된 방문자용 네트워크 (내부망 접근 불가) 등</t>
  </si>
  <si>
    <t xml:space="preserve"> - 098. 판교사업장 서버팜 분리 추진_20220811
 - 8.22.1 서버팜 분리 계획
 - 8.22.1 서버팜 분리 품의
 - 하이웨어 망분리 현황
 - (IMS) 별첨1.민수4사_월간운영현황보고_2023년 6월 - 시스템 구성도
 - (IMS) 별첨1.민수4사_월간운영현황보고_2023년 6월</t>
  </si>
  <si>
    <t xml:space="preserve"> - 네트워크 구성도를 제공받을 수 있습니까?</t>
  </si>
  <si>
    <t xml:space="preserve"> - 네트워크 구성도</t>
  </si>
  <si>
    <r>
      <rPr>
        <rFont val="Malgun Gothic"/>
        <color theme="1"/>
        <sz val="11.0"/>
      </rPr>
      <t xml:space="preserve"> - 한화비전_보안월간보고_2023년5월
</t>
    </r>
    <r>
      <rPr>
        <rFont val="맑은 고딕"/>
        <color rgb="FF00B050"/>
        <sz val="11.0"/>
      </rPr>
      <t xml:space="preserve"> - 인터넷 접속차단 해제신청서</t>
    </r>
    <r>
      <rPr>
        <rFont val="맑은 고딕"/>
        <color theme="1"/>
        <sz val="11.0"/>
      </rPr>
      <t xml:space="preserve">
 - 비전_인터넷 사이트 차단 예외 대상자 리스트_20230703
 - 비업무 사이트 차단</t>
    </r>
  </si>
  <si>
    <t xml:space="preserve"> - 비업무용 웹사이트 접속 및 프로그램 사용을 통제를 어떻게 하고 있습니까?</t>
  </si>
  <si>
    <t xml:space="preserve"> - 비업무용 웹사이트 접속 및 프로그램 사용 통제 절차 관련 증적</t>
  </si>
  <si>
    <t>A.10.1
암호 통제</t>
  </si>
  <si>
    <t>A.10.1.1</t>
  </si>
  <si>
    <t>암호 통제 사용 정책</t>
  </si>
  <si>
    <t>정보의 보호를 위한 암호 통제의 사용 정책을 개발하고 구현하여야 한다.</t>
  </si>
  <si>
    <t>증적 부적합</t>
  </si>
  <si>
    <t xml:space="preserve"> - 암호통제는 어떻게 이루어지고 있습니까?
 - 암호화 적용현황과 암호화 솔루션 관리 화면을 제공받을 수 있습니까?</t>
  </si>
  <si>
    <t xml:space="preserve"> - 암호통제 관련 증적(암호화 적용현황, 암호화 솔루션 관리 화면 등)
</t>
  </si>
  <si>
    <r>
      <rPr>
        <rFont val="Malgun Gothic"/>
        <color theme="1"/>
        <sz val="11.0"/>
      </rPr>
      <t>8.24.2</t>
    </r>
  </si>
  <si>
    <t xml:space="preserve"> - 암호화 적용현황과 암호화 솔루션 관리 화면을 제공받을 수 있습니까?</t>
  </si>
  <si>
    <t xml:space="preserve"> - D'amo는 AES256 알고리즘 사용</t>
  </si>
  <si>
    <t>A.10.1.2</t>
  </si>
  <si>
    <t>키 관리</t>
  </si>
  <si>
    <t>전체 생명주기에 걸쳐 암호키의 사용, 보호, 수명에 대한 정책을 개발하고 구현하여야 한다.</t>
  </si>
  <si>
    <r>
      <rPr>
        <rFont val="Malgun Gothic"/>
        <color theme="1"/>
        <sz val="11.0"/>
      </rPr>
      <t>8.24.3</t>
    </r>
  </si>
  <si>
    <r>
      <rPr>
        <rFont val="Malgun Gothic"/>
        <color rgb="FF000000"/>
        <sz val="11.0"/>
      </rPr>
      <t xml:space="preserve">ㅇ 암호키 관리(생성, 운용, 폐기) 지침에 따라 관리하고 있으며, 암호키 운영 현황을 연 1회 이상 점검하고 있음
</t>
    </r>
    <r>
      <rPr>
        <rFont val="맑은 고딕"/>
        <color rgb="FF6600FF"/>
        <sz val="11.0"/>
      </rPr>
      <t>ㅇ 버전 정보 조회, 라이선스 상태, 인증서 보관 상태, DB KEY 상태, 암/복호화 상태, 암/복호화 권한 개수 등에 대한 내용에 관하여 정기점검이 이루어지고 있음
증적 부적합</t>
    </r>
  </si>
  <si>
    <t xml:space="preserve"> - 암호키 운영 현황을 연 1회 이상 점검하고 있습니까?</t>
  </si>
  <si>
    <t>- 정기점검 내역 참조</t>
  </si>
  <si>
    <t xml:space="preserve"> - 암호키 운영 현황 점검 내역 증적(관리대장, 계획서 등)</t>
  </si>
  <si>
    <t>A.14.2
개발 및 지원 프로세스 보안</t>
  </si>
  <si>
    <t>A.14.2.1</t>
  </si>
  <si>
    <t>개발 보안 정책</t>
  </si>
  <si>
    <t>조직 내에서 소프트웨어와 시스템의 개발을 위한 규칙을 수립하고 적용하여야 한다.</t>
  </si>
  <si>
    <t xml:space="preserve"> - 정보시스템의 신규 구축 및 개발 관련 시험 및 검토 결과 등의 증적을 제공받을 수 있습니까?</t>
  </si>
  <si>
    <t xml:space="preserve"> - 정보시스템 인수 시험 결과서
 - 시험 계획서, 시험 결과서
 - 취약점 점검 결과서
 - 정보시스템 보안성 검토 결과서</t>
  </si>
  <si>
    <t>A.14.1
정보시스템 보안 요구사항</t>
  </si>
  <si>
    <t>A.14.1.2</t>
  </si>
  <si>
    <t>공중망 응용 서비스 보안</t>
  </si>
  <si>
    <t>공중망을 통해 전달되는 응용 서비스의 정보는 부정행위, 계약 분쟁, 비인가 유출 및 수정으로부터 보호하여야 한다.</t>
  </si>
  <si>
    <t>ㅇ 공개서버의 경우 한화 시스템ICT에서 관리하고 있음
ㅇ 외부 인터넷에서 내부망 접속이 필요한 경우 가상사설망(VPN) 또는 가상화시스템(VDI)을 활용하고 있음
- 정보보호 담당자 승인 
- 계정 및 패스워드 외 OTP 추가인증</t>
  </si>
  <si>
    <t>ㅇ 공개서버의 경우 한화 시스템ICT에서 관리하고 있음
ㅇ 외부 인터넷에서 내부망 접속이 필요한 경우 가상사설망(VPN) 또는 가상화시스템(VDI)을 활용하고 있음
- 정보보호 담당자 승인 
- 계정 및 패스워드 외 OTP 추가인증
최승우 양식</t>
  </si>
  <si>
    <r>
      <rPr>
        <rFont val="Malgun Gothic"/>
        <color theme="1"/>
        <sz val="11.0"/>
      </rPr>
      <t xml:space="preserve"> - 208. SSLVPN 추가인증적용
</t>
    </r>
    <r>
      <rPr>
        <rFont val="맑은 고딕"/>
        <color rgb="FF00B050"/>
        <sz val="11.0"/>
      </rPr>
      <t xml:space="preserve"> - 해외임직원VPN신청서(원격근무)(양식)
 - VDI 신청서(원격근무)(양식)
</t>
    </r>
    <r>
      <rPr>
        <rFont val="맑은 고딕"/>
        <color theme="1"/>
        <sz val="11.0"/>
      </rPr>
      <t xml:space="preserve"> - 비전_VDI 원격접속 현황_20230703
 - VDI 화면</t>
    </r>
  </si>
  <si>
    <t xml:space="preserve"> - 공개서버 관리는 어떻게 이루어지고 해당 내용에 대한 증적이 있습니까?
 - 외부 인터넷에서 내부망 접속이 필요한 경우 작성하는 신청서 등의 문서가 있습니까?</t>
  </si>
  <si>
    <t xml:space="preserve"> - (인프라)
 - VDI 통해서만 내부 접속 가능</t>
  </si>
  <si>
    <t xml:space="preserve"> - 한화 시스템ICT 공개서버 관리 내용 증적
 - 네트워크 구성도
 - 외부 인터넷에서 내부망 접속 필요 시 신청서 등관련 문서</t>
  </si>
  <si>
    <t>A.14.1.3</t>
  </si>
  <si>
    <t>응용 서비스 거래 보호</t>
  </si>
  <si>
    <t>응용 서비스 거래의 정보는 불완전 전송, 경로 이탈, 비인가 메시지 변경, 비인가 노출, 비인가 메시지 중복, 재사용을 방지하도록 보호하여야 한다.</t>
  </si>
  <si>
    <r>
      <rPr>
        <rFont val="Malgun Gothic"/>
        <color theme="1"/>
        <sz val="11.0"/>
      </rPr>
      <t>8.26.2</t>
    </r>
  </si>
  <si>
    <t>ㅇ 응용서비스 거래가 존재하지 않음</t>
  </si>
  <si>
    <t>A.14.2.5</t>
  </si>
  <si>
    <t>시스템 보안 공학 원칙</t>
  </si>
  <si>
    <t>시스템 보안 공학을 위한 원칙을 수립하여 문서화하고 유지하며 모든 정보시스템의 구현에 적용하여야 한다.</t>
  </si>
  <si>
    <t>ㅇ 시스템의 개발, 테스트, 운영까지 전반적인 내역에 대한 문서화를 하고 있으며, 안전한 시스템을 위해 개발시부터 고려해야할 보안요구사항들에 대해 적용 및 운영하고 있음
ERP는 증적 오지 않음 &gt;요청</t>
  </si>
  <si>
    <t xml:space="preserve"> - CR 처리 시
 - (HPLM)
 - (ERP)
 - CR 처리 시
 - 시스템 개발 요청 시
 - CR처리 시</t>
  </si>
  <si>
    <t xml:space="preserve"> - 한주원 사원(BSP)
 - (HPLM)
 - (ERP)
 - 한승희 과장(SCM)
 - SS3팀 이예진 사원(HR)
 - 오국경 과장(OPS)</t>
  </si>
  <si>
    <t xml:space="preserve"> - 시스템의 개발, 테스트, 운영에 대한 전반적인 내역관련 증적을 제공 받을 수 있습니까?</t>
  </si>
  <si>
    <t xml:space="preserve"> - 프로그램 개선, 데이터 변경 CR을 처리할 때 프로그램사양서 및 테스트 시나리오를 작성해 개발/운영 환경에서 테스트를 수행합니다.
 - (HPLM)
 - (ERP)
 - 프로그램 사양서 및 테스트 시나리오를 통해 개발/운영환경 내에서 테스트를 수행하며, 개발환경 테스트 완료 후 운영이관 고객협의 결재를 통해 최종적으로 운영이관을 수행합니다.
 - 요청센터를 통한 프로그램 수정 개발 요청서. 개발서버를 통한 테스트결과서. ITSM 증적 등
 - 프로그램 사양서 및 테스트 시나리오를 통해 개발/운영환경 내에서 테스트를 수행하며, 개발환경 테스트 완료 후 운영이관 고객협의 결재를 통해 최종적으로 운영이관을 수행합니다.</t>
  </si>
  <si>
    <t xml:space="preserve"> - 시스템의 개발, 테스트, 운영 관련 문서 
</t>
  </si>
  <si>
    <t>참조 : 소프트웨어 보안약점 진단가이드(2021)</t>
  </si>
  <si>
    <t>책임님 확인(20230710)</t>
  </si>
  <si>
    <r>
      <rPr>
        <rFont val="Malgun Gothic"/>
        <color theme="1"/>
        <sz val="11.0"/>
      </rPr>
      <t>8.28.2</t>
    </r>
  </si>
  <si>
    <t>ㅇ 정보시스템 신규 구축 및 변경 프로젝트 발주 시 정보시스템의 법적 준수 및 안전성 확보를 위해 정보보호 요구사항 등을 제안요청서에 명시하고 있음</t>
  </si>
  <si>
    <t xml:space="preserve"> - 정보보호 요구사항 내용이 포함된 제안요청서가 있습니까?</t>
  </si>
  <si>
    <t xml:space="preserve"> - 정보보호 요구사항이 포함된 제안요청서</t>
  </si>
  <si>
    <t>ㅇ 지침내 개발 교육에 대한 내용이 확인되지 않음
* 인터뷰 확인</t>
  </si>
  <si>
    <t xml:space="preserve">ㅇ 시큐어코딩 개발 업무가 포함된 직무에 대하여 연 1회 교육일정에 맞추어 시큐어코딩 개발 보안 교육을 실시하고 있음.
비전 인증 관련 자료 필요
</t>
  </si>
  <si>
    <t xml:space="preserve"> - 교육을 실시하고 있다면 해당 증적 
 - 8.28.3 시큐어코딩 교육결과(BSP)
 - 8.28.3 시큐어코딩 교육결과 (HPLM)
 - 8.28.3 시큐어코딩 교육결과(SCM)
 - 8.28.3.시큐어코딩교육(HR)
 - 8.28.3 시큐어코딩 교육결과(OPS)</t>
  </si>
  <si>
    <t xml:space="preserve"> - 연 1회
 - (HPLM)
 - (ERP)
 - 연 1회
 - 연 1회
 - 연 1회</t>
  </si>
  <si>
    <t xml:space="preserve"> - 한주원 사원(BSP)
 - (HPLM)
 - (ERP)
 - 한승희 과장(SCM)
 - SS3팀 이예진 사원(HR)
 - 오국경 과장(OPS) </t>
  </si>
  <si>
    <t xml:space="preserve"> - 시큐어코딩 개발 보안 교육을 별도로 실시하고 있습니까?</t>
  </si>
  <si>
    <t xml:space="preserve"> - 회사 차원에서 ICT 개발인력을 대상으로 연 1회 시큐어코딩 교육을 실시합니다.
 - 
 - 
 - 회사 교육일정에 맞춰 ICT 개발인력에 대해 교육을 실시하고 있습니다.
 - 회사 교육일정에 맞춰 ICT 개발인력에 대해 교육을 실시하고 있습니다.</t>
  </si>
  <si>
    <t xml:space="preserve"> - 교육을 실시하고 있다면 해당 증적 </t>
  </si>
  <si>
    <t>- (비전) 시큐어 코딩 교육 증적</t>
  </si>
  <si>
    <t>A.14.2.8</t>
  </si>
  <si>
    <t>시스템 보안 시험</t>
  </si>
  <si>
    <t>개발 기간 동안에 보안 기능의 시험을 수행하여야 한다.</t>
  </si>
  <si>
    <t xml:space="preserve"> - 반기별 1회</t>
  </si>
  <si>
    <t xml:space="preserve"> - SS3팀 이예진 사원(HR)</t>
  </si>
  <si>
    <t xml:space="preserve"> - SW보안약점 진단 결과(결과서)를 제공 받을 수 있습니까?</t>
  </si>
  <si>
    <t xml:space="preserve"> - SW보안약점 진단 테스트케이스 결과(결과서)
</t>
  </si>
  <si>
    <t>A.14.2.9</t>
  </si>
  <si>
    <t>시스템 이관 시험</t>
  </si>
  <si>
    <t>신규 정보시스템, 업그레이드, 신규 버전에 대한 이관 테스트 프로그램과 관련 기준을 수립하여야 한다.</t>
  </si>
  <si>
    <t xml:space="preserve"> - 프로그램 변경 및 반영 시 
 - (인프라)</t>
  </si>
  <si>
    <t xml:space="preserve"> - SS3팀 이예진 사원(HR)
 - ITO?</t>
  </si>
  <si>
    <t xml:space="preserve"> - 신규 구축, 개발 및 변경된 업무시스템의 이관에 대한 자료가 있습니까?</t>
  </si>
  <si>
    <t xml:space="preserve"> - 요청센터를 통한 프로그램 수정 개발 요청서. 개발서버를 통한 테스트결과서. ITSM 증적 등
 - (인프라)</t>
  </si>
  <si>
    <t xml:space="preserve"> - 이관 및 도입 자료(테스트 결과서 등) </t>
  </si>
  <si>
    <t>A.14.2.7</t>
  </si>
  <si>
    <t>외주 개발</t>
  </si>
  <si>
    <t>조직은 외주 시스템 개발 활동을 감독하고 모니터링하여야 한다.</t>
  </si>
  <si>
    <t xml:space="preserve">ㅇ 외주개발 관리를 위한 표준업무 절차를 통해 시스템 개발 활동을 감독하고 모니터링하고 있음 </t>
  </si>
  <si>
    <t xml:space="preserve"> - 외주 개발이 있다면 감독 및 모니터링에 대한 증적을 제공 받을 수 있습니까?</t>
  </si>
  <si>
    <t xml:space="preserve"> - 외주 개발 모니터링 절차 증적(개발 산출물, 인수시험결과서, 외주개발완료보고서 등)</t>
  </si>
  <si>
    <r>
      <rPr>
        <rFont val="Malgun Gothic"/>
        <color rgb="FF000000"/>
        <sz val="11.0"/>
      </rPr>
      <t>아웃소싱 개발</t>
    </r>
    <r>
      <rPr>
        <rFont val="맑은 고딕"/>
        <color rgb="FF000000"/>
        <sz val="11.0"/>
      </rPr>
      <t xml:space="preserve"> 관련</t>
    </r>
  </si>
  <si>
    <t>A.12.1.4</t>
  </si>
  <si>
    <t>개발, 시험, 운영 환경 분리</t>
  </si>
  <si>
    <t>운영 환경에 대한 비인가 접근 또는 변경의 위험을 감소시키기 위하여 개발 및 시험과 운영 환경은 분리하여야 한다.</t>
  </si>
  <si>
    <t>A.14.2.6</t>
  </si>
  <si>
    <t>개발 환경 보안</t>
  </si>
  <si>
    <t>조직은 시스템의 전체 개발 생명주기를 포괄하는 시스템 개발 및 통합을 위해 안전한 개발 환경을 수립하고 적절히 보호하여야 한다.</t>
  </si>
  <si>
    <r>
      <rPr>
        <rFont val="Malgun Gothic"/>
        <color theme="1"/>
        <sz val="11.0"/>
      </rPr>
      <t>8.31.2</t>
    </r>
  </si>
  <si>
    <t>ㅇ 업무시스템의 개발 환경, 테스트 환경, 운영 환경을 분리하여 구성하고 있음
ㅇ 업무시스템 수정 및 테스트는 별도의 개발 및 테스트 서버에서 실시하고 있음
 - 개발 및 테스트 환경에서 운영되는 PC에 대해 불필요한 통신을 차단하고 있는지 확인되지 않음</t>
  </si>
  <si>
    <t>증빙완료
최승우 과장
개발망/ 운영망 분리</t>
  </si>
  <si>
    <t xml:space="preserve"> - N/A
</t>
  </si>
  <si>
    <t xml:space="preserve"> - SS3팀 이예진 사원(HR)
</t>
  </si>
  <si>
    <t xml:space="preserve"> - 개발 및 테스트 환경에서 운영되는 PC에 대한 불필요한 통신 차단은 어떻게 관리하고 있습니까?</t>
  </si>
  <si>
    <t xml:space="preserve"> - 운영/개발 환경을 분리하여 시스템 개발 및 테스트를 진행하고 있습니다.
</t>
  </si>
  <si>
    <t xml:space="preserve"> - 개발 및 테스트 환경에서 운영되는 PC 불필요한 통신 차단 관련 증적</t>
  </si>
  <si>
    <t>A.12.1.2</t>
  </si>
  <si>
    <t>정보보호에 영향을 주는 조직, 업무 프로세스, 정보처리 시설, 시스템의 변경을 통제하여야 한다.</t>
  </si>
  <si>
    <t>ㅇ 정보시스템 관련 자산들의 모든 변경사항을 반영할 수 있는 공식적인 관리절차와 책임을 설정하고 있음
최승우 과장님</t>
  </si>
  <si>
    <t xml:space="preserve"> - 변경 작업 시
 - (NW)</t>
  </si>
  <si>
    <t xml:space="preserve"> - 최신화된 자산목록에 대한 증적을 받을 수 있습니까?</t>
  </si>
  <si>
    <t xml:space="preserve"> - ITSM 변경 관리 프로세스 절차 증적 가능
 -  ITSM 통해 변경관리</t>
  </si>
  <si>
    <t xml:space="preserve"> - 자산목록
</t>
  </si>
  <si>
    <t>A.14.2.2</t>
  </si>
  <si>
    <t>시스템 변경 통제 절차</t>
  </si>
  <si>
    <t>공식적인 변경 통제 절차를 사용하여 개발 생명주기 내에서 시스템의 변경을 통제하여야 한다.</t>
  </si>
  <si>
    <t xml:space="preserve"> - 소스의 변경에 대한 승인 절차 관련 증적을 받을 수 있습니까?</t>
  </si>
  <si>
    <t xml:space="preserve"> - ITSM 통해 변경처리결재</t>
  </si>
  <si>
    <t>A.14.2.3</t>
  </si>
  <si>
    <t>운영 플랫폼 변경 후 애플리케이션 기술적 검토</t>
  </si>
  <si>
    <t>운영 플랫폼이 변경되면 조직의 운영이나 보안에 부정적인 영향을 미치지 않음을 보장하기 위하여 업무에 중요한 애플리케이션을 검토하고 시험하여야 한다.</t>
  </si>
  <si>
    <t xml:space="preserve"> - 정보시스템내 변경에 대한 증적 자료가 있습니까?</t>
  </si>
  <si>
    <t xml:space="preserve"> - ITSM 변경 계획 완료 체크리스트 작성
 - ITSM 통해 변경관리 이력관리</t>
  </si>
  <si>
    <t xml:space="preserve"> - 테스트 결과보고서
</t>
  </si>
  <si>
    <t>A.14.2.4</t>
  </si>
  <si>
    <t>소프트웨어 패키지 변경 제한</t>
  </si>
  <si>
    <t>소프트웨어 패키지에 대한 변경은 반드시 필요한 경우에만 제한적으로 허용하고 모든 변경을 엄격하게 통제하여야 한다.</t>
  </si>
  <si>
    <t>최승우 과장님 - 아마 가장 중요한 부분 중 하나라 서비스 영향도 분석 하고 있을 것으로 예상되고, 증적은 나올 수 있을 거 같은데, 
보호대책 수립은 일단 장기로</t>
  </si>
  <si>
    <t xml:space="preserve"> - 설치된 운영체제, 소프트웨어 패치 현황과 서비스 영향도 분석 자료가 있습니까?</t>
  </si>
  <si>
    <t xml:space="preserve"> - 서비스 영향도 분석 자료
 - 운영체제, 소프트웨어 패치 현황</t>
  </si>
  <si>
    <t>A.14.3
시험 데이터</t>
  </si>
  <si>
    <t>A.14.3.1</t>
  </si>
  <si>
    <t>시험 데이터 보호</t>
  </si>
  <si>
    <t>시험 데이터를 신중하게 선택하여 보호하고 통제하여야 한다.</t>
  </si>
  <si>
    <t xml:space="preserve"> - CR 처리 시
 - (HPLM)
 - (ERP)
 - CR 처리 시
 - 프로그램 개발 요청 건 테스트 및 테스트 완료 시 
 - CR 처리 시</t>
  </si>
  <si>
    <t xml:space="preserve"> - 한주원 사원(BSP)
 - (HPLM)
 - 정용덕(ERP)
 - 한승희 과장(SCM)
 - SS3팀 이예진 사원(HR)
 - 오국경 과장(OPS)</t>
  </si>
  <si>
    <t xml:space="preserve"> - 경영혁신팀
 - (HPLM)
 - (ERP)
 - 경영혁신팀
 - 경영혁신팀
 - 경영혁신팀
 - 경영혁신팀</t>
  </si>
  <si>
    <t xml:space="preserve"> - 개발 환경 테스트에 대한 산출물 및 시험데이터에 대한 증적 자료를 제공받을 수 있습니까?</t>
  </si>
  <si>
    <t xml:space="preserve"> - 데이터 변경 및 프로그램 개선 CR건의 경우 운영 이관 작업 전 개발 테스트를 합니다.
 - (HPLM)
 - 개발완료되면 단위테스트 및 통합테스트를 실시하고, 고객이 이를 참고하여 인수테스트를 실시함.
 - 프로그램 사양서 및 테스트 시나리오를 통해 개발/운영환경 내에서 테스트를 수행하며, 개발환경 테스트 완료 후 운영이관 고객협의 결재를 통해 최종적으로 운영이관을 수행합니다.
 - (테스트 결과서 및 시험 데이터 화면)
 - 프로그램 변경 및 데이터 변경에 대한 CR 건에 대해 운영이관 전 개발테스트를 수행합니다. 개발환경 고객 테스트 완료 후 운영이관을 완료하고 최종적으로 운영환경 고객 테스트를 수행합니다.</t>
  </si>
  <si>
    <t xml:space="preserve"> - 개발 테스트 계획서 및 결과서
 - 시험데이터 화면 등</t>
  </si>
  <si>
    <t>A.12.7
정보시스템 감사 고려사항</t>
  </si>
  <si>
    <t>A.12.7.1</t>
  </si>
  <si>
    <t>정보시스템 감사 통제</t>
  </si>
  <si>
    <t>운영 시스템의 검증에 필요한 감사 요구사항과 활동은 업무 프로세스의 중단을 최소화하도록 신중하게 계획하고 합의를 거쳐야 한다.</t>
  </si>
  <si>
    <t>ㅇ 정보보호 담당자는 회사의 정보보호 목표 수준을 설정해야 하며, 회사는 '[붙임 #8] 정보보호 수준 평가 운영 기준' 에 따라 연 1회 이상 정보보호 수준 평가를 실시하고 있음
23년 정보보호수준평가 10월 실시 예정으로 22년 정보보호수준평가 자료가 최신 증적 자료
PDF 안열림</t>
  </si>
  <si>
    <t xml:space="preserve"> - 최신화된 정보보호수준평가 산출물(계획서 및 결과보고서, 조치계획 및 조치결과보고서)을 제공받을 수 있습니까?</t>
  </si>
  <si>
    <t xml:space="preserve"> - 정보보호수준평가 산출물(계획서 및 결과보고서, 조치계획 및 조치결과보고서)
 - 내부감사 수행계획서</t>
  </si>
  <si>
    <r>
      <rPr>
        <rFont val="Malgun Gothic"/>
        <color rgb="FF000000"/>
        <sz val="11.0"/>
      </rPr>
      <t xml:space="preserve">ㅇ 정보보호 수준 평가 결과를 토대로 수준 평가를 실시하고 그 결과를 유관 부서장 및 담당자에게 통보하고 있음
ㅇ 평가 결과에 대한 개선 계획에 따라 개선 조치가 지속적으로 이루어지도록 조치 현황을 관리하고 있음
</t>
    </r>
    <r>
      <rPr>
        <rFont val="맑은 고딕"/>
        <color rgb="FF6600FF"/>
        <sz val="11.0"/>
      </rPr>
      <t>23년 정보보호수준평가 10월 실시 예정으로 22년 정보보호수준평가 자료가 최신 증적 자료
PDF 안열림</t>
    </r>
  </si>
  <si>
    <t xml:space="preserve"> - 정보보호수준평가 산출물(계획서 및 결과보고서, 조치계획 및 조치결과보고서)
 - 내부감사 결과보고서
 - 컨설팅 산출물</t>
  </si>
  <si>
    <t>23년 정보보호수준평가 10월 실시 예정으로 22년 정보보호수준평가 자료가 최신 증적 자료</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</si>
</sst>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_-* #,##0_-;\-* #,##0_-;_-* &quot;-&quot;_-;_-@"/>
  </numFmts>
  <fonts count="31">
    <font>
      <sz val="11.0"/>
      <color rgb="FF000000"/>
      <name val="Calibri"/>
      <scheme val="minor"/>
    </font>
    <font>
      <b/>
      <color theme="1"/>
      <name val="Calibri"/>
      <scheme val="minor"/>
    </font>
    <font>
      <color rgb="FF000000"/>
      <name val="Arial"/>
    </font>
    <font>
      <sz val="9.0"/>
      <color rgb="FF000000"/>
      <name val="Arial"/>
    </font>
    <font>
      <color theme="1"/>
      <name val="Calibri"/>
      <scheme val="minor"/>
    </font>
    <font>
      <sz val="11.0"/>
      <color theme="1"/>
      <name val="Malgun Gothic"/>
    </font>
    <font>
      <b/>
      <u/>
      <sz val="18.0"/>
      <color theme="1"/>
      <name val="Malgun Gothic"/>
    </font>
    <font/>
    <font>
      <b/>
      <sz val="11.0"/>
      <color theme="1"/>
      <name val="Malgun Gothic"/>
    </font>
    <font>
      <b/>
      <sz val="12.0"/>
      <color theme="1"/>
      <name val="Malgun Gothic"/>
    </font>
    <font>
      <b/>
      <sz val="10.0"/>
      <color theme="1"/>
      <name val="Malgun Gothic"/>
    </font>
    <font>
      <sz val="10.0"/>
      <color theme="1"/>
      <name val="Malgun Gothic"/>
    </font>
    <font>
      <sz val="10.0"/>
      <color rgb="FFFF0000"/>
      <name val="Malgun Gothic"/>
    </font>
    <font>
      <color theme="1"/>
      <name val="Malgun Gothic"/>
    </font>
    <font>
      <sz val="10.0"/>
      <color rgb="FF000000"/>
      <name val="Malgun Gothic"/>
    </font>
    <font>
      <sz val="11.0"/>
      <color theme="1"/>
      <name val="Calibri"/>
    </font>
    <font>
      <sz val="10.0"/>
      <color rgb="FF0000FF"/>
      <name val="Malgun Gothic"/>
    </font>
    <font>
      <sz val="11.0"/>
      <color rgb="FF000000"/>
      <name val="Malgun Gothic"/>
    </font>
    <font>
      <sz val="12.0"/>
      <color theme="1"/>
      <name val="Malgun Gothic"/>
    </font>
    <font>
      <b/>
      <sz val="12.0"/>
      <color rgb="FF000000"/>
      <name val="Malgun Gothic"/>
    </font>
    <font>
      <b/>
      <u/>
      <sz val="16.0"/>
      <color theme="1"/>
      <name val="Malgun Gothic"/>
    </font>
    <font>
      <b/>
      <sz val="11.0"/>
      <color theme="0"/>
      <name val="Malgun Gothic"/>
    </font>
    <font>
      <b/>
      <u/>
      <sz val="16.0"/>
      <color rgb="FFFFFFFF"/>
      <name val="Malgun Gothic"/>
    </font>
    <font>
      <b/>
      <u/>
      <sz val="16.0"/>
      <color rgb="FFFFFFFF"/>
      <name val="Malgun Gothic"/>
    </font>
    <font>
      <b/>
      <sz val="11.0"/>
      <color rgb="FFFFFFFF"/>
      <name val="Malgun Gothic"/>
    </font>
    <font>
      <sz val="11.0"/>
      <color rgb="FF6600FF"/>
      <name val="Malgun Gothic"/>
    </font>
    <font>
      <sz val="11.0"/>
      <color rgb="FFFF0000"/>
      <name val="Malgun Gothic"/>
    </font>
    <font>
      <sz val="11.0"/>
      <color rgb="FF0070C0"/>
      <name val="Malgun Gothic"/>
    </font>
    <font>
      <sz val="11.0"/>
      <color rgb="FF0000FF"/>
      <name val="Malgun Gothic"/>
    </font>
    <font>
      <sz val="11.0"/>
      <color theme="0"/>
      <name val="Malgun Gothic"/>
    </font>
    <font>
      <sz val="11.0"/>
      <color rgb="FF00B050"/>
      <name val="Malgun Gothic"/>
    </font>
  </fonts>
  <fills count="23">
    <fill>
      <patternFill patternType="none"/>
    </fill>
    <fill>
      <patternFill patternType="lightGray"/>
    </fill>
    <fill>
      <patternFill patternType="solid">
        <fgColor rgb="FFB7B7B7"/>
        <bgColor rgb="FFB7B7B7"/>
      </patternFill>
    </fill>
    <fill>
      <patternFill patternType="solid">
        <fgColor rgb="FFFFFFFF"/>
        <bgColor rgb="FFFFFFFF"/>
      </patternFill>
    </fill>
    <fill>
      <patternFill patternType="solid">
        <fgColor rgb="FFD8D8D8"/>
        <bgColor rgb="FFD8D8D8"/>
      </patternFill>
    </fill>
    <fill>
      <patternFill patternType="solid">
        <fgColor rgb="FFF2F2F2"/>
        <bgColor rgb="FFF2F2F2"/>
      </patternFill>
    </fill>
    <fill>
      <patternFill patternType="solid">
        <fgColor theme="0"/>
        <bgColor theme="0"/>
      </patternFill>
    </fill>
    <fill>
      <patternFill patternType="solid">
        <fgColor rgb="FF92D050"/>
        <bgColor rgb="FF92D050"/>
      </patternFill>
    </fill>
    <fill>
      <patternFill patternType="solid">
        <fgColor rgb="FFF6F8F9"/>
        <bgColor rgb="FFF6F8F9"/>
      </patternFill>
    </fill>
    <fill>
      <patternFill patternType="solid">
        <fgColor rgb="FF00B0F0"/>
        <bgColor rgb="FF00B0F0"/>
      </patternFill>
    </fill>
    <fill>
      <patternFill patternType="solid">
        <fgColor rgb="FF8EAADB"/>
        <bgColor rgb="FF8EAADB"/>
      </patternFill>
    </fill>
    <fill>
      <patternFill patternType="solid">
        <fgColor rgb="FFDEEAF6"/>
        <bgColor rgb="FFDEEAF6"/>
      </patternFill>
    </fill>
    <fill>
      <patternFill patternType="solid">
        <fgColor rgb="FF008AC8"/>
        <bgColor rgb="FF008AC8"/>
      </patternFill>
    </fill>
    <fill>
      <patternFill patternType="solid">
        <fgColor rgb="FF080750"/>
        <bgColor rgb="FF080750"/>
      </patternFill>
    </fill>
    <fill>
      <patternFill patternType="solid">
        <fgColor rgb="FFCC99FF"/>
        <bgColor rgb="FFCC99FF"/>
      </patternFill>
    </fill>
    <fill>
      <patternFill patternType="solid">
        <fgColor rgb="FFFFC000"/>
        <bgColor rgb="FFFFC000"/>
      </patternFill>
    </fill>
    <fill>
      <patternFill patternType="solid">
        <fgColor rgb="FF7F7F7F"/>
        <bgColor rgb="FF7F7F7F"/>
      </patternFill>
    </fill>
    <fill>
      <patternFill patternType="solid">
        <fgColor rgb="FFFFFF00"/>
        <bgColor rgb="FFFFFF00"/>
      </patternFill>
    </fill>
    <fill>
      <patternFill patternType="solid">
        <fgColor rgb="FF0000FF"/>
        <bgColor rgb="FF0000FF"/>
      </patternFill>
    </fill>
    <fill>
      <patternFill patternType="solid">
        <fgColor rgb="FF595959"/>
        <bgColor rgb="FF595959"/>
      </patternFill>
    </fill>
    <fill>
      <patternFill patternType="solid">
        <fgColor rgb="FFFBE4D5"/>
        <bgColor rgb="FFFBE4D5"/>
      </patternFill>
    </fill>
    <fill>
      <patternFill patternType="solid">
        <fgColor rgb="FFFFCCFF"/>
        <bgColor rgb="FFFFCCFF"/>
      </patternFill>
    </fill>
    <fill>
      <patternFill patternType="solid">
        <fgColor theme="8"/>
        <bgColor theme="8"/>
      </patternFill>
    </fill>
  </fills>
  <borders count="104">
    <border/>
    <border>
      <left style="thin">
        <color rgb="FF000000"/>
      </left>
      <right style="thin">
        <color rgb="FF000000"/>
      </right>
      <top style="thin">
        <color rgb="FF000000"/>
      </top>
      <bottom style="thin">
        <color rgb="FF000000"/>
      </bottom>
    </border>
    <border>
      <left/>
      <right/>
      <top/>
      <bottom/>
    </border>
    <border>
      <left/>
      <top/>
      <bottom/>
    </border>
    <border>
      <top/>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thin">
        <color rgb="FFA5A5A5"/>
      </right>
      <top style="thin">
        <color rgb="FFA5A5A5"/>
      </top>
    </border>
    <border>
      <left style="thin">
        <color rgb="FFA5A5A5"/>
      </left>
      <right style="thin">
        <color rgb="FFA5A5A5"/>
      </right>
    </border>
    <border>
      <left style="thin">
        <color rgb="FFA5A5A5"/>
      </left>
      <right style="thin">
        <color rgb="FFA5A5A5"/>
      </right>
      <bottom style="thin">
        <color rgb="FFA5A5A5"/>
      </bottom>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medium">
        <color rgb="FF000000"/>
      </left>
      <right style="thin">
        <color rgb="FF000000"/>
      </right>
      <top style="medium">
        <color rgb="FF000000"/>
      </top>
    </border>
    <border>
      <left style="thin">
        <color rgb="FF000000"/>
      </left>
      <right style="thin">
        <color rgb="FF000000"/>
      </right>
      <top style="medium">
        <color rgb="FF000000"/>
      </top>
    </border>
    <border>
      <left style="thin">
        <color rgb="FF000000"/>
      </left>
      <right/>
      <top style="medium">
        <color rgb="FF000000"/>
      </top>
    </border>
    <border>
      <left style="medium">
        <color rgb="FF000000"/>
      </left>
      <right style="medium">
        <color rgb="FF000000"/>
      </right>
      <top style="medium">
        <color rgb="FF000000"/>
      </top>
    </border>
    <border>
      <left style="medium">
        <color rgb="FF000000"/>
      </left>
      <top style="medium">
        <color rgb="FF000000"/>
      </top>
      <bottom style="thin">
        <color rgb="FF000000"/>
      </bottom>
    </border>
    <border>
      <top style="medium">
        <color rgb="FF000000"/>
      </top>
      <bottom style="thin">
        <color rgb="FF000000"/>
      </bottom>
    </border>
    <border>
      <left style="medium">
        <color rgb="FFFF0000"/>
      </left>
      <top style="medium">
        <color rgb="FFFF0000"/>
      </top>
      <bottom style="thin">
        <color rgb="FF000000"/>
      </bottom>
    </border>
    <border>
      <top style="medium">
        <color rgb="FFFF0000"/>
      </top>
      <bottom style="thin">
        <color rgb="FF000000"/>
      </bottom>
    </border>
    <border>
      <right style="medium">
        <color rgb="FFFF0000"/>
      </right>
      <top style="medium">
        <color rgb="FFFF0000"/>
      </top>
      <bottom style="thin">
        <color rgb="FF000000"/>
      </bottom>
    </border>
    <border>
      <left/>
      <right/>
      <top style="medium">
        <color rgb="FF000000"/>
      </top>
    </border>
    <border>
      <left style="medium">
        <color rgb="FFFF0000"/>
      </left>
      <right style="medium">
        <color rgb="FFFF0000"/>
      </right>
      <top style="medium">
        <color rgb="FFFF0000"/>
      </top>
    </border>
    <border>
      <left style="thin">
        <color rgb="FF000000"/>
      </left>
      <right style="medium">
        <color rgb="FF000000"/>
      </right>
      <top style="medium">
        <color rgb="FF000000"/>
      </top>
    </border>
    <border>
      <left style="medium">
        <color rgb="FF000000"/>
      </left>
      <right style="thin">
        <color rgb="FF000000"/>
      </right>
      <bottom style="medium">
        <color rgb="FF000000"/>
      </bottom>
    </border>
    <border>
      <left style="thin">
        <color rgb="FF000000"/>
      </left>
      <right style="thin">
        <color rgb="FF000000"/>
      </right>
      <bottom style="medium">
        <color rgb="FF000000"/>
      </bottom>
    </border>
    <border>
      <left style="thin">
        <color rgb="FF000000"/>
      </left>
      <right/>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medium">
        <color rgb="FFFF0000"/>
      </left>
      <right style="thin">
        <color rgb="FF000000"/>
      </right>
      <top style="thin">
        <color rgb="FF000000"/>
      </top>
      <bottom style="medium">
        <color rgb="FF000000"/>
      </bottom>
    </border>
    <border>
      <left style="thin">
        <color rgb="FF000000"/>
      </left>
      <right style="medium">
        <color rgb="FFFF0000"/>
      </right>
      <top style="thin">
        <color rgb="FF000000"/>
      </top>
      <bottom style="medium">
        <color rgb="FF000000"/>
      </bottom>
    </border>
    <border>
      <left/>
      <right/>
      <bottom style="medium">
        <color rgb="FF000000"/>
      </bottom>
    </border>
    <border>
      <left style="medium">
        <color rgb="FFFF0000"/>
      </left>
      <right style="medium">
        <color rgb="FFFF0000"/>
      </right>
      <bottom style="medium">
        <color rgb="FF000000"/>
      </bottom>
    </border>
    <border>
      <left style="thin">
        <color rgb="FF000000"/>
      </left>
      <right style="medium">
        <color rgb="FF000000"/>
      </right>
      <bottom style="medium">
        <color rgb="FF000000"/>
      </bottom>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FF0000"/>
      </left>
      <right style="thin">
        <color rgb="FF000000"/>
      </right>
      <top style="medium">
        <color rgb="FF000000"/>
      </top>
      <bottom style="thin">
        <color rgb="FF000000"/>
      </bottom>
    </border>
    <border>
      <left style="thin">
        <color rgb="FF000000"/>
      </left>
      <right style="medium">
        <color rgb="FFFF0000"/>
      </right>
      <top style="medium">
        <color rgb="FF000000"/>
      </top>
      <bottom style="thin">
        <color rgb="FF000000"/>
      </bottom>
    </border>
    <border>
      <bottom style="thin">
        <color rgb="FF000000"/>
      </bottom>
    </border>
    <border>
      <left style="medium">
        <color rgb="FFFF0000"/>
      </left>
      <right style="medium">
        <color rgb="FFFF0000"/>
      </right>
      <bottom style="thin">
        <color rgb="FF000000"/>
      </bottom>
    </border>
    <border>
      <left style="medium">
        <color rgb="FF000000"/>
      </left>
      <right style="thin">
        <color rgb="FF000000"/>
      </right>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thin">
        <color rgb="FF000000"/>
      </right>
    </border>
    <border>
      <left style="thin">
        <color rgb="FF000000"/>
      </lef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FF0000"/>
      </left>
      <right style="thin">
        <color rgb="FF000000"/>
      </right>
      <top style="thin">
        <color rgb="FF000000"/>
      </top>
      <bottom style="thin">
        <color rgb="FF000000"/>
      </bottom>
    </border>
    <border>
      <left style="thin">
        <color rgb="FF000000"/>
      </left>
      <right style="medium">
        <color rgb="FFFF0000"/>
      </right>
      <top style="thin">
        <color rgb="FF000000"/>
      </top>
      <bottom style="thin">
        <color rgb="FF000000"/>
      </bottom>
    </border>
    <border>
      <top style="thin">
        <color rgb="FF000000"/>
      </top>
      <bottom style="thin">
        <color rgb="FF000000"/>
      </bottom>
    </border>
    <border>
      <left style="medium">
        <color rgb="FFFF0000"/>
      </left>
      <right style="medium">
        <color rgb="FFFF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ttom style="medium">
        <color rgb="FF000000"/>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style="thin">
        <color rgb="FF000000"/>
      </right>
      <top style="thin">
        <color rgb="FF000000"/>
      </top>
    </border>
    <border>
      <left style="thin">
        <color rgb="FF000000"/>
      </left>
      <top style="thin">
        <color rgb="FF000000"/>
      </top>
    </border>
    <border>
      <left style="medium">
        <color rgb="FF000000"/>
      </left>
      <right style="medium">
        <color rgb="FF000000"/>
      </right>
      <top style="thin">
        <color rgb="FF000000"/>
      </top>
    </border>
    <border>
      <left style="medium">
        <color rgb="FF000000"/>
      </left>
      <right style="thin">
        <color rgb="FF000000"/>
      </right>
      <top style="thin">
        <color rgb="FF000000"/>
      </top>
      <bottom/>
    </border>
    <border>
      <left style="thin">
        <color rgb="FF000000"/>
      </left>
      <right style="thin">
        <color rgb="FF000000"/>
      </right>
      <top style="thin">
        <color rgb="FF000000"/>
      </top>
      <bottom/>
    </border>
    <border>
      <left style="thin">
        <color rgb="FF000000"/>
      </left>
      <right/>
      <top style="thin">
        <color rgb="FF000000"/>
      </top>
      <bottom/>
    </border>
    <border>
      <left style="medium">
        <color rgb="FFFF0000"/>
      </left>
      <right style="thin">
        <color rgb="FF000000"/>
      </right>
      <top style="thin">
        <color rgb="FF000000"/>
      </top>
    </border>
    <border>
      <top style="thin">
        <color rgb="FF000000"/>
      </top>
    </border>
    <border>
      <left style="medium">
        <color rgb="FFFF0000"/>
      </left>
      <right style="medium">
        <color rgb="FFFF0000"/>
      </right>
      <top style="thin">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top style="medium">
        <color rgb="FF000000"/>
      </top>
      <bottom style="medium">
        <color rgb="FF000000"/>
      </bottom>
    </border>
    <border>
      <left style="medium">
        <color rgb="FFFF0000"/>
      </left>
      <right style="medium">
        <color rgb="FF000000"/>
      </right>
      <top style="medium">
        <color rgb="FF000000"/>
      </top>
      <bottom style="medium">
        <color rgb="FF000000"/>
      </bottom>
    </border>
    <border>
      <left style="medium">
        <color rgb="FF000000"/>
      </left>
      <right style="medium">
        <color rgb="FFFF0000"/>
      </right>
      <top style="medium">
        <color rgb="FF000000"/>
      </top>
      <bottom style="medium">
        <color rgb="FF000000"/>
      </bottom>
    </border>
    <border>
      <left/>
      <right/>
      <top style="medium">
        <color rgb="FF000000"/>
      </top>
      <bottom style="medium">
        <color rgb="FF000000"/>
      </bottom>
    </border>
    <border>
      <left style="medium">
        <color rgb="FFFF0000"/>
      </left>
      <right style="medium">
        <color rgb="FFFF0000"/>
      </right>
      <top style="medium">
        <color rgb="FF000000"/>
      </top>
      <bottom style="medium">
        <color rgb="FF000000"/>
      </bottom>
    </border>
    <border>
      <left style="thin">
        <color rgb="FF000000"/>
      </left>
      <right style="medium">
        <color rgb="FFFF0000"/>
      </right>
      <top style="thin">
        <color rgb="FF000000"/>
      </top>
    </border>
    <border>
      <left style="medium">
        <color rgb="FFFF0000"/>
      </left>
      <right style="medium">
        <color rgb="FF000000"/>
      </right>
      <top style="medium">
        <color rgb="FF000000"/>
      </top>
      <bottom style="medium">
        <color rgb="FFFF0000"/>
      </bottom>
    </border>
    <border>
      <left style="medium">
        <color rgb="FF000000"/>
      </left>
      <right style="medium">
        <color rgb="FF000000"/>
      </right>
      <top style="medium">
        <color rgb="FF000000"/>
      </top>
      <bottom style="medium">
        <color rgb="FFFF0000"/>
      </bottom>
    </border>
    <border>
      <left style="medium">
        <color rgb="FF000000"/>
      </left>
      <right style="medium">
        <color rgb="FFFF0000"/>
      </right>
      <top style="medium">
        <color rgb="FF000000"/>
      </top>
      <bottom style="medium">
        <color rgb="FFFF0000"/>
      </bottom>
    </border>
    <border>
      <left style="medium">
        <color rgb="FFFF0000"/>
      </left>
      <right style="medium">
        <color rgb="FFFF0000"/>
      </right>
      <top style="medium">
        <color rgb="FF000000"/>
      </top>
      <bottom style="medium">
        <color rgb="FFFF0000"/>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0000"/>
      </left>
      <right/>
      <top/>
      <bottom/>
    </border>
    <border>
      <left/>
      <right style="medium">
        <color rgb="FF000000"/>
      </right>
      <top/>
      <bottom/>
    </border>
    <border>
      <left style="medium">
        <color rgb="FF000000"/>
      </left>
      <right style="thin">
        <color rgb="FF000000"/>
      </right>
      <top style="medium">
        <color rgb="FF000000"/>
      </top>
      <bottom/>
    </border>
    <border>
      <left style="thin">
        <color rgb="FF000000"/>
      </left>
      <right style="thin">
        <color rgb="FF000000"/>
      </right>
      <top style="medium">
        <color rgb="FF000000"/>
      </top>
      <bottom/>
    </border>
    <border>
      <left style="thin">
        <color rgb="FF000000"/>
      </left>
      <right style="medium">
        <color rgb="FF000000"/>
      </right>
      <top style="medium">
        <color rgb="FF000000"/>
      </top>
      <bottom/>
    </border>
    <border>
      <left style="thin">
        <color rgb="FF000000"/>
      </left>
      <right style="medium">
        <color rgb="FF000000"/>
      </right>
      <top style="medium">
        <color rgb="FF000000"/>
      </top>
      <bottom style="thin">
        <color rgb="FF000000"/>
      </bottom>
    </border>
    <border>
      <left style="thin">
        <color rgb="FF000000"/>
      </left>
      <right style="thin">
        <color rgb="FF000000"/>
      </right>
    </border>
    <border>
      <left style="thin">
        <color rgb="FF000000"/>
      </left>
      <right style="thin">
        <color rgb="FF000000"/>
      </right>
      <top/>
      <bottom/>
    </border>
    <border>
      <left style="thin">
        <color rgb="FF000000"/>
      </left>
      <right style="thin">
        <color rgb="FF000000"/>
      </right>
      <top/>
      <bottom style="thin">
        <color rgb="FF000000"/>
      </bottom>
    </border>
  </borders>
  <cellStyleXfs count="1">
    <xf borderId="0" fillId="0" fontId="0" numFmtId="0" applyAlignment="1" applyFont="1"/>
  </cellStyleXfs>
  <cellXfs count="305">
    <xf borderId="0" fillId="0" fontId="0" numFmtId="0" xfId="0" applyAlignment="1" applyFont="1">
      <alignment readingOrder="0" shrinkToFit="0" vertical="center" wrapText="0"/>
    </xf>
    <xf borderId="0" fillId="0" fontId="1" numFmtId="0" xfId="0" applyAlignment="1" applyFont="1">
      <alignment horizontal="center" readingOrder="0" vertical="center"/>
    </xf>
    <xf borderId="1" fillId="2" fontId="2" numFmtId="0" xfId="0" applyAlignment="1" applyBorder="1" applyFill="1" applyFont="1">
      <alignment horizontal="center" readingOrder="0" vertical="center"/>
    </xf>
    <xf borderId="1" fillId="0" fontId="3" numFmtId="0" xfId="0" applyAlignment="1" applyBorder="1" applyFont="1">
      <alignment horizontal="center" readingOrder="0" vertical="center"/>
    </xf>
    <xf borderId="1" fillId="0" fontId="3" numFmtId="0" xfId="0" applyAlignment="1" applyBorder="1" applyFont="1">
      <alignment readingOrder="0" vertical="center"/>
    </xf>
    <xf borderId="1" fillId="0" fontId="3" numFmtId="164" xfId="0" applyAlignment="1" applyBorder="1" applyFont="1" applyNumberFormat="1">
      <alignment horizontal="center" readingOrder="0" vertical="center"/>
    </xf>
    <xf borderId="1" fillId="0" fontId="4" numFmtId="0" xfId="0" applyAlignment="1" applyBorder="1" applyFont="1">
      <alignment vertical="top"/>
    </xf>
    <xf borderId="1" fillId="0" fontId="4" numFmtId="0" xfId="0" applyAlignment="1" applyBorder="1" applyFont="1">
      <alignment vertical="center"/>
    </xf>
    <xf borderId="2" fillId="3" fontId="5" numFmtId="49" xfId="0" applyAlignment="1" applyBorder="1" applyFill="1" applyFont="1" applyNumberFormat="1">
      <alignment vertical="center"/>
    </xf>
    <xf borderId="3" fillId="3" fontId="6" numFmtId="49" xfId="0" applyAlignment="1" applyBorder="1" applyFont="1" applyNumberFormat="1">
      <alignment horizontal="center" vertical="center"/>
    </xf>
    <xf borderId="4" fillId="0" fontId="7" numFmtId="0" xfId="0" applyAlignment="1" applyBorder="1" applyFont="1">
      <alignment vertical="center"/>
    </xf>
    <xf borderId="0" fillId="0" fontId="5" numFmtId="0" xfId="0" applyAlignment="1" applyFont="1">
      <alignment vertical="center"/>
    </xf>
    <xf borderId="0" fillId="0" fontId="5" numFmtId="0" xfId="0" applyAlignment="1" applyFont="1">
      <alignment horizontal="left" vertical="center"/>
    </xf>
    <xf borderId="5" fillId="4" fontId="8" numFmtId="0" xfId="0" applyAlignment="1" applyBorder="1" applyFill="1" applyFont="1">
      <alignment horizontal="center" shrinkToFit="0" vertical="center" wrapText="1"/>
    </xf>
    <xf borderId="6" fillId="4" fontId="8" numFmtId="0" xfId="0" applyAlignment="1" applyBorder="1" applyFont="1">
      <alignment horizontal="center" shrinkToFit="0" vertical="center" wrapText="1"/>
    </xf>
    <xf borderId="7" fillId="0" fontId="7" numFmtId="0" xfId="0" applyAlignment="1" applyBorder="1" applyFont="1">
      <alignment vertical="center"/>
    </xf>
    <xf borderId="5" fillId="4" fontId="8" numFmtId="0" xfId="0" applyAlignment="1" applyBorder="1" applyFont="1">
      <alignment horizontal="center" shrinkToFit="1" vertical="center" wrapText="0"/>
    </xf>
    <xf borderId="8" fillId="5" fontId="9" numFmtId="49" xfId="0" applyAlignment="1" applyBorder="1" applyFill="1" applyFont="1" applyNumberFormat="1">
      <alignment horizontal="center" shrinkToFit="0" vertical="center" wrapText="1"/>
    </xf>
    <xf borderId="8" fillId="0" fontId="9" numFmtId="0" xfId="0" applyAlignment="1" applyBorder="1" applyFont="1">
      <alignment horizontal="center" shrinkToFit="0" vertical="center" wrapText="1"/>
    </xf>
    <xf borderId="5" fillId="0" fontId="10" numFmtId="0" xfId="0" applyAlignment="1" applyBorder="1" applyFont="1">
      <alignment horizontal="center" shrinkToFit="0" vertical="center" wrapText="1"/>
    </xf>
    <xf borderId="6" fillId="0" fontId="10" numFmtId="0" xfId="0" applyAlignment="1" applyBorder="1" applyFont="1">
      <alignment horizontal="center" shrinkToFit="0" vertical="center" wrapText="1"/>
    </xf>
    <xf borderId="5" fillId="0" fontId="11" numFmtId="0" xfId="0" applyAlignment="1" applyBorder="1" applyFont="1">
      <alignment horizontal="left" shrinkToFit="0" vertical="center" wrapText="1"/>
    </xf>
    <xf borderId="5" fillId="6" fontId="11" numFmtId="49" xfId="0" applyAlignment="1" applyBorder="1" applyFill="1" applyFont="1" applyNumberFormat="1">
      <alignment horizontal="center" vertical="center"/>
    </xf>
    <xf borderId="9" fillId="0" fontId="7" numFmtId="0" xfId="0" applyAlignment="1" applyBorder="1" applyFont="1">
      <alignment vertical="center"/>
    </xf>
    <xf borderId="10" fillId="0" fontId="7" numFmtId="0" xfId="0" applyAlignment="1" applyBorder="1" applyFont="1">
      <alignment vertical="center"/>
    </xf>
    <xf borderId="8" fillId="0" fontId="10" numFmtId="0" xfId="0" applyAlignment="1" applyBorder="1" applyFont="1">
      <alignment horizontal="center" shrinkToFit="0" vertical="center" wrapText="1"/>
    </xf>
    <xf borderId="5" fillId="0" fontId="12" numFmtId="0" xfId="0" applyAlignment="1" applyBorder="1" applyFont="1">
      <alignment horizontal="left" shrinkToFit="0" vertical="center" wrapText="1"/>
    </xf>
    <xf borderId="2" fillId="3" fontId="5" numFmtId="49" xfId="0" applyAlignment="1" applyBorder="1" applyFont="1" applyNumberFormat="1">
      <alignment horizontal="center" vertical="center"/>
    </xf>
    <xf borderId="2" fillId="3" fontId="5" numFmtId="49" xfId="0" applyAlignment="1" applyBorder="1" applyFont="1" applyNumberFormat="1">
      <alignment horizontal="left" vertical="center"/>
    </xf>
    <xf borderId="2" fillId="3" fontId="5" numFmtId="49" xfId="0" applyAlignment="1" applyBorder="1" applyFont="1" applyNumberFormat="1">
      <alignment horizontal="center" vertical="top"/>
    </xf>
    <xf borderId="2" fillId="3" fontId="5" numFmtId="49" xfId="0" applyAlignment="1" applyBorder="1" applyFont="1" applyNumberFormat="1">
      <alignment horizontal="center" shrinkToFit="0" vertical="center" wrapText="1"/>
    </xf>
    <xf borderId="2" fillId="3" fontId="5" numFmtId="49" xfId="0" applyAlignment="1" applyBorder="1" applyFont="1" applyNumberFormat="1">
      <alignment horizontal="left" vertical="top"/>
    </xf>
    <xf borderId="11" fillId="0" fontId="10" numFmtId="49" xfId="0" applyAlignment="1" applyBorder="1" applyFont="1" applyNumberFormat="1">
      <alignment horizontal="center" shrinkToFit="0" vertical="center" wrapText="1"/>
    </xf>
    <xf borderId="12" fillId="0" fontId="10" numFmtId="49" xfId="0" applyAlignment="1" applyBorder="1" applyFont="1" applyNumberFormat="1">
      <alignment horizontal="center" shrinkToFit="0" vertical="center" wrapText="1"/>
    </xf>
    <xf borderId="12" fillId="0" fontId="10" numFmtId="49" xfId="0" applyAlignment="1" applyBorder="1" applyFont="1" applyNumberFormat="1">
      <alignment horizontal="center" shrinkToFit="0" vertical="center" wrapText="0"/>
    </xf>
    <xf borderId="13" fillId="0" fontId="10" numFmtId="49" xfId="0" applyAlignment="1" applyBorder="1" applyFont="1" applyNumberFormat="1">
      <alignment horizontal="center" shrinkToFit="0" vertical="center" wrapText="1"/>
    </xf>
    <xf borderId="5" fillId="6" fontId="10" numFmtId="49" xfId="0" applyAlignment="1" applyBorder="1" applyFont="1" applyNumberFormat="1">
      <alignment shrinkToFit="0" vertical="center" wrapText="1"/>
    </xf>
    <xf borderId="5" fillId="6" fontId="11" numFmtId="49" xfId="0" applyAlignment="1" applyBorder="1" applyFont="1" applyNumberFormat="1">
      <alignment shrinkToFit="0" vertical="center" wrapText="1"/>
    </xf>
    <xf borderId="5" fillId="0" fontId="11" numFmtId="49" xfId="0" applyAlignment="1" applyBorder="1" applyFont="1" applyNumberFormat="1">
      <alignment horizontal="left" shrinkToFit="0" vertical="center" wrapText="1"/>
    </xf>
    <xf borderId="5" fillId="7" fontId="13" numFmtId="49" xfId="0" applyAlignment="1" applyBorder="1" applyFill="1" applyFont="1" applyNumberFormat="1">
      <alignment horizontal="center" shrinkToFit="0" vertical="center" wrapText="0"/>
    </xf>
    <xf borderId="5" fillId="3" fontId="13" numFmtId="0" xfId="0" applyAlignment="1" applyBorder="1" applyFont="1">
      <alignment shrinkToFit="0" vertical="center" wrapText="1"/>
    </xf>
    <xf borderId="5" fillId="0" fontId="14" numFmtId="0" xfId="0" applyAlignment="1" applyBorder="1" applyFont="1">
      <alignment horizontal="left" shrinkToFit="0" vertical="center" wrapText="1"/>
    </xf>
    <xf borderId="5" fillId="8" fontId="13" numFmtId="0" xfId="0" applyAlignment="1" applyBorder="1" applyFill="1" applyFont="1">
      <alignment shrinkToFit="0" vertical="center" wrapText="1"/>
    </xf>
    <xf borderId="5" fillId="0" fontId="11" numFmtId="0" xfId="0" applyAlignment="1" applyBorder="1" applyFont="1">
      <alignment horizontal="left" shrinkToFit="0" vertical="center" wrapText="1"/>
    </xf>
    <xf borderId="5" fillId="8" fontId="13" numFmtId="49" xfId="0" applyAlignment="1" applyBorder="1" applyFont="1" applyNumberFormat="1">
      <alignment shrinkToFit="0" vertical="center" wrapText="1"/>
    </xf>
    <xf borderId="5" fillId="3" fontId="13" numFmtId="49" xfId="0" applyAlignment="1" applyBorder="1" applyFont="1" applyNumberFormat="1">
      <alignment shrinkToFit="0" vertical="center" wrapText="1"/>
    </xf>
    <xf borderId="5" fillId="3" fontId="15" numFmtId="0" xfId="0" applyAlignment="1" applyBorder="1" applyFont="1">
      <alignment vertical="center"/>
    </xf>
    <xf borderId="5" fillId="8" fontId="15" numFmtId="0" xfId="0" applyAlignment="1" applyBorder="1" applyFont="1">
      <alignment vertical="center"/>
    </xf>
    <xf borderId="5" fillId="0" fontId="11" numFmtId="49" xfId="0" applyAlignment="1" applyBorder="1" applyFont="1" applyNumberFormat="1">
      <alignment horizontal="left" shrinkToFit="0" vertical="top" wrapText="1"/>
    </xf>
    <xf borderId="5" fillId="9" fontId="13" numFmtId="49" xfId="0" applyAlignment="1" applyBorder="1" applyFill="1" applyFont="1" applyNumberFormat="1">
      <alignment horizontal="center" shrinkToFit="0" vertical="center" wrapText="0"/>
    </xf>
    <xf borderId="5" fillId="3" fontId="15" numFmtId="49" xfId="0" applyAlignment="1" applyBorder="1" applyFont="1" applyNumberFormat="1">
      <alignment vertical="center"/>
    </xf>
    <xf borderId="5" fillId="0" fontId="14" numFmtId="49" xfId="0" applyAlignment="1" applyBorder="1" applyFont="1" applyNumberFormat="1">
      <alignment horizontal="left" shrinkToFit="0" vertical="center" wrapText="1"/>
    </xf>
    <xf borderId="5" fillId="0" fontId="11" numFmtId="165" xfId="0" applyAlignment="1" applyBorder="1" applyFont="1" applyNumberFormat="1">
      <alignment horizontal="left" shrinkToFit="0" vertical="center" wrapText="1"/>
    </xf>
    <xf borderId="5" fillId="8" fontId="15" numFmtId="49" xfId="0" applyAlignment="1" applyBorder="1" applyFont="1" applyNumberFormat="1">
      <alignment vertical="center"/>
    </xf>
    <xf borderId="5" fillId="0" fontId="16" numFmtId="49" xfId="0" applyAlignment="1" applyBorder="1" applyFont="1" applyNumberFormat="1">
      <alignment horizontal="left" shrinkToFit="0" vertical="center" wrapText="1"/>
    </xf>
    <xf borderId="5" fillId="8" fontId="15" numFmtId="0" xfId="0" applyAlignment="1" applyBorder="1" applyFont="1">
      <alignment readingOrder="0" vertical="center"/>
    </xf>
    <xf borderId="5" fillId="6" fontId="11" numFmtId="49" xfId="0" applyAlignment="1" applyBorder="1" applyFont="1" applyNumberFormat="1">
      <alignment horizontal="left" shrinkToFit="0" vertical="center" wrapText="1"/>
    </xf>
    <xf borderId="5" fillId="0" fontId="12" numFmtId="49" xfId="0" applyAlignment="1" applyBorder="1" applyFont="1" applyNumberFormat="1">
      <alignment horizontal="left" shrinkToFit="0" vertical="center" wrapText="1"/>
    </xf>
    <xf borderId="5" fillId="9" fontId="13" numFmtId="49" xfId="0" applyAlignment="1" applyBorder="1" applyFont="1" applyNumberFormat="1">
      <alignment horizontal="center" readingOrder="0" shrinkToFit="0" vertical="center" wrapText="0"/>
    </xf>
    <xf borderId="5" fillId="8" fontId="15" numFmtId="49" xfId="0" applyAlignment="1" applyBorder="1" applyFont="1" applyNumberFormat="1">
      <alignment readingOrder="0" vertical="center"/>
    </xf>
    <xf borderId="14" fillId="10" fontId="8" numFmtId="49" xfId="0" applyAlignment="1" applyBorder="1" applyFill="1" applyFont="1" applyNumberFormat="1">
      <alignment horizontal="center" shrinkToFit="0" vertical="center" wrapText="1"/>
    </xf>
    <xf borderId="15" fillId="10" fontId="8" numFmtId="49" xfId="0" applyAlignment="1" applyBorder="1" applyFont="1" applyNumberFormat="1">
      <alignment horizontal="center" shrinkToFit="0" vertical="center" wrapText="1"/>
    </xf>
    <xf borderId="16" fillId="10" fontId="8" numFmtId="49" xfId="0" applyAlignment="1" applyBorder="1" applyFont="1" applyNumberFormat="1">
      <alignment horizontal="center" shrinkToFit="0" vertical="center" wrapText="1"/>
    </xf>
    <xf borderId="17" fillId="10" fontId="8" numFmtId="49" xfId="0" applyAlignment="1" applyBorder="1" applyFont="1" applyNumberFormat="1">
      <alignment horizontal="center" shrinkToFit="0" vertical="center" wrapText="1"/>
    </xf>
    <xf borderId="18" fillId="10" fontId="8" numFmtId="49" xfId="0" applyAlignment="1" applyBorder="1" applyFont="1" applyNumberFormat="1">
      <alignment horizontal="center" vertical="center"/>
    </xf>
    <xf borderId="19" fillId="0" fontId="7" numFmtId="0" xfId="0" applyAlignment="1" applyBorder="1" applyFont="1">
      <alignment vertical="center"/>
    </xf>
    <xf borderId="20" fillId="10" fontId="8" numFmtId="49" xfId="0" applyAlignment="1" applyBorder="1" applyFont="1" applyNumberFormat="1">
      <alignment horizontal="center" vertical="center"/>
    </xf>
    <xf borderId="21" fillId="0" fontId="7" numFmtId="0" xfId="0" applyAlignment="1" applyBorder="1" applyFont="1">
      <alignment vertical="center"/>
    </xf>
    <xf borderId="22" fillId="0" fontId="7" numFmtId="0" xfId="0" applyAlignment="1" applyBorder="1" applyFont="1">
      <alignment vertical="center"/>
    </xf>
    <xf borderId="23" fillId="10" fontId="8" numFmtId="49" xfId="0" applyAlignment="1" applyBorder="1" applyFont="1" applyNumberFormat="1">
      <alignment horizontal="center" shrinkToFit="0" vertical="center" wrapText="1"/>
    </xf>
    <xf borderId="24" fillId="10" fontId="8" numFmtId="49" xfId="0" applyAlignment="1" applyBorder="1" applyFont="1" applyNumberFormat="1">
      <alignment horizontal="center" shrinkToFit="0" vertical="center" wrapText="1"/>
    </xf>
    <xf borderId="14" fillId="10" fontId="8" numFmtId="0" xfId="0" applyAlignment="1" applyBorder="1" applyFont="1">
      <alignment horizontal="center" vertical="center"/>
    </xf>
    <xf borderId="15" fillId="10" fontId="8" numFmtId="0" xfId="0" applyAlignment="1" applyBorder="1" applyFont="1">
      <alignment horizontal="center" vertical="center"/>
    </xf>
    <xf borderId="25" fillId="10" fontId="8" numFmtId="0" xfId="0" applyAlignment="1" applyBorder="1" applyFont="1">
      <alignment horizontal="center" vertical="center"/>
    </xf>
    <xf borderId="26" fillId="0" fontId="7" numFmtId="0" xfId="0" applyAlignment="1" applyBorder="1" applyFont="1">
      <alignment vertical="center"/>
    </xf>
    <xf borderId="27" fillId="0" fontId="7" numFmtId="0" xfId="0" applyAlignment="1" applyBorder="1" applyFont="1">
      <alignment vertical="center"/>
    </xf>
    <xf borderId="28" fillId="0" fontId="7" numFmtId="0" xfId="0" applyAlignment="1" applyBorder="1" applyFont="1">
      <alignment vertical="center"/>
    </xf>
    <xf borderId="29" fillId="0" fontId="7" numFmtId="0" xfId="0" applyAlignment="1" applyBorder="1" applyFont="1">
      <alignment vertical="center"/>
    </xf>
    <xf borderId="30" fillId="10" fontId="8" numFmtId="49" xfId="0" applyAlignment="1" applyBorder="1" applyFont="1" applyNumberFormat="1">
      <alignment horizontal="center" shrinkToFit="0" vertical="center" wrapText="1"/>
    </xf>
    <xf borderId="31" fillId="10" fontId="8" numFmtId="49" xfId="0" applyAlignment="1" applyBorder="1" applyFont="1" applyNumberFormat="1">
      <alignment horizontal="center" shrinkToFit="0" vertical="center" wrapText="1"/>
    </xf>
    <xf borderId="32" fillId="10" fontId="8" numFmtId="49" xfId="0" applyAlignment="1" applyBorder="1" applyFont="1" applyNumberFormat="1">
      <alignment horizontal="center" shrinkToFit="0" vertical="center" wrapText="1"/>
    </xf>
    <xf borderId="33" fillId="10" fontId="8" numFmtId="49" xfId="0" applyAlignment="1" applyBorder="1" applyFont="1" applyNumberFormat="1">
      <alignment horizontal="center" shrinkToFit="0" vertical="center" wrapText="1"/>
    </xf>
    <xf borderId="34" fillId="10" fontId="8" numFmtId="49" xfId="0" applyAlignment="1" applyBorder="1" applyFont="1" applyNumberFormat="1">
      <alignment horizontal="center" shrinkToFit="0" vertical="center" wrapText="1"/>
    </xf>
    <xf borderId="35" fillId="0" fontId="7" numFmtId="0" xfId="0" applyAlignment="1" applyBorder="1" applyFont="1">
      <alignment vertical="center"/>
    </xf>
    <xf borderId="36" fillId="0" fontId="7" numFmtId="0" xfId="0" applyAlignment="1" applyBorder="1" applyFont="1">
      <alignment vertical="center"/>
    </xf>
    <xf borderId="37" fillId="0" fontId="7" numFmtId="0" xfId="0" applyAlignment="1" applyBorder="1" applyFont="1">
      <alignment vertical="center"/>
    </xf>
    <xf borderId="14" fillId="6" fontId="9" numFmtId="49" xfId="0" applyAlignment="1" applyBorder="1" applyFont="1" applyNumberFormat="1">
      <alignment horizontal="center" shrinkToFit="0" vertical="center" wrapText="1"/>
    </xf>
    <xf borderId="38" fillId="0" fontId="5" numFmtId="0" xfId="0" applyAlignment="1" applyBorder="1" applyFont="1">
      <alignment horizontal="center" vertical="center"/>
    </xf>
    <xf borderId="39" fillId="0" fontId="5" numFmtId="0" xfId="0" applyAlignment="1" applyBorder="1" applyFont="1">
      <alignment vertical="center"/>
    </xf>
    <xf borderId="40" fillId="0" fontId="5" numFmtId="0" xfId="0" applyAlignment="1" applyBorder="1" applyFont="1">
      <alignment horizontal="center" vertical="center"/>
    </xf>
    <xf borderId="41" fillId="4" fontId="5" numFmtId="0" xfId="0" applyAlignment="1" applyBorder="1" applyFont="1">
      <alignment horizontal="center" vertical="center"/>
    </xf>
    <xf borderId="38" fillId="4" fontId="5" numFmtId="0" xfId="0" applyAlignment="1" applyBorder="1" applyFont="1">
      <alignment horizontal="center" vertical="center"/>
    </xf>
    <xf borderId="42" fillId="4" fontId="5" numFmtId="0" xfId="0" applyAlignment="1" applyBorder="1" applyFont="1">
      <alignment horizontal="center" vertical="center"/>
    </xf>
    <xf borderId="43" fillId="0" fontId="5" numFmtId="0" xfId="0" applyAlignment="1" applyBorder="1" applyFont="1">
      <alignment horizontal="center" vertical="center"/>
    </xf>
    <xf borderId="44" fillId="0" fontId="5" numFmtId="0" xfId="0" applyAlignment="1" applyBorder="1" applyFont="1">
      <alignment horizontal="center" vertical="center"/>
    </xf>
    <xf borderId="45" fillId="0" fontId="5" numFmtId="9" xfId="0" applyAlignment="1" applyBorder="1" applyFont="1" applyNumberFormat="1">
      <alignment horizontal="center" vertical="center"/>
    </xf>
    <xf borderId="46" fillId="0" fontId="5" numFmtId="9" xfId="0" applyAlignment="1" applyBorder="1" applyFont="1" applyNumberFormat="1">
      <alignment horizontal="center" vertical="center"/>
    </xf>
    <xf borderId="47" fillId="10" fontId="8" numFmtId="0" xfId="0" applyAlignment="1" applyBorder="1" applyFont="1">
      <alignment horizontal="center" vertical="center"/>
    </xf>
    <xf borderId="48" fillId="0" fontId="17" numFmtId="9" xfId="0" applyAlignment="1" applyBorder="1" applyFont="1" applyNumberFormat="1">
      <alignment horizontal="center" vertical="center"/>
    </xf>
    <xf borderId="49" fillId="0" fontId="17" numFmtId="9" xfId="0" applyAlignment="1" applyBorder="1" applyFont="1" applyNumberFormat="1">
      <alignment horizontal="center" vertical="center"/>
    </xf>
    <xf borderId="0" fillId="0" fontId="5" numFmtId="9" xfId="0" applyAlignment="1" applyFont="1" applyNumberFormat="1">
      <alignment vertical="center"/>
    </xf>
    <xf borderId="50" fillId="0" fontId="7" numFmtId="0" xfId="0" applyAlignment="1" applyBorder="1" applyFont="1">
      <alignment vertical="center"/>
    </xf>
    <xf borderId="1" fillId="0" fontId="5" numFmtId="0" xfId="0" applyAlignment="1" applyBorder="1" applyFont="1">
      <alignment horizontal="center" vertical="center"/>
    </xf>
    <xf borderId="51" fillId="0" fontId="5" numFmtId="0" xfId="0" applyAlignment="1" applyBorder="1" applyFont="1">
      <alignment vertical="center"/>
    </xf>
    <xf borderId="52" fillId="0" fontId="5" numFmtId="0" xfId="0" applyAlignment="1" applyBorder="1" applyFont="1">
      <alignment horizontal="center" vertical="center"/>
    </xf>
    <xf borderId="53" fillId="4" fontId="5" numFmtId="0" xfId="0" applyAlignment="1" applyBorder="1" applyFont="1">
      <alignment horizontal="center" vertical="center"/>
    </xf>
    <xf borderId="1" fillId="4" fontId="5" numFmtId="0" xfId="0" applyAlignment="1" applyBorder="1" applyFont="1">
      <alignment horizontal="center" vertical="center"/>
    </xf>
    <xf borderId="54" fillId="4" fontId="5" numFmtId="0" xfId="0" applyAlignment="1" applyBorder="1" applyFont="1">
      <alignment horizontal="center" vertical="center"/>
    </xf>
    <xf borderId="55" fillId="0" fontId="5" numFmtId="0" xfId="0" applyAlignment="1" applyBorder="1" applyFont="1">
      <alignment horizontal="center" vertical="center"/>
    </xf>
    <xf borderId="56" fillId="0" fontId="5" numFmtId="0" xfId="0" applyAlignment="1" applyBorder="1" applyFont="1">
      <alignment horizontal="center" vertical="center"/>
    </xf>
    <xf borderId="57" fillId="0" fontId="5" numFmtId="9" xfId="0" applyAlignment="1" applyBorder="1" applyFont="1" applyNumberFormat="1">
      <alignment horizontal="center" vertical="center"/>
    </xf>
    <xf borderId="58" fillId="0" fontId="5" numFmtId="9" xfId="0" applyAlignment="1" applyBorder="1" applyFont="1" applyNumberFormat="1">
      <alignment horizontal="center" vertical="center"/>
    </xf>
    <xf borderId="53" fillId="10" fontId="8" numFmtId="0" xfId="0" applyAlignment="1" applyBorder="1" applyFont="1">
      <alignment horizontal="center" vertical="center"/>
    </xf>
    <xf borderId="1" fillId="0" fontId="17" numFmtId="9" xfId="0" applyAlignment="1" applyBorder="1" applyFont="1" applyNumberFormat="1">
      <alignment horizontal="center" vertical="center"/>
    </xf>
    <xf borderId="59" fillId="0" fontId="17" numFmtId="9" xfId="0" applyAlignment="1" applyBorder="1" applyFont="1" applyNumberFormat="1">
      <alignment horizontal="center" vertical="center"/>
    </xf>
    <xf borderId="30" fillId="10" fontId="8" numFmtId="0" xfId="0" applyAlignment="1" applyBorder="1" applyFont="1">
      <alignment horizontal="center" vertical="center"/>
    </xf>
    <xf borderId="31" fillId="0" fontId="17" numFmtId="9" xfId="0" applyAlignment="1" applyBorder="1" applyFont="1" applyNumberFormat="1">
      <alignment horizontal="center" vertical="center"/>
    </xf>
    <xf borderId="60" fillId="0" fontId="17" numFmtId="9" xfId="0" applyAlignment="1" applyBorder="1" applyFont="1" applyNumberFormat="1">
      <alignment horizontal="center" vertical="center"/>
    </xf>
    <xf borderId="61" fillId="0" fontId="5" numFmtId="0" xfId="0" applyAlignment="1" applyBorder="1" applyFont="1">
      <alignment horizontal="center" vertical="center"/>
    </xf>
    <xf borderId="62" fillId="0" fontId="7" numFmtId="0" xfId="0" applyAlignment="1" applyBorder="1" applyFont="1">
      <alignment vertical="center"/>
    </xf>
    <xf borderId="63" fillId="0" fontId="7" numFmtId="0" xfId="0" applyAlignment="1" applyBorder="1" applyFont="1">
      <alignment vertical="center"/>
    </xf>
    <xf borderId="64" fillId="0" fontId="7" numFmtId="0" xfId="0" applyAlignment="1" applyBorder="1" applyFont="1">
      <alignment vertical="center"/>
    </xf>
    <xf borderId="65" fillId="0" fontId="7" numFmtId="0" xfId="0" applyAlignment="1" applyBorder="1" applyFont="1">
      <alignment vertical="center"/>
    </xf>
    <xf borderId="66" fillId="0" fontId="7" numFmtId="0" xfId="0" applyAlignment="1" applyBorder="1" applyFont="1">
      <alignment vertical="center"/>
    </xf>
    <xf borderId="67" fillId="0" fontId="7" numFmtId="0" xfId="0" applyAlignment="1" applyBorder="1" applyFont="1">
      <alignment vertical="center"/>
    </xf>
    <xf borderId="68" fillId="0" fontId="7" numFmtId="0" xfId="0" applyAlignment="1" applyBorder="1" applyFont="1">
      <alignment vertical="center"/>
    </xf>
    <xf borderId="69" fillId="0" fontId="5" numFmtId="0" xfId="0" applyAlignment="1" applyBorder="1" applyFont="1">
      <alignment horizontal="center" vertical="center"/>
    </xf>
    <xf borderId="70" fillId="0" fontId="5" numFmtId="0" xfId="0" applyAlignment="1" applyBorder="1" applyFont="1">
      <alignment vertical="center"/>
    </xf>
    <xf borderId="71" fillId="0" fontId="5" numFmtId="0" xfId="0" applyAlignment="1" applyBorder="1" applyFont="1">
      <alignment horizontal="center" vertical="center"/>
    </xf>
    <xf borderId="72" fillId="4" fontId="5" numFmtId="0" xfId="0" applyAlignment="1" applyBorder="1" applyFont="1">
      <alignment horizontal="center" vertical="center"/>
    </xf>
    <xf borderId="73" fillId="4" fontId="5" numFmtId="0" xfId="0" applyAlignment="1" applyBorder="1" applyFont="1">
      <alignment horizontal="center" vertical="center"/>
    </xf>
    <xf borderId="74" fillId="4" fontId="5" numFmtId="0" xfId="0" applyAlignment="1" applyBorder="1" applyFont="1">
      <alignment horizontal="center" vertical="center"/>
    </xf>
    <xf borderId="75" fillId="0" fontId="5" numFmtId="0" xfId="0" applyAlignment="1" applyBorder="1" applyFont="1">
      <alignment horizontal="center" vertical="center"/>
    </xf>
    <xf borderId="76" fillId="0" fontId="5" numFmtId="9" xfId="0" applyAlignment="1" applyBorder="1" applyFont="1" applyNumberFormat="1">
      <alignment horizontal="center" vertical="center"/>
    </xf>
    <xf borderId="77" fillId="0" fontId="5" numFmtId="9" xfId="0" applyAlignment="1" applyBorder="1" applyFont="1" applyNumberFormat="1">
      <alignment horizontal="center" vertical="center"/>
    </xf>
    <xf borderId="0" fillId="0" fontId="18" numFmtId="0" xfId="0" applyAlignment="1" applyFont="1">
      <alignment vertical="center"/>
    </xf>
    <xf borderId="78" fillId="11" fontId="19" numFmtId="49" xfId="0" applyAlignment="1" applyBorder="1" applyFill="1" applyFont="1" applyNumberFormat="1">
      <alignment horizontal="center" shrinkToFit="0" vertical="top" wrapText="1"/>
    </xf>
    <xf borderId="79" fillId="0" fontId="7" numFmtId="0" xfId="0" applyAlignment="1" applyBorder="1" applyFont="1">
      <alignment vertical="center"/>
    </xf>
    <xf borderId="80" fillId="0" fontId="7" numFmtId="0" xfId="0" applyAlignment="1" applyBorder="1" applyFont="1">
      <alignment vertical="center"/>
    </xf>
    <xf borderId="81" fillId="11" fontId="9" numFmtId="0" xfId="0" applyAlignment="1" applyBorder="1" applyFont="1">
      <alignment horizontal="center" vertical="center"/>
    </xf>
    <xf borderId="82" fillId="11" fontId="9" numFmtId="0" xfId="0" applyAlignment="1" applyBorder="1" applyFont="1">
      <alignment horizontal="center" vertical="center"/>
    </xf>
    <xf borderId="83" fillId="11" fontId="9" numFmtId="0" xfId="0" applyAlignment="1" applyBorder="1" applyFont="1">
      <alignment horizontal="center" vertical="center"/>
    </xf>
    <xf borderId="84" fillId="11" fontId="9" numFmtId="0" xfId="0" applyAlignment="1" applyBorder="1" applyFont="1">
      <alignment horizontal="center" vertical="center"/>
    </xf>
    <xf borderId="85" fillId="11" fontId="9" numFmtId="9" xfId="0" applyAlignment="1" applyBorder="1" applyFont="1" applyNumberFormat="1">
      <alignment horizontal="center" vertical="center"/>
    </xf>
    <xf borderId="86" fillId="11" fontId="9" numFmtId="9" xfId="0" applyAlignment="1" applyBorder="1" applyFont="1" applyNumberFormat="1">
      <alignment horizontal="center" vertical="center"/>
    </xf>
    <xf borderId="38" fillId="6" fontId="5" numFmtId="49" xfId="0" applyAlignment="1" applyBorder="1" applyFont="1" applyNumberFormat="1">
      <alignment horizontal="left" shrinkToFit="0" vertical="top" wrapText="1"/>
    </xf>
    <xf borderId="42" fillId="6" fontId="5" numFmtId="49" xfId="0" applyAlignment="1" applyBorder="1" applyFont="1" applyNumberFormat="1">
      <alignment horizontal="left" shrinkToFit="0" vertical="top" wrapText="1"/>
    </xf>
    <xf borderId="1" fillId="6" fontId="5" numFmtId="49" xfId="0" applyAlignment="1" applyBorder="1" applyFont="1" applyNumberFormat="1">
      <alignment horizontal="left" shrinkToFit="0" vertical="top" wrapText="1"/>
    </xf>
    <xf borderId="54" fillId="6" fontId="5" numFmtId="49" xfId="0" applyAlignment="1" applyBorder="1" applyFont="1" applyNumberFormat="1">
      <alignment horizontal="left" shrinkToFit="0" vertical="top" wrapText="1"/>
    </xf>
    <xf borderId="73" fillId="6" fontId="5" numFmtId="49" xfId="0" applyAlignment="1" applyBorder="1" applyFont="1" applyNumberFormat="1">
      <alignment horizontal="left" shrinkToFit="0" vertical="top" wrapText="1"/>
    </xf>
    <xf borderId="74" fillId="6" fontId="5" numFmtId="49" xfId="0" applyAlignment="1" applyBorder="1" applyFont="1" applyNumberFormat="1">
      <alignment horizontal="left" shrinkToFit="0" vertical="top" wrapText="1"/>
    </xf>
    <xf borderId="87" fillId="0" fontId="5" numFmtId="0" xfId="0" applyAlignment="1" applyBorder="1" applyFont="1">
      <alignment horizontal="center" vertical="center"/>
    </xf>
    <xf borderId="1" fillId="6" fontId="17" numFmtId="49" xfId="0" applyAlignment="1" applyBorder="1" applyFont="1" applyNumberFormat="1">
      <alignment horizontal="left" shrinkToFit="0" vertical="top" wrapText="1"/>
    </xf>
    <xf borderId="88" fillId="11" fontId="9" numFmtId="0" xfId="0" applyAlignment="1" applyBorder="1" applyFont="1">
      <alignment horizontal="center" vertical="center"/>
    </xf>
    <xf borderId="89" fillId="11" fontId="9" numFmtId="0" xfId="0" applyAlignment="1" applyBorder="1" applyFont="1">
      <alignment horizontal="center" vertical="center"/>
    </xf>
    <xf borderId="90" fillId="11" fontId="9" numFmtId="0" xfId="0" applyAlignment="1" applyBorder="1" applyFont="1">
      <alignment horizontal="center" vertical="center"/>
    </xf>
    <xf borderId="91" fillId="11" fontId="9" numFmtId="9" xfId="0" applyAlignment="1" applyBorder="1" applyFont="1" applyNumberFormat="1">
      <alignment horizontal="center" vertical="center"/>
    </xf>
    <xf borderId="2" fillId="3" fontId="5" numFmtId="49" xfId="0" applyAlignment="1" applyBorder="1" applyFont="1" applyNumberFormat="1">
      <alignment shrinkToFit="0" vertical="center" wrapText="1"/>
    </xf>
    <xf borderId="2" fillId="3" fontId="5" numFmtId="49" xfId="0" applyAlignment="1" applyBorder="1" applyFont="1" applyNumberFormat="1">
      <alignment vertical="top"/>
    </xf>
    <xf borderId="92" fillId="12" fontId="20" numFmtId="49" xfId="0" applyAlignment="1" applyBorder="1" applyFill="1" applyFont="1" applyNumberFormat="1">
      <alignment horizontal="center" vertical="center"/>
    </xf>
    <xf borderId="93" fillId="0" fontId="7" numFmtId="0" xfId="0" applyAlignment="1" applyBorder="1" applyFont="1">
      <alignment vertical="center"/>
    </xf>
    <xf borderId="94" fillId="0" fontId="7" numFmtId="0" xfId="0" applyAlignment="1" applyBorder="1" applyFont="1">
      <alignment vertical="center"/>
    </xf>
    <xf borderId="95" fillId="3" fontId="5" numFmtId="49" xfId="0" applyAlignment="1" applyBorder="1" applyFont="1" applyNumberFormat="1">
      <alignment horizontal="center" vertical="center"/>
    </xf>
    <xf borderId="96" fillId="3" fontId="5" numFmtId="49" xfId="0" applyAlignment="1" applyBorder="1" applyFont="1" applyNumberFormat="1">
      <alignment horizontal="left" vertical="top"/>
    </xf>
    <xf borderId="97" fillId="13" fontId="21" numFmtId="49" xfId="0" applyAlignment="1" applyBorder="1" applyFill="1" applyFont="1" applyNumberFormat="1">
      <alignment horizontal="center" shrinkToFit="0" vertical="center" wrapText="1"/>
    </xf>
    <xf borderId="98" fillId="13" fontId="21" numFmtId="49" xfId="0" applyAlignment="1" applyBorder="1" applyFont="1" applyNumberFormat="1">
      <alignment horizontal="center" shrinkToFit="0" vertical="center" wrapText="1"/>
    </xf>
    <xf borderId="98" fillId="13" fontId="21" numFmtId="49" xfId="0" applyAlignment="1" applyBorder="1" applyFont="1" applyNumberFormat="1">
      <alignment horizontal="center" vertical="center"/>
    </xf>
    <xf borderId="99" fillId="13" fontId="21" numFmtId="49" xfId="0" applyAlignment="1" applyBorder="1" applyFont="1" applyNumberFormat="1">
      <alignment horizontal="center" vertical="center"/>
    </xf>
    <xf borderId="41" fillId="6" fontId="5" numFmtId="49" xfId="0" applyAlignment="1" applyBorder="1" applyFont="1" applyNumberFormat="1">
      <alignment horizontal="center" shrinkToFit="0" vertical="top" wrapText="1"/>
    </xf>
    <xf borderId="38" fillId="6" fontId="5" numFmtId="49" xfId="0" applyAlignment="1" applyBorder="1" applyFont="1" applyNumberFormat="1">
      <alignment horizontal="center" vertical="center"/>
    </xf>
    <xf borderId="38" fillId="6" fontId="5" numFmtId="0" xfId="0" applyAlignment="1" applyBorder="1" applyFont="1">
      <alignment shrinkToFit="0" vertical="top" wrapText="1"/>
    </xf>
    <xf quotePrefix="1" borderId="38" fillId="6" fontId="5" numFmtId="49" xfId="0" applyAlignment="1" applyBorder="1" applyFont="1" applyNumberFormat="1">
      <alignment horizontal="left" shrinkToFit="0" vertical="top" wrapText="1"/>
    </xf>
    <xf borderId="100" fillId="6" fontId="5" numFmtId="49" xfId="0" applyAlignment="1" applyBorder="1" applyFont="1" applyNumberFormat="1">
      <alignment horizontal="left" shrinkToFit="0" vertical="top" wrapText="1"/>
    </xf>
    <xf borderId="53" fillId="6" fontId="5" numFmtId="49" xfId="0" applyAlignment="1" applyBorder="1" applyFont="1" applyNumberFormat="1">
      <alignment horizontal="center" shrinkToFit="0" vertical="top" wrapText="1"/>
    </xf>
    <xf borderId="1" fillId="6" fontId="5" numFmtId="49" xfId="0" applyAlignment="1" applyBorder="1" applyFont="1" applyNumberFormat="1">
      <alignment horizontal="center" vertical="center"/>
    </xf>
    <xf borderId="1" fillId="6" fontId="5" numFmtId="0" xfId="0" applyAlignment="1" applyBorder="1" applyFont="1">
      <alignment shrinkToFit="0" vertical="top" wrapText="1"/>
    </xf>
    <xf borderId="59" fillId="6" fontId="5" numFmtId="49" xfId="0" applyAlignment="1" applyBorder="1" applyFont="1" applyNumberFormat="1">
      <alignment horizontal="left" shrinkToFit="0" vertical="top" wrapText="1"/>
    </xf>
    <xf quotePrefix="1" borderId="1" fillId="6" fontId="5" numFmtId="49" xfId="0" applyAlignment="1" applyBorder="1" applyFont="1" applyNumberFormat="1">
      <alignment horizontal="left" shrinkToFit="0" vertical="top" wrapText="1"/>
    </xf>
    <xf borderId="1" fillId="6" fontId="5" numFmtId="0" xfId="0" applyAlignment="1" applyBorder="1" applyFont="1">
      <alignment horizontal="left" shrinkToFit="0" vertical="top" wrapText="1"/>
    </xf>
    <xf borderId="1" fillId="6" fontId="5" numFmtId="49" xfId="0" applyAlignment="1" applyBorder="1" applyFont="1" applyNumberFormat="1">
      <alignment horizontal="center" shrinkToFit="0" vertical="center" wrapText="1"/>
    </xf>
    <xf borderId="1" fillId="6" fontId="5" numFmtId="165" xfId="0" applyAlignment="1" applyBorder="1" applyFont="1" applyNumberFormat="1">
      <alignment horizontal="left" shrinkToFit="0" vertical="top" wrapText="1"/>
    </xf>
    <xf borderId="30" fillId="6" fontId="5" numFmtId="49" xfId="0" applyAlignment="1" applyBorder="1" applyFont="1" applyNumberFormat="1">
      <alignment horizontal="center" shrinkToFit="0" vertical="top" wrapText="1"/>
    </xf>
    <xf borderId="31" fillId="6" fontId="5" numFmtId="49" xfId="0" applyAlignment="1" applyBorder="1" applyFont="1" applyNumberFormat="1">
      <alignment horizontal="left" shrinkToFit="0" vertical="top" wrapText="1"/>
    </xf>
    <xf borderId="31" fillId="6" fontId="5" numFmtId="49" xfId="0" applyAlignment="1" applyBorder="1" applyFont="1" applyNumberFormat="1">
      <alignment horizontal="center" vertical="center"/>
    </xf>
    <xf quotePrefix="1" borderId="31" fillId="6" fontId="5" numFmtId="49" xfId="0" applyAlignment="1" applyBorder="1" applyFont="1" applyNumberFormat="1">
      <alignment horizontal="left" shrinkToFit="0" vertical="top" wrapText="1"/>
    </xf>
    <xf borderId="60" fillId="6" fontId="5" numFmtId="49" xfId="0" applyAlignment="1" applyBorder="1" applyFont="1" applyNumberFormat="1">
      <alignment horizontal="left" shrinkToFit="0" vertical="top" wrapText="1"/>
    </xf>
    <xf borderId="41" fillId="6" fontId="5" numFmtId="49" xfId="0" applyAlignment="1" applyBorder="1" applyFont="1" applyNumberFormat="1">
      <alignment horizontal="left" shrinkToFit="0" vertical="top" wrapText="1"/>
    </xf>
    <xf borderId="53" fillId="6" fontId="5" numFmtId="49" xfId="0" applyAlignment="1" applyBorder="1" applyFont="1" applyNumberFormat="1">
      <alignment horizontal="left" shrinkToFit="0" vertical="top" wrapText="1"/>
    </xf>
    <xf borderId="30" fillId="6" fontId="5" numFmtId="49" xfId="0" applyAlignment="1" applyBorder="1" applyFont="1" applyNumberFormat="1">
      <alignment horizontal="left" shrinkToFit="0" vertical="top" wrapText="1"/>
    </xf>
    <xf borderId="31" fillId="6" fontId="5" numFmtId="0" xfId="0" applyAlignment="1" applyBorder="1" applyFont="1">
      <alignment horizontal="left" shrinkToFit="0" vertical="top" wrapText="1"/>
    </xf>
    <xf borderId="2" fillId="3" fontId="17" numFmtId="49" xfId="0" applyAlignment="1" applyBorder="1" applyFont="1" applyNumberFormat="1">
      <alignment vertical="center"/>
    </xf>
    <xf borderId="2" fillId="3" fontId="17" numFmtId="49" xfId="0" applyAlignment="1" applyBorder="1" applyFont="1" applyNumberFormat="1">
      <alignment horizontal="center" vertical="center"/>
    </xf>
    <xf borderId="2" fillId="3" fontId="17" numFmtId="49" xfId="0" applyAlignment="1" applyBorder="1" applyFont="1" applyNumberFormat="1">
      <alignment horizontal="left" vertical="center"/>
    </xf>
    <xf borderId="2" fillId="3" fontId="17" numFmtId="49" xfId="0" applyAlignment="1" applyBorder="1" applyFont="1" applyNumberFormat="1">
      <alignment horizontal="left" vertical="top"/>
    </xf>
    <xf borderId="2" fillId="3" fontId="17" numFmtId="49" xfId="0" applyAlignment="1" applyBorder="1" applyFont="1" applyNumberFormat="1">
      <alignment shrinkToFit="0" vertical="center" wrapText="1"/>
    </xf>
    <xf borderId="2" fillId="3" fontId="17" numFmtId="49" xfId="0" applyAlignment="1" applyBorder="1" applyFont="1" applyNumberFormat="1">
      <alignment vertical="top"/>
    </xf>
    <xf borderId="3" fillId="12" fontId="22" numFmtId="49" xfId="0" applyAlignment="1" applyBorder="1" applyFont="1" applyNumberFormat="1">
      <alignment horizontal="center" vertical="center"/>
    </xf>
    <xf borderId="2" fillId="12" fontId="23" numFmtId="49" xfId="0" applyAlignment="1" applyBorder="1" applyFont="1" applyNumberFormat="1">
      <alignment horizontal="center" vertical="center"/>
    </xf>
    <xf borderId="1" fillId="13" fontId="24" numFmtId="49" xfId="0" applyAlignment="1" applyBorder="1" applyFont="1" applyNumberFormat="1">
      <alignment horizontal="center" shrinkToFit="0" vertical="center" wrapText="1"/>
    </xf>
    <xf borderId="1" fillId="13" fontId="24" numFmtId="49" xfId="0" applyAlignment="1" applyBorder="1" applyFont="1" applyNumberFormat="1">
      <alignment horizontal="center" vertical="center"/>
    </xf>
    <xf borderId="1" fillId="14" fontId="8" numFmtId="49" xfId="0" applyAlignment="1" applyBorder="1" applyFill="1" applyFont="1" applyNumberFormat="1">
      <alignment horizontal="center" shrinkToFit="0" vertical="center" wrapText="1"/>
    </xf>
    <xf borderId="1" fillId="15" fontId="8" numFmtId="49" xfId="0" applyAlignment="1" applyBorder="1" applyFill="1" applyFont="1" applyNumberFormat="1">
      <alignment horizontal="center" shrinkToFit="0" vertical="center" wrapText="1"/>
    </xf>
    <xf borderId="1" fillId="15" fontId="8" numFmtId="49" xfId="0" applyAlignment="1" applyBorder="1" applyFont="1" applyNumberFormat="1">
      <alignment horizontal="center" vertical="center"/>
    </xf>
    <xf borderId="1" fillId="11" fontId="8" numFmtId="49" xfId="0" applyAlignment="1" applyBorder="1" applyFont="1" applyNumberFormat="1">
      <alignment horizontal="center" vertical="center"/>
    </xf>
    <xf borderId="1" fillId="11" fontId="8" numFmtId="49" xfId="0" applyAlignment="1" applyBorder="1" applyFont="1" applyNumberFormat="1">
      <alignment horizontal="center" shrinkToFit="0" vertical="center" wrapText="1"/>
    </xf>
    <xf borderId="1" fillId="0" fontId="17" numFmtId="49" xfId="0" applyAlignment="1" applyBorder="1" applyFont="1" applyNumberFormat="1">
      <alignment horizontal="left" shrinkToFit="0" vertical="top" wrapText="1"/>
    </xf>
    <xf borderId="69" fillId="0" fontId="17" numFmtId="0" xfId="0" applyAlignment="1" applyBorder="1" applyFont="1">
      <alignment horizontal="center" shrinkToFit="0" vertical="center" wrapText="1"/>
    </xf>
    <xf borderId="69" fillId="0" fontId="17" numFmtId="0" xfId="0" applyAlignment="1" applyBorder="1" applyFont="1">
      <alignment horizontal="left" shrinkToFit="0" vertical="center" wrapText="1"/>
    </xf>
    <xf borderId="1" fillId="3" fontId="17" numFmtId="49" xfId="0" applyAlignment="1" applyBorder="1" applyFont="1" applyNumberFormat="1">
      <alignment horizontal="center" vertical="center"/>
    </xf>
    <xf borderId="1" fillId="6" fontId="25" numFmtId="49" xfId="0" applyAlignment="1" applyBorder="1" applyFont="1" applyNumberFormat="1">
      <alignment horizontal="center" vertical="center"/>
    </xf>
    <xf borderId="1" fillId="16" fontId="5" numFmtId="0" xfId="0" applyAlignment="1" applyBorder="1" applyFill="1" applyFont="1">
      <alignment shrinkToFit="0" vertical="top" wrapText="1"/>
    </xf>
    <xf borderId="1" fillId="6" fontId="25" numFmtId="0" xfId="0" applyAlignment="1" applyBorder="1" applyFont="1">
      <alignment shrinkToFit="0" vertical="top" wrapText="1"/>
    </xf>
    <xf quotePrefix="1" borderId="1" fillId="17" fontId="17" numFmtId="49" xfId="0" applyAlignment="1" applyBorder="1" applyFill="1" applyFont="1" applyNumberFormat="1">
      <alignment horizontal="left" shrinkToFit="0" vertical="top" wrapText="1"/>
    </xf>
    <xf borderId="1" fillId="17" fontId="5" numFmtId="49" xfId="0" applyAlignment="1" applyBorder="1" applyFont="1" applyNumberFormat="1">
      <alignment horizontal="left" shrinkToFit="0" vertical="top" wrapText="1"/>
    </xf>
    <xf borderId="1" fillId="6" fontId="26" numFmtId="49" xfId="0" applyAlignment="1" applyBorder="1" applyFont="1" applyNumberFormat="1">
      <alignment horizontal="left" shrinkToFit="0" vertical="top" wrapText="1"/>
    </xf>
    <xf borderId="1" fillId="4" fontId="26" numFmtId="49" xfId="0" applyAlignment="1" applyBorder="1" applyFont="1" applyNumberFormat="1">
      <alignment horizontal="left" shrinkToFit="0" vertical="top" wrapText="1"/>
    </xf>
    <xf borderId="1" fillId="11" fontId="17" numFmtId="49" xfId="0" applyAlignment="1" applyBorder="1" applyFont="1" applyNumberFormat="1">
      <alignment horizontal="left" shrinkToFit="0" vertical="top" wrapText="1"/>
    </xf>
    <xf borderId="101" fillId="0" fontId="17" numFmtId="0" xfId="0" applyAlignment="1" applyBorder="1" applyFont="1">
      <alignment horizontal="center" shrinkToFit="0" vertical="center" wrapText="1"/>
    </xf>
    <xf borderId="101" fillId="0" fontId="17" numFmtId="0" xfId="0" applyAlignment="1" applyBorder="1" applyFont="1">
      <alignment horizontal="left" shrinkToFit="0" vertical="center" wrapText="1"/>
    </xf>
    <xf borderId="1" fillId="6" fontId="17" numFmtId="49" xfId="0" applyAlignment="1" applyBorder="1" applyFont="1" applyNumberFormat="1">
      <alignment horizontal="center" vertical="center"/>
    </xf>
    <xf borderId="1" fillId="11" fontId="5" numFmtId="49" xfId="0" applyAlignment="1" applyBorder="1" applyFont="1" applyNumberFormat="1">
      <alignment horizontal="left" shrinkToFit="0" vertical="top" wrapText="1"/>
    </xf>
    <xf borderId="1" fillId="11" fontId="26" numFmtId="49" xfId="0" applyAlignment="1" applyBorder="1" applyFont="1" applyNumberFormat="1">
      <alignment horizontal="left" shrinkToFit="0" vertical="top" wrapText="1"/>
    </xf>
    <xf borderId="48" fillId="0" fontId="17" numFmtId="0" xfId="0" applyAlignment="1" applyBorder="1" applyFont="1">
      <alignment horizontal="center" shrinkToFit="0" vertical="center" wrapText="1"/>
    </xf>
    <xf borderId="48" fillId="0" fontId="17" numFmtId="0" xfId="0" applyAlignment="1" applyBorder="1" applyFont="1">
      <alignment horizontal="left" shrinkToFit="0" vertical="center" wrapText="1"/>
    </xf>
    <xf borderId="1" fillId="16" fontId="17" numFmtId="0" xfId="0" applyAlignment="1" applyBorder="1" applyFont="1">
      <alignment shrinkToFit="0" vertical="top" wrapText="1"/>
    </xf>
    <xf borderId="1" fillId="3" fontId="17" numFmtId="0" xfId="0" applyAlignment="1" applyBorder="1" applyFont="1">
      <alignment shrinkToFit="0" vertical="top" wrapText="1"/>
    </xf>
    <xf borderId="1" fillId="18" fontId="17" numFmtId="49" xfId="0" applyAlignment="1" applyBorder="1" applyFill="1" applyFont="1" applyNumberFormat="1">
      <alignment horizontal="center" vertical="center"/>
    </xf>
    <xf borderId="1" fillId="19" fontId="5" numFmtId="0" xfId="0" applyAlignment="1" applyBorder="1" applyFill="1" applyFont="1">
      <alignment shrinkToFit="0" vertical="top" wrapText="1"/>
    </xf>
    <xf borderId="1" fillId="0" fontId="17" numFmtId="0" xfId="0" applyAlignment="1" applyBorder="1" applyFont="1">
      <alignment shrinkToFit="0" vertical="top" wrapText="1"/>
    </xf>
    <xf borderId="1" fillId="11" fontId="27" numFmtId="49" xfId="0" applyAlignment="1" applyBorder="1" applyFont="1" applyNumberFormat="1">
      <alignment horizontal="left" shrinkToFit="0" vertical="top" wrapText="1"/>
    </xf>
    <xf quotePrefix="1" borderId="1" fillId="6" fontId="17" numFmtId="49" xfId="0" applyAlignment="1" applyBorder="1" applyFont="1" applyNumberFormat="1">
      <alignment horizontal="left" shrinkToFit="0" vertical="top" wrapText="1"/>
    </xf>
    <xf borderId="1" fillId="16" fontId="17" numFmtId="49" xfId="0" applyAlignment="1" applyBorder="1" applyFont="1" applyNumberFormat="1">
      <alignment horizontal="left" shrinkToFit="0" vertical="top" wrapText="1"/>
    </xf>
    <xf borderId="1" fillId="16" fontId="5" numFmtId="49" xfId="0" applyAlignment="1" applyBorder="1" applyFont="1" applyNumberFormat="1">
      <alignment horizontal="left" shrinkToFit="0" vertical="top" wrapText="1"/>
    </xf>
    <xf borderId="1" fillId="0" fontId="5" numFmtId="49" xfId="0" applyAlignment="1" applyBorder="1" applyFont="1" applyNumberFormat="1">
      <alignment horizontal="left" shrinkToFit="0" vertical="top" wrapText="1"/>
    </xf>
    <xf borderId="1" fillId="17" fontId="17" numFmtId="49" xfId="0" applyAlignment="1" applyBorder="1" applyFont="1" applyNumberFormat="1">
      <alignment horizontal="left" shrinkToFit="0" vertical="top" wrapText="1"/>
    </xf>
    <xf borderId="1" fillId="6" fontId="25" numFmtId="49" xfId="0" applyAlignment="1" applyBorder="1" applyFont="1" applyNumberFormat="1">
      <alignment horizontal="left" shrinkToFit="0" vertical="top" wrapText="1"/>
    </xf>
    <xf borderId="1" fillId="0" fontId="17" numFmtId="0" xfId="0" applyAlignment="1" applyBorder="1" applyFont="1">
      <alignment horizontal="center" shrinkToFit="0" vertical="center" wrapText="1"/>
    </xf>
    <xf borderId="1" fillId="0" fontId="17" numFmtId="0" xfId="0" applyAlignment="1" applyBorder="1" applyFont="1">
      <alignment horizontal="left" shrinkToFit="0" vertical="center" wrapText="1"/>
    </xf>
    <xf borderId="1" fillId="0" fontId="17" numFmtId="49" xfId="0" applyAlignment="1" applyBorder="1" applyFont="1" applyNumberFormat="1">
      <alignment horizontal="center" shrinkToFit="0" vertical="center" wrapText="1"/>
    </xf>
    <xf borderId="1" fillId="0" fontId="17" numFmtId="0" xfId="0" applyAlignment="1" applyBorder="1" applyFont="1">
      <alignment shrinkToFit="0" vertical="center" wrapText="1"/>
    </xf>
    <xf borderId="1" fillId="14" fontId="17" numFmtId="49" xfId="0" applyAlignment="1" applyBorder="1" applyFont="1" applyNumberFormat="1">
      <alignment horizontal="center" vertical="center"/>
    </xf>
    <xf borderId="1" fillId="19" fontId="28" numFmtId="49" xfId="0" applyAlignment="1" applyBorder="1" applyFont="1" applyNumberFormat="1">
      <alignment horizontal="left" shrinkToFit="0" vertical="top" wrapText="1"/>
    </xf>
    <xf quotePrefix="1" borderId="1" fillId="17" fontId="5" numFmtId="49" xfId="0" applyAlignment="1" applyBorder="1" applyFont="1" applyNumberFormat="1">
      <alignment horizontal="left" shrinkToFit="0" vertical="top" wrapText="1"/>
    </xf>
    <xf borderId="1" fillId="16" fontId="5" numFmtId="0" xfId="0" applyAlignment="1" applyBorder="1" applyFont="1">
      <alignment horizontal="left" shrinkToFit="0" vertical="top" wrapText="1"/>
    </xf>
    <xf borderId="1" fillId="0" fontId="17" numFmtId="49" xfId="0" applyAlignment="1" applyBorder="1" applyFont="1" applyNumberFormat="1">
      <alignment horizontal="left" shrinkToFit="0" vertical="center" wrapText="1"/>
    </xf>
    <xf borderId="1" fillId="6" fontId="17" numFmtId="49" xfId="0" applyAlignment="1" applyBorder="1" applyFont="1" applyNumberFormat="1">
      <alignment horizontal="left" shrinkToFit="0" vertical="center" wrapText="1"/>
    </xf>
    <xf borderId="1" fillId="16" fontId="25" numFmtId="49" xfId="0" applyAlignment="1" applyBorder="1" applyFont="1" applyNumberFormat="1">
      <alignment horizontal="left" shrinkToFit="0" vertical="top" wrapText="1"/>
    </xf>
    <xf borderId="1" fillId="6" fontId="28" numFmtId="49" xfId="0" applyAlignment="1" applyBorder="1" applyFont="1" applyNumberFormat="1">
      <alignment horizontal="left" shrinkToFit="0" vertical="top" wrapText="1"/>
    </xf>
    <xf borderId="1" fillId="6" fontId="17" numFmtId="49" xfId="0" applyAlignment="1" applyBorder="1" applyFont="1" applyNumberFormat="1">
      <alignment horizontal="center" shrinkToFit="0" vertical="center" wrapText="1"/>
    </xf>
    <xf borderId="1" fillId="20" fontId="5" numFmtId="49" xfId="0" applyAlignment="1" applyBorder="1" applyFill="1" applyFont="1" applyNumberFormat="1">
      <alignment horizontal="left" shrinkToFit="0" vertical="top" wrapText="1"/>
    </xf>
    <xf borderId="1" fillId="11" fontId="17" numFmtId="0" xfId="0" applyAlignment="1" applyBorder="1" applyFont="1">
      <alignment horizontal="left" shrinkToFit="0" vertical="top" wrapText="1"/>
    </xf>
    <xf borderId="1" fillId="19" fontId="5" numFmtId="49" xfId="0" applyAlignment="1" applyBorder="1" applyFont="1" applyNumberFormat="1">
      <alignment horizontal="left" shrinkToFit="0" vertical="top" wrapText="1"/>
    </xf>
    <xf borderId="1" fillId="14" fontId="25" numFmtId="49" xfId="0" applyAlignment="1" applyBorder="1" applyFont="1" applyNumberFormat="1">
      <alignment horizontal="center" vertical="center"/>
    </xf>
    <xf borderId="1" fillId="21" fontId="26" numFmtId="49" xfId="0" applyAlignment="1" applyBorder="1" applyFill="1" applyFont="1" applyNumberFormat="1">
      <alignment horizontal="left" shrinkToFit="0" vertical="top" wrapText="1"/>
    </xf>
    <xf borderId="1" fillId="11" fontId="28" numFmtId="49" xfId="0" applyAlignment="1" applyBorder="1" applyFont="1" applyNumberFormat="1">
      <alignment horizontal="left" shrinkToFit="0" vertical="top" wrapText="1"/>
    </xf>
    <xf borderId="1" fillId="19" fontId="29" numFmtId="49" xfId="0" applyAlignment="1" applyBorder="1" applyFont="1" applyNumberFormat="1">
      <alignment horizontal="left" shrinkToFit="0" vertical="top" wrapText="1"/>
    </xf>
    <xf borderId="1" fillId="19" fontId="25" numFmtId="49" xfId="0" applyAlignment="1" applyBorder="1" applyFont="1" applyNumberFormat="1">
      <alignment horizontal="left" shrinkToFit="0" vertical="top" wrapText="1"/>
    </xf>
    <xf borderId="1" fillId="17" fontId="26" numFmtId="49" xfId="0" applyAlignment="1" applyBorder="1" applyFont="1" applyNumberFormat="1">
      <alignment horizontal="left" shrinkToFit="0" vertical="top" wrapText="1"/>
    </xf>
    <xf borderId="1" fillId="6" fontId="17" numFmtId="0" xfId="0" applyAlignment="1" applyBorder="1" applyFont="1">
      <alignment horizontal="center" shrinkToFit="0" vertical="center" wrapText="1"/>
    </xf>
    <xf borderId="1" fillId="6" fontId="17" numFmtId="0" xfId="0" applyAlignment="1" applyBorder="1" applyFont="1">
      <alignment shrinkToFit="0" vertical="center" wrapText="1"/>
    </xf>
    <xf borderId="1" fillId="6" fontId="30" numFmtId="49" xfId="0" applyAlignment="1" applyBorder="1" applyFont="1" applyNumberFormat="1">
      <alignment horizontal="left" shrinkToFit="0" vertical="top" wrapText="1"/>
    </xf>
    <xf quotePrefix="1" borderId="1" fillId="11" fontId="26" numFmtId="49" xfId="0" applyAlignment="1" applyBorder="1" applyFont="1" applyNumberFormat="1">
      <alignment horizontal="left" shrinkToFit="0" vertical="top" wrapText="1"/>
    </xf>
    <xf quotePrefix="1" borderId="1" fillId="11" fontId="5" numFmtId="49" xfId="0" applyAlignment="1" applyBorder="1" applyFont="1" applyNumberFormat="1">
      <alignment horizontal="left" shrinkToFit="0" vertical="top" wrapText="1"/>
    </xf>
    <xf borderId="73" fillId="6" fontId="17" numFmtId="49" xfId="0" applyAlignment="1" applyBorder="1" applyFont="1" applyNumberFormat="1">
      <alignment horizontal="left" shrinkToFit="0" vertical="center" wrapText="1"/>
    </xf>
    <xf borderId="1" fillId="20" fontId="26" numFmtId="49" xfId="0" applyAlignment="1" applyBorder="1" applyFont="1" applyNumberFormat="1">
      <alignment horizontal="left" shrinkToFit="0" vertical="top" wrapText="1"/>
    </xf>
    <xf borderId="102" fillId="6" fontId="17" numFmtId="49" xfId="0" applyAlignment="1" applyBorder="1" applyFont="1" applyNumberFormat="1">
      <alignment horizontal="left" shrinkToFit="0" vertical="center" wrapText="1"/>
    </xf>
    <xf borderId="103" fillId="6" fontId="17" numFmtId="49" xfId="0" applyAlignment="1" applyBorder="1" applyFont="1" applyNumberFormat="1">
      <alignment horizontal="left" shrinkToFit="0" vertical="center" wrapText="1"/>
    </xf>
    <xf borderId="1" fillId="0" fontId="17" numFmtId="165" xfId="0" applyAlignment="1" applyBorder="1" applyFont="1" applyNumberFormat="1">
      <alignment horizontal="left" shrinkToFit="0" vertical="top" wrapText="1"/>
    </xf>
    <xf borderId="1" fillId="19" fontId="25"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22" fontId="26" numFmtId="49" xfId="0" applyAlignment="1" applyBorder="1" applyFill="1" applyFont="1" applyNumberFormat="1">
      <alignment horizontal="left" shrinkToFit="0" vertical="top" wrapText="1"/>
    </xf>
    <xf quotePrefix="1" borderId="1" fillId="22" fontId="26" numFmtId="49" xfId="0" applyAlignment="1" applyBorder="1" applyFont="1" applyNumberFormat="1">
      <alignment horizontal="left" shrinkToFit="0" vertical="top" wrapText="1"/>
    </xf>
    <xf borderId="1" fillId="0" fontId="25" numFmtId="49" xfId="0" applyAlignment="1" applyBorder="1" applyFont="1" applyNumberFormat="1">
      <alignment horizontal="left" shrinkToFit="0" vertical="top" wrapText="1"/>
    </xf>
    <xf borderId="1" fillId="3" fontId="17" numFmtId="49" xfId="0" applyAlignment="1" applyBorder="1" applyFont="1" applyNumberFormat="1">
      <alignment horizontal="left" shrinkToFit="0" vertical="top" wrapText="1"/>
    </xf>
    <xf borderId="1" fillId="6" fontId="5" numFmtId="49" xfId="0" applyAlignment="1" applyBorder="1" applyFont="1" applyNumberFormat="1">
      <alignment horizontal="left" shrinkToFit="0" vertical="center" wrapText="1"/>
    </xf>
    <xf borderId="1" fillId="4" fontId="5" numFmtId="49" xfId="0" applyAlignment="1" applyBorder="1" applyFont="1" applyNumberFormat="1">
      <alignment horizontal="left" shrinkToFit="0" vertical="top" wrapText="1"/>
    </xf>
    <xf borderId="1" fillId="6" fontId="25" numFmtId="49" xfId="0" applyAlignment="1" applyBorder="1" applyFont="1" applyNumberFormat="1">
      <alignment horizontal="center" shrinkToFit="0" vertical="center" wrapText="1"/>
    </xf>
    <xf borderId="1" fillId="20" fontId="17" numFmtId="49" xfId="0" applyAlignment="1" applyBorder="1" applyFont="1" applyNumberFormat="1">
      <alignment horizontal="left" shrinkToFit="0" vertical="top" wrapText="1"/>
    </xf>
    <xf borderId="1" fillId="6" fontId="26" numFmtId="49" xfId="0" applyAlignment="1" applyBorder="1" applyFont="1" applyNumberFormat="1">
      <alignment horizontal="center" vertical="center"/>
    </xf>
    <xf borderId="1" fillId="11" fontId="5" numFmtId="0" xfId="0" applyAlignment="1" applyBorder="1" applyFont="1">
      <alignment horizontal="left" shrinkToFit="0" vertical="top" wrapText="1"/>
    </xf>
    <xf borderId="1" fillId="11" fontId="30" numFmtId="49" xfId="0" applyAlignment="1" applyBorder="1" applyFont="1" applyNumberFormat="1">
      <alignment horizontal="left" shrinkToFit="0" vertical="top" wrapText="1"/>
    </xf>
    <xf borderId="73" fillId="3" fontId="17" numFmtId="49" xfId="0" applyAlignment="1" applyBorder="1" applyFont="1" applyNumberFormat="1">
      <alignment horizontal="left" shrinkToFit="0" vertical="center" wrapText="1"/>
    </xf>
    <xf borderId="1" fillId="3" fontId="17" numFmtId="49" xfId="0" applyAlignment="1" applyBorder="1" applyFont="1" applyNumberFormat="1">
      <alignment horizontal="left" shrinkToFit="0" vertical="center" wrapText="1"/>
    </xf>
    <xf borderId="102" fillId="3" fontId="17" numFmtId="49" xfId="0" applyAlignment="1" applyBorder="1" applyFont="1" applyNumberFormat="1">
      <alignment horizontal="left" shrinkToFit="0" vertical="center" wrapText="1"/>
    </xf>
    <xf borderId="103" fillId="3" fontId="17" numFmtId="49" xfId="0" applyAlignment="1" applyBorder="1" applyFont="1" applyNumberFormat="1">
      <alignment horizontal="left" shrinkToFit="0" vertical="center" wrapText="1"/>
    </xf>
    <xf borderId="1" fillId="11" fontId="5" numFmtId="49" xfId="0" applyAlignment="1" applyBorder="1" applyFont="1" applyNumberFormat="1">
      <alignment horizontal="center" shrinkToFit="0" vertical="top" wrapText="1"/>
    </xf>
    <xf borderId="1" fillId="6" fontId="5" numFmtId="0" xfId="0" applyAlignment="1" applyBorder="1" applyFont="1">
      <alignment horizontal="center" shrinkToFit="0" vertical="center" wrapText="1"/>
    </xf>
    <xf borderId="1" fillId="6" fontId="5" numFmtId="0" xfId="0" applyAlignment="1" applyBorder="1" applyFont="1">
      <alignment shrinkToFit="0" vertical="center" wrapText="1"/>
    </xf>
    <xf borderId="73" fillId="6" fontId="5" numFmtId="0" xfId="0" applyAlignment="1" applyBorder="1" applyFont="1">
      <alignment horizontal="center" shrinkToFit="0" vertical="center" wrapText="1"/>
    </xf>
    <xf borderId="73" fillId="6" fontId="5" numFmtId="0" xfId="0" applyAlignment="1" applyBorder="1" applyFont="1">
      <alignment horizontal="left" shrinkToFit="0" vertical="center" wrapText="1"/>
    </xf>
    <xf borderId="103" fillId="6" fontId="5" numFmtId="0" xfId="0" applyAlignment="1" applyBorder="1" applyFont="1">
      <alignment horizontal="center" shrinkToFit="0" vertical="center" wrapText="1"/>
    </xf>
    <xf borderId="103" fillId="6" fontId="5" numFmtId="0" xfId="0" applyAlignment="1" applyBorder="1" applyFont="1">
      <alignment horizontal="left" shrinkToFit="0" vertical="center" wrapText="1"/>
    </xf>
    <xf borderId="0" fillId="0" fontId="17" numFmtId="49" xfId="0" applyAlignment="1" applyFont="1" applyNumberFormat="1">
      <alignment horizontal="left" shrinkToFit="0" vertical="top" wrapText="1"/>
    </xf>
    <xf borderId="1" fillId="6" fontId="5" numFmtId="0" xfId="0" applyAlignment="1" applyBorder="1" applyFont="1">
      <alignment horizontal="left" shrinkToFit="0" vertical="center" wrapText="1"/>
    </xf>
    <xf quotePrefix="1" borderId="1" fillId="11" fontId="17" numFmtId="49" xfId="0" applyAlignment="1" applyBorder="1" applyFont="1" applyNumberFormat="1">
      <alignment horizontal="left" shrinkToFit="0" vertical="top" wrapText="1"/>
    </xf>
    <xf borderId="1" fillId="15" fontId="17" numFmtId="49" xfId="0" applyAlignment="1" applyBorder="1" applyFont="1" applyNumberFormat="1">
      <alignment horizontal="center" vertical="center"/>
    </xf>
    <xf borderId="73" fillId="6" fontId="5" numFmtId="49" xfId="0" applyAlignment="1" applyBorder="1" applyFont="1" applyNumberFormat="1">
      <alignment horizontal="left" shrinkToFit="0" vertical="center" wrapText="1"/>
    </xf>
    <xf borderId="102" fillId="6" fontId="5" numFmtId="49" xfId="0" applyAlignment="1" applyBorder="1" applyFont="1" applyNumberFormat="1">
      <alignment horizontal="left" shrinkToFit="0" vertical="center" wrapText="1"/>
    </xf>
    <xf borderId="103" fillId="6" fontId="5" numFmtId="49" xfId="0" applyAlignment="1" applyBorder="1" applyFont="1" applyNumberFormat="1">
      <alignment horizontal="left" shrinkToFit="0" vertical="center" wrapText="1"/>
    </xf>
    <xf borderId="1" fillId="6" fontId="26" numFmtId="49" xfId="0" applyAlignment="1" applyBorder="1" applyFont="1" applyNumberFormat="1">
      <alignment horizontal="center" shrinkToFit="0" vertical="center" wrapText="1"/>
    </xf>
    <xf borderId="102" fillId="6" fontId="5" numFmtId="0" xfId="0" applyAlignment="1" applyBorder="1" applyFont="1">
      <alignment horizontal="center" shrinkToFit="0" vertical="center" wrapText="1"/>
    </xf>
    <xf borderId="1" fillId="17" fontId="28" numFmtId="49" xfId="0" applyAlignment="1" applyBorder="1" applyFont="1" applyNumberFormat="1">
      <alignment horizontal="left" shrinkToFit="0" vertical="top" wrapText="1"/>
    </xf>
    <xf borderId="1" fillId="4" fontId="17" numFmtId="49" xfId="0" applyAlignment="1" applyBorder="1" applyFont="1" applyNumberFormat="1">
      <alignment horizontal="left" shrinkToFit="0" vertical="top" wrapText="1"/>
    </xf>
    <xf borderId="1" fillId="4" fontId="17" numFmtId="49" xfId="0" applyAlignment="1" applyBorder="1" applyFont="1" applyNumberFormat="1">
      <alignment horizontal="center" vertical="center"/>
    </xf>
    <xf borderId="1" fillId="3" fontId="25" numFmtId="49" xfId="0" applyAlignment="1" applyBorder="1" applyFont="1" applyNumberFormat="1">
      <alignment horizontal="center" vertical="center"/>
    </xf>
  </cellXfs>
  <cellStyles count="1">
    <cellStyle xfId="0" name="Normal" builtinId="0"/>
  </cellStyles>
  <dxfs count="12">
    <dxf>
      <font/>
      <fill>
        <patternFill patternType="solid">
          <fgColor rgb="FFBFBFBF"/>
          <bgColor rgb="FFBFBFBF"/>
        </patternFill>
      </fill>
      <border/>
    </dxf>
    <dxf>
      <font/>
      <fill>
        <patternFill patternType="solid">
          <fgColor theme="5"/>
          <bgColor theme="5"/>
        </patternFill>
      </fill>
      <border/>
    </dxf>
    <dxf>
      <font/>
      <fill>
        <patternFill patternType="solid">
          <fgColor rgb="FF00B0F0"/>
          <bgColor rgb="FF00B0F0"/>
        </patternFill>
      </fill>
      <border/>
    </dxf>
    <dxf>
      <font/>
      <fill>
        <patternFill patternType="solid">
          <fgColor rgb="FF92D050"/>
          <bgColor rgb="FF92D050"/>
        </patternFill>
      </fill>
      <border/>
    </dxf>
    <dxf>
      <font/>
      <fill>
        <patternFill patternType="solid">
          <fgColor rgb="FFF4B083"/>
          <bgColor rgb="FFF4B083"/>
        </patternFill>
      </fill>
      <border/>
    </dxf>
    <dxf>
      <font/>
      <fill>
        <patternFill patternType="solid">
          <fgColor rgb="FFD9D9D9"/>
          <bgColor rgb="FFD9D9D9"/>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font/>
      <fill>
        <patternFill patternType="solid">
          <fgColor rgb="FFFFE699"/>
          <bgColor rgb="FFFFE699"/>
        </patternFill>
      </fill>
      <border/>
    </dxf>
    <dxf>
      <font/>
      <fill>
        <patternFill patternType="solid">
          <fgColor rgb="FFBED7EE"/>
          <bgColor rgb="FFBED7EE"/>
        </patternFill>
      </fill>
      <border/>
    </dxf>
  </dxfs>
  <tableStyles count="1">
    <tableStyle count="3" pivot="0" name="3. ISO 27001 부속서 A(통제항목)-style">
      <tableStyleElement dxfId="7" type="headerRow"/>
      <tableStyleElement dxfId="8" type="firstRowStripe"/>
      <tableStyleElement dxfId="9"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800">
                <a:solidFill>
                  <a:srgbClr val="757575"/>
                </a:solidFill>
                <a:latin typeface="+mn-lt"/>
              </a:defRPr>
            </a:pPr>
            <a:r>
              <a:rPr b="0" i="0" sz="1800">
                <a:solidFill>
                  <a:srgbClr val="757575"/>
                </a:solidFill>
                <a:latin typeface="+mn-lt"/>
              </a:rPr>
              <a:t>1차/2차 GAP분석 통계</a:t>
            </a:r>
          </a:p>
        </c:rich>
      </c:tx>
      <c:overlay val="0"/>
    </c:title>
    <c:plotArea>
      <c:layout>
        <c:manualLayout>
          <c:xMode val="edge"/>
          <c:yMode val="edge"/>
          <c:x val="0.06561221989254139"/>
          <c:y val="0.1157854359220165"/>
          <c:w val="0.9188322695022526"/>
          <c:h val="0.7180005717992268"/>
        </c:manualLayout>
      </c:layout>
      <c:barChart>
        <c:barDir val="col"/>
        <c:ser>
          <c:idx val="0"/>
          <c:order val="0"/>
          <c:tx>
            <c:v>1차 이행률</c:v>
          </c:tx>
          <c:spPr>
            <a:solidFill>
              <a:srgbClr val="5B9BD5"/>
            </a:solidFill>
            <a:ln cmpd="sng">
              <a:solidFill>
                <a:srgbClr val="000000"/>
              </a:solidFill>
            </a:ln>
          </c:spPr>
          <c:dLbls>
            <c:numFmt formatCode="General" sourceLinked="1"/>
            <c:txPr>
              <a:bodyPr/>
              <a:lstStyle/>
              <a:p>
                <a:pPr lvl="0">
                  <a:defRPr b="0" i="0" sz="1600">
                    <a:latin typeface="+mn-lt"/>
                  </a:defRPr>
                </a:pPr>
              </a:p>
            </c:txPr>
            <c:showLegendKey val="0"/>
            <c:showVal val="1"/>
            <c:showCatName val="0"/>
            <c:showSerName val="0"/>
            <c:showPercent val="0"/>
            <c:showBubbleSize val="0"/>
          </c:dLbls>
          <c:cat>
            <c:strRef>
              <c:f>'수준분석 점검결과(1차 230725, 2차 230804)'!$Q$4:$Q$8</c:f>
            </c:strRef>
          </c:cat>
          <c:val>
            <c:numRef>
              <c:f>'수준분석 점검결과(1차 230725, 2차 230804)'!$R$4:$R$8</c:f>
              <c:numCache/>
            </c:numRef>
          </c:val>
        </c:ser>
        <c:ser>
          <c:idx val="1"/>
          <c:order val="1"/>
          <c:tx>
            <c:v>2차 이행률</c:v>
          </c:tx>
          <c:spPr>
            <a:solidFill>
              <a:srgbClr val="ED7D31"/>
            </a:solidFill>
            <a:ln cmpd="sng">
              <a:solidFill>
                <a:srgbClr val="000000"/>
              </a:solidFill>
            </a:ln>
          </c:spPr>
          <c:dLbls>
            <c:numFmt formatCode="General" sourceLinked="1"/>
            <c:txPr>
              <a:bodyPr/>
              <a:lstStyle/>
              <a:p>
                <a:pPr lvl="0">
                  <a:defRPr b="0" i="0" sz="1600">
                    <a:latin typeface="+mn-lt"/>
                  </a:defRPr>
                </a:pPr>
              </a:p>
            </c:txPr>
            <c:showLegendKey val="0"/>
            <c:showVal val="1"/>
            <c:showCatName val="0"/>
            <c:showSerName val="0"/>
            <c:showPercent val="0"/>
            <c:showBubbleSize val="0"/>
          </c:dLbls>
          <c:cat>
            <c:strRef>
              <c:f>'수준분석 점검결과(1차 230725, 2차 230804)'!$Q$4:$Q$8</c:f>
            </c:strRef>
          </c:cat>
          <c:val>
            <c:numRef>
              <c:f>'수준분석 점검결과(1차 230725, 2차 230804)'!$S$4:$S$8</c:f>
              <c:numCache/>
            </c:numRef>
          </c:val>
        </c:ser>
        <c:axId val="49843580"/>
        <c:axId val="1514925865"/>
      </c:barChart>
      <c:catAx>
        <c:axId val="498435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1400">
                <a:solidFill>
                  <a:srgbClr val="000000"/>
                </a:solidFill>
                <a:latin typeface="+mn-lt"/>
              </a:defRPr>
            </a:pPr>
          </a:p>
        </c:txPr>
        <c:crossAx val="1514925865"/>
      </c:catAx>
      <c:valAx>
        <c:axId val="1514925865"/>
        <c:scaling>
          <c:orientation val="minMax"/>
          <c:max val="1.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i="0" sz="1400">
                <a:solidFill>
                  <a:srgbClr val="000000"/>
                </a:solidFill>
                <a:latin typeface="+mn-lt"/>
              </a:defRPr>
            </a:pPr>
          </a:p>
        </c:txPr>
        <c:crossAx val="49843580"/>
        <c:majorUnit val="0.2"/>
      </c:valAx>
    </c:plotArea>
    <c:legend>
      <c:legendPos val="b"/>
      <c:overlay val="0"/>
      <c:txPr>
        <a:bodyPr/>
        <a:lstStyle/>
        <a:p>
          <a:pPr lvl="0">
            <a:defRPr b="0" i="0" sz="120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962025</xdr:colOff>
      <xdr:row>0</xdr:row>
      <xdr:rowOff>190500</xdr:rowOff>
    </xdr:from>
    <xdr:ext cx="5762625" cy="6438900"/>
    <xdr:pic>
      <xdr:nvPicPr>
        <xdr:cNvPr id="0" name="image2.png" title="이미지"/>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962025</xdr:colOff>
      <xdr:row>3</xdr:row>
      <xdr:rowOff>190500</xdr:rowOff>
    </xdr:from>
    <xdr:ext cx="2867025" cy="3771900"/>
    <xdr:pic>
      <xdr:nvPicPr>
        <xdr:cNvPr id="0" name="image1.png" title="이미지"/>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971550</xdr:colOff>
      <xdr:row>12</xdr:row>
      <xdr:rowOff>114300</xdr:rowOff>
    </xdr:from>
    <xdr:ext cx="8829675" cy="6105525"/>
    <xdr:graphicFrame>
      <xdr:nvGraphicFramePr>
        <xdr:cNvPr id="2102021315"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4:K174" displayName="Table_1" name="Table_1" id="1">
  <tableColumns count="10">
    <tableColumn name="1111111111" id="1"/>
    <tableColumn name="항목" id="2"/>
    <tableColumn name="통제항목" id="3"/>
    <tableColumn name="통제 내용" id="4"/>
    <tableColumn name="세부번호" id="5"/>
    <tableColumn name="세부 통제 내용" id="6"/>
    <tableColumn name="평가" id="7"/>
    <tableColumn name="운영현황" id="8"/>
    <tableColumn name="기록(증적)" id="9"/>
    <tableColumn name="관련문서(정책/지침)" id="10"/>
  </tableColumns>
  <tableStyleInfo name="3. ISO 27001 부속서 A(통제항목)-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4.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4">
      <c r="I4" s="1" t="s">
        <v>0</v>
      </c>
    </row>
  </sheetData>
  <mergeCells count="2">
    <mergeCell ref="B2:G35"/>
    <mergeCell ref="I4:K4"/>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6.14"/>
    <col customWidth="1" min="3" max="3" width="39.43"/>
  </cols>
  <sheetData>
    <row r="3" ht="21.75" customHeight="1">
      <c r="B3" s="2" t="s">
        <v>1</v>
      </c>
      <c r="C3" s="2" t="s">
        <v>2</v>
      </c>
      <c r="D3" s="2" t="s">
        <v>3</v>
      </c>
      <c r="E3" s="2" t="s">
        <v>4</v>
      </c>
      <c r="F3" s="2" t="s">
        <v>5</v>
      </c>
    </row>
    <row r="4">
      <c r="B4" s="3">
        <v>1.0</v>
      </c>
      <c r="C4" s="4" t="s">
        <v>6</v>
      </c>
      <c r="D4" s="5">
        <v>1.0</v>
      </c>
      <c r="E4" s="3" t="s">
        <v>7</v>
      </c>
      <c r="F4" s="3" t="s">
        <v>8</v>
      </c>
    </row>
    <row r="5">
      <c r="B5" s="3">
        <v>2.0</v>
      </c>
      <c r="C5" s="4"/>
      <c r="D5" s="3"/>
      <c r="E5" s="3"/>
      <c r="F5" s="3"/>
    </row>
    <row r="6">
      <c r="B6" s="3">
        <v>3.0</v>
      </c>
      <c r="C6" s="6"/>
      <c r="D6" s="6"/>
      <c r="E6" s="6"/>
      <c r="F6" s="6"/>
    </row>
    <row r="7">
      <c r="B7" s="6"/>
      <c r="C7" s="6"/>
      <c r="D7" s="6"/>
      <c r="E7" s="6"/>
      <c r="F7" s="6"/>
    </row>
    <row r="8">
      <c r="B8" s="6"/>
      <c r="C8" s="6"/>
      <c r="D8" s="6"/>
      <c r="E8" s="6"/>
      <c r="F8" s="6"/>
    </row>
    <row r="9">
      <c r="B9" s="6"/>
      <c r="C9" s="6"/>
      <c r="D9" s="6"/>
      <c r="E9" s="6"/>
      <c r="F9" s="6"/>
    </row>
    <row r="10">
      <c r="B10" s="6"/>
      <c r="C10" s="6"/>
      <c r="D10" s="6"/>
      <c r="E10" s="6"/>
      <c r="F10" s="6"/>
    </row>
    <row r="11">
      <c r="B11" s="6"/>
      <c r="C11" s="6"/>
      <c r="D11" s="6"/>
      <c r="E11" s="6"/>
      <c r="F11" s="6"/>
    </row>
    <row r="12">
      <c r="B12" s="6"/>
      <c r="C12" s="6"/>
      <c r="D12" s="6"/>
      <c r="E12" s="6"/>
      <c r="F12" s="6"/>
    </row>
    <row r="13">
      <c r="B13" s="6"/>
      <c r="C13" s="6"/>
      <c r="D13" s="6"/>
      <c r="E13" s="6"/>
      <c r="F13" s="6"/>
    </row>
    <row r="14">
      <c r="B14" s="6"/>
      <c r="C14" s="6"/>
      <c r="D14" s="6"/>
      <c r="E14" s="6"/>
      <c r="F14" s="6"/>
    </row>
    <row r="15">
      <c r="B15" s="6"/>
      <c r="C15" s="6"/>
      <c r="D15" s="6"/>
      <c r="E15" s="6"/>
      <c r="F15" s="6"/>
    </row>
    <row r="16">
      <c r="B16" s="6"/>
      <c r="C16" s="6"/>
      <c r="D16" s="6"/>
      <c r="E16" s="6"/>
      <c r="F16" s="6"/>
    </row>
    <row r="17">
      <c r="B17" s="6"/>
      <c r="C17" s="6"/>
      <c r="D17" s="6"/>
      <c r="E17" s="6"/>
      <c r="F17" s="6"/>
    </row>
    <row r="18">
      <c r="B18" s="6"/>
      <c r="C18" s="6"/>
      <c r="D18" s="6"/>
      <c r="E18" s="6"/>
      <c r="F18" s="6"/>
    </row>
    <row r="19">
      <c r="B19" s="6"/>
      <c r="C19" s="6"/>
      <c r="D19" s="6"/>
      <c r="E19" s="6"/>
      <c r="F19" s="6"/>
    </row>
    <row r="20">
      <c r="B20" s="7"/>
      <c r="C20" s="7"/>
      <c r="D20" s="7"/>
      <c r="E20" s="7"/>
      <c r="F20" s="7"/>
    </row>
    <row r="21">
      <c r="B21" s="7"/>
      <c r="C21" s="7"/>
      <c r="D21" s="7"/>
      <c r="E21" s="7"/>
      <c r="F21" s="7"/>
    </row>
    <row r="22">
      <c r="B22" s="7"/>
      <c r="C22" s="7"/>
      <c r="D22" s="7"/>
      <c r="E22" s="7"/>
      <c r="F22" s="7"/>
    </row>
    <row r="23">
      <c r="B23" s="7"/>
      <c r="C23" s="7"/>
      <c r="D23" s="7"/>
      <c r="E23" s="7"/>
      <c r="F23" s="7"/>
    </row>
    <row r="24">
      <c r="B24" s="7"/>
      <c r="C24" s="7"/>
      <c r="D24" s="7"/>
      <c r="E24" s="7"/>
      <c r="F24" s="7"/>
    </row>
    <row r="25">
      <c r="B25" s="7"/>
      <c r="C25" s="7"/>
      <c r="D25" s="7"/>
      <c r="E25" s="7"/>
      <c r="F25" s="7"/>
    </row>
    <row r="26">
      <c r="B26" s="7"/>
      <c r="C26" s="7"/>
      <c r="D26" s="7"/>
      <c r="E26" s="7"/>
      <c r="F26" s="7"/>
    </row>
    <row r="27">
      <c r="B27" s="7"/>
      <c r="C27" s="7"/>
      <c r="D27" s="7"/>
      <c r="E27" s="7"/>
      <c r="F27" s="7"/>
    </row>
    <row r="28">
      <c r="B28" s="7"/>
      <c r="C28" s="7"/>
      <c r="D28" s="7"/>
      <c r="E28" s="7"/>
      <c r="F28" s="7"/>
    </row>
    <row r="29">
      <c r="B29" s="7"/>
      <c r="C29" s="7"/>
      <c r="D29" s="7"/>
      <c r="E29" s="7"/>
      <c r="F29" s="7"/>
    </row>
    <row r="30">
      <c r="B30" s="7"/>
      <c r="C30" s="7"/>
      <c r="D30" s="7"/>
      <c r="E30" s="7"/>
      <c r="F30" s="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showGridLines="0" workbookViewId="0"/>
  </sheetViews>
  <sheetFormatPr customHeight="1" defaultColWidth="14.43" defaultRowHeight="15.0"/>
  <cols>
    <col customWidth="1" min="1" max="1" width="3.29"/>
    <col customWidth="1" min="2" max="2" width="4.29"/>
    <col customWidth="1" min="3" max="3" width="12.43"/>
    <col customWidth="1" min="4" max="4" width="4.86"/>
    <col customWidth="1" min="5" max="5" width="11.86"/>
    <col customWidth="1" min="6" max="6" width="21.0"/>
    <col customWidth="1" min="7" max="7" width="60.43"/>
    <col customWidth="1" min="8" max="8" width="7.0"/>
    <col customWidth="1" min="9" max="9" width="60.43"/>
    <col customWidth="1" min="10" max="11" width="40.43"/>
    <col customWidth="1" min="12" max="26" width="8.86"/>
  </cols>
  <sheetData>
    <row r="1" ht="37.5" customHeight="1">
      <c r="A1" s="8"/>
      <c r="B1" s="9" t="s">
        <v>9</v>
      </c>
      <c r="C1" s="10"/>
      <c r="D1" s="10"/>
      <c r="E1" s="10"/>
      <c r="F1" s="10"/>
      <c r="G1" s="10"/>
      <c r="H1" s="10"/>
      <c r="I1" s="10"/>
      <c r="J1" s="10"/>
      <c r="K1" s="10"/>
      <c r="L1" s="8"/>
      <c r="M1" s="8"/>
      <c r="N1" s="8"/>
      <c r="O1" s="8"/>
      <c r="P1" s="8"/>
      <c r="Q1" s="8"/>
      <c r="R1" s="8"/>
      <c r="S1" s="8"/>
      <c r="T1" s="8"/>
      <c r="U1" s="8"/>
      <c r="V1" s="8"/>
      <c r="W1" s="8"/>
      <c r="X1" s="8"/>
      <c r="Y1" s="8"/>
      <c r="Z1" s="8"/>
    </row>
    <row r="2" ht="16.5" customHeight="1">
      <c r="A2" s="11"/>
      <c r="B2" s="11"/>
      <c r="C2" s="11"/>
      <c r="D2" s="11"/>
      <c r="E2" s="11"/>
      <c r="F2" s="11"/>
      <c r="G2" s="12"/>
      <c r="H2" s="11"/>
      <c r="I2" s="12"/>
      <c r="J2" s="12"/>
      <c r="K2" s="12"/>
      <c r="L2" s="11"/>
      <c r="M2" s="11"/>
      <c r="N2" s="11"/>
      <c r="O2" s="11"/>
      <c r="P2" s="11"/>
      <c r="Q2" s="11"/>
      <c r="R2" s="11"/>
      <c r="S2" s="11"/>
      <c r="T2" s="11"/>
      <c r="U2" s="11"/>
      <c r="V2" s="11"/>
      <c r="W2" s="11"/>
      <c r="X2" s="11"/>
      <c r="Y2" s="11"/>
      <c r="Z2" s="11"/>
    </row>
    <row r="3" ht="16.5" customHeight="1">
      <c r="A3" s="11"/>
      <c r="B3" s="11"/>
      <c r="C3" s="11"/>
      <c r="D3" s="11"/>
      <c r="E3" s="11"/>
      <c r="F3" s="11"/>
      <c r="G3" s="12"/>
      <c r="H3" s="11"/>
      <c r="I3" s="12"/>
      <c r="J3" s="12"/>
      <c r="K3" s="12"/>
      <c r="L3" s="11"/>
      <c r="M3" s="11"/>
      <c r="N3" s="11"/>
      <c r="O3" s="11"/>
      <c r="P3" s="11"/>
      <c r="Q3" s="11"/>
      <c r="R3" s="11"/>
      <c r="S3" s="11"/>
      <c r="T3" s="11"/>
      <c r="U3" s="11"/>
      <c r="V3" s="11"/>
      <c r="W3" s="11"/>
      <c r="X3" s="11"/>
      <c r="Y3" s="11"/>
      <c r="Z3" s="11"/>
    </row>
    <row r="4" ht="16.5" customHeight="1">
      <c r="A4" s="11"/>
      <c r="B4" s="13" t="s">
        <v>10</v>
      </c>
      <c r="C4" s="13" t="s">
        <v>11</v>
      </c>
      <c r="D4" s="13" t="s">
        <v>10</v>
      </c>
      <c r="E4" s="14" t="s">
        <v>12</v>
      </c>
      <c r="F4" s="15"/>
      <c r="G4" s="13" t="s">
        <v>13</v>
      </c>
      <c r="H4" s="16" t="s">
        <v>14</v>
      </c>
      <c r="I4" s="16" t="s">
        <v>15</v>
      </c>
      <c r="J4" s="16" t="s">
        <v>16</v>
      </c>
      <c r="K4" s="16" t="s">
        <v>17</v>
      </c>
      <c r="L4" s="11"/>
      <c r="M4" s="11"/>
      <c r="N4" s="11"/>
      <c r="O4" s="11"/>
      <c r="P4" s="11"/>
      <c r="Q4" s="11"/>
      <c r="R4" s="11"/>
      <c r="S4" s="11"/>
      <c r="T4" s="11"/>
      <c r="U4" s="11"/>
      <c r="V4" s="11"/>
      <c r="W4" s="11"/>
      <c r="X4" s="11"/>
      <c r="Y4" s="11"/>
      <c r="Z4" s="11"/>
    </row>
    <row r="5" ht="42.0" customHeight="1">
      <c r="A5" s="11"/>
      <c r="B5" s="17" t="s">
        <v>18</v>
      </c>
      <c r="C5" s="18" t="s">
        <v>19</v>
      </c>
      <c r="D5" s="19">
        <v>4.1</v>
      </c>
      <c r="E5" s="20" t="s">
        <v>20</v>
      </c>
      <c r="F5" s="15"/>
      <c r="G5" s="21" t="s">
        <v>21</v>
      </c>
      <c r="H5" s="22" t="s">
        <v>22</v>
      </c>
      <c r="I5" s="21" t="s">
        <v>23</v>
      </c>
      <c r="J5" s="21" t="s">
        <v>24</v>
      </c>
      <c r="K5" s="21"/>
      <c r="L5" s="11"/>
      <c r="M5" s="11"/>
      <c r="N5" s="11"/>
      <c r="O5" s="11"/>
      <c r="P5" s="11"/>
      <c r="Q5" s="11"/>
      <c r="R5" s="11"/>
      <c r="S5" s="11"/>
      <c r="T5" s="11"/>
      <c r="U5" s="11"/>
      <c r="V5" s="11"/>
      <c r="W5" s="11"/>
      <c r="X5" s="11"/>
      <c r="Y5" s="11"/>
      <c r="Z5" s="11"/>
    </row>
    <row r="6">
      <c r="A6" s="11"/>
      <c r="B6" s="23"/>
      <c r="C6" s="23"/>
      <c r="D6" s="19">
        <v>4.2</v>
      </c>
      <c r="E6" s="20" t="s">
        <v>25</v>
      </c>
      <c r="F6" s="15"/>
      <c r="G6" s="21" t="s">
        <v>26</v>
      </c>
      <c r="H6" s="22" t="s">
        <v>22</v>
      </c>
      <c r="I6" s="21" t="s">
        <v>27</v>
      </c>
      <c r="J6" s="21"/>
      <c r="K6" s="21" t="s">
        <v>28</v>
      </c>
      <c r="L6" s="11"/>
      <c r="M6" s="11"/>
      <c r="N6" s="11"/>
      <c r="O6" s="11"/>
      <c r="P6" s="11"/>
      <c r="Q6" s="11"/>
      <c r="R6" s="11"/>
      <c r="S6" s="11"/>
      <c r="T6" s="11"/>
      <c r="U6" s="11"/>
      <c r="V6" s="11"/>
      <c r="W6" s="11"/>
      <c r="X6" s="11"/>
      <c r="Y6" s="11"/>
      <c r="Z6" s="11"/>
    </row>
    <row r="7">
      <c r="A7" s="11"/>
      <c r="B7" s="23"/>
      <c r="C7" s="23"/>
      <c r="D7" s="19">
        <v>4.3</v>
      </c>
      <c r="E7" s="20" t="s">
        <v>29</v>
      </c>
      <c r="F7" s="15"/>
      <c r="G7" s="21" t="s">
        <v>30</v>
      </c>
      <c r="H7" s="22" t="s">
        <v>22</v>
      </c>
      <c r="I7" s="21" t="s">
        <v>31</v>
      </c>
      <c r="J7" s="21"/>
      <c r="K7" s="21" t="s">
        <v>32</v>
      </c>
      <c r="L7" s="11"/>
      <c r="M7" s="11"/>
      <c r="N7" s="11"/>
      <c r="O7" s="11"/>
      <c r="P7" s="11"/>
      <c r="Q7" s="11"/>
      <c r="R7" s="11"/>
      <c r="S7" s="11"/>
      <c r="T7" s="11"/>
      <c r="U7" s="11"/>
      <c r="V7" s="11"/>
      <c r="W7" s="11"/>
      <c r="X7" s="11"/>
      <c r="Y7" s="11"/>
      <c r="Z7" s="11"/>
    </row>
    <row r="8">
      <c r="A8" s="11"/>
      <c r="B8" s="24"/>
      <c r="C8" s="24"/>
      <c r="D8" s="19">
        <v>4.4</v>
      </c>
      <c r="E8" s="20" t="s">
        <v>33</v>
      </c>
      <c r="F8" s="15"/>
      <c r="G8" s="21" t="s">
        <v>34</v>
      </c>
      <c r="H8" s="22" t="s">
        <v>22</v>
      </c>
      <c r="I8" s="21" t="s">
        <v>35</v>
      </c>
      <c r="J8" s="21" t="s">
        <v>36</v>
      </c>
      <c r="K8" s="21"/>
      <c r="L8" s="11"/>
      <c r="M8" s="11"/>
      <c r="N8" s="11"/>
      <c r="O8" s="11"/>
      <c r="P8" s="11"/>
      <c r="Q8" s="11"/>
      <c r="R8" s="11"/>
      <c r="S8" s="11"/>
      <c r="T8" s="11"/>
      <c r="U8" s="11"/>
      <c r="V8" s="11"/>
      <c r="W8" s="11"/>
      <c r="X8" s="11"/>
      <c r="Y8" s="11"/>
      <c r="Z8" s="11"/>
    </row>
    <row r="9">
      <c r="A9" s="11"/>
      <c r="B9" s="17" t="s">
        <v>37</v>
      </c>
      <c r="C9" s="18" t="s">
        <v>38</v>
      </c>
      <c r="D9" s="19">
        <v>5.1</v>
      </c>
      <c r="E9" s="20" t="s">
        <v>39</v>
      </c>
      <c r="F9" s="15"/>
      <c r="G9" s="21" t="s">
        <v>40</v>
      </c>
      <c r="H9" s="22" t="s">
        <v>22</v>
      </c>
      <c r="I9" s="21" t="s">
        <v>41</v>
      </c>
      <c r="J9" s="21" t="s">
        <v>42</v>
      </c>
      <c r="K9" s="21"/>
      <c r="L9" s="11"/>
      <c r="M9" s="11"/>
      <c r="N9" s="11"/>
      <c r="O9" s="11"/>
      <c r="P9" s="11"/>
      <c r="Q9" s="11"/>
      <c r="R9" s="11"/>
      <c r="S9" s="11"/>
      <c r="T9" s="11"/>
      <c r="U9" s="11"/>
      <c r="V9" s="11"/>
      <c r="W9" s="11"/>
      <c r="X9" s="11"/>
      <c r="Y9" s="11"/>
      <c r="Z9" s="11"/>
    </row>
    <row r="10">
      <c r="A10" s="11"/>
      <c r="B10" s="23"/>
      <c r="C10" s="23"/>
      <c r="D10" s="19">
        <v>5.2</v>
      </c>
      <c r="E10" s="20" t="s">
        <v>43</v>
      </c>
      <c r="F10" s="15"/>
      <c r="G10" s="21" t="s">
        <v>44</v>
      </c>
      <c r="H10" s="22" t="s">
        <v>22</v>
      </c>
      <c r="I10" s="21" t="s">
        <v>45</v>
      </c>
      <c r="J10" s="21"/>
      <c r="K10" s="21" t="s">
        <v>46</v>
      </c>
      <c r="L10" s="11"/>
      <c r="M10" s="11"/>
      <c r="N10" s="11"/>
      <c r="O10" s="11"/>
      <c r="P10" s="11"/>
      <c r="Q10" s="11"/>
      <c r="R10" s="11"/>
      <c r="S10" s="11"/>
      <c r="T10" s="11"/>
      <c r="U10" s="11"/>
      <c r="V10" s="11"/>
      <c r="W10" s="11"/>
      <c r="X10" s="11"/>
      <c r="Y10" s="11"/>
      <c r="Z10" s="11"/>
    </row>
    <row r="11">
      <c r="A11" s="11"/>
      <c r="B11" s="24"/>
      <c r="C11" s="24"/>
      <c r="D11" s="19">
        <v>5.3</v>
      </c>
      <c r="E11" s="20" t="s">
        <v>47</v>
      </c>
      <c r="F11" s="15"/>
      <c r="G11" s="21" t="s">
        <v>48</v>
      </c>
      <c r="H11" s="22" t="s">
        <v>22</v>
      </c>
      <c r="I11" s="21" t="s">
        <v>49</v>
      </c>
      <c r="J11" s="21" t="s">
        <v>50</v>
      </c>
      <c r="K11" s="21"/>
      <c r="L11" s="11"/>
      <c r="M11" s="11"/>
      <c r="N11" s="11"/>
      <c r="O11" s="11"/>
      <c r="P11" s="11"/>
      <c r="Q11" s="11"/>
      <c r="R11" s="11"/>
      <c r="S11" s="11"/>
      <c r="T11" s="11"/>
      <c r="U11" s="11"/>
      <c r="V11" s="11"/>
      <c r="W11" s="11"/>
      <c r="X11" s="11"/>
      <c r="Y11" s="11"/>
      <c r="Z11" s="11"/>
    </row>
    <row r="12">
      <c r="A12" s="11"/>
      <c r="B12" s="17" t="s">
        <v>51</v>
      </c>
      <c r="C12" s="18" t="s">
        <v>52</v>
      </c>
      <c r="D12" s="25">
        <v>6.1</v>
      </c>
      <c r="E12" s="25" t="s">
        <v>53</v>
      </c>
      <c r="F12" s="19" t="s">
        <v>54</v>
      </c>
      <c r="G12" s="21" t="s">
        <v>55</v>
      </c>
      <c r="H12" s="22" t="s">
        <v>22</v>
      </c>
      <c r="I12" s="21" t="s">
        <v>56</v>
      </c>
      <c r="J12" s="21" t="s">
        <v>57</v>
      </c>
      <c r="K12" s="21" t="s">
        <v>58</v>
      </c>
      <c r="L12" s="11"/>
      <c r="M12" s="11"/>
      <c r="N12" s="11"/>
      <c r="O12" s="11"/>
      <c r="P12" s="11"/>
      <c r="Q12" s="11"/>
      <c r="R12" s="11"/>
      <c r="S12" s="11"/>
      <c r="T12" s="11"/>
      <c r="U12" s="11"/>
      <c r="V12" s="11"/>
      <c r="W12" s="11"/>
      <c r="X12" s="11"/>
      <c r="Y12" s="11"/>
      <c r="Z12" s="11"/>
    </row>
    <row r="13">
      <c r="A13" s="11"/>
      <c r="B13" s="23"/>
      <c r="C13" s="23"/>
      <c r="D13" s="23"/>
      <c r="E13" s="23"/>
      <c r="F13" s="19" t="s">
        <v>59</v>
      </c>
      <c r="G13" s="21" t="s">
        <v>60</v>
      </c>
      <c r="H13" s="22" t="s">
        <v>22</v>
      </c>
      <c r="I13" s="21" t="s">
        <v>61</v>
      </c>
      <c r="J13" s="21" t="s">
        <v>57</v>
      </c>
      <c r="K13" s="21" t="s">
        <v>58</v>
      </c>
      <c r="L13" s="11"/>
      <c r="M13" s="11"/>
      <c r="N13" s="11"/>
      <c r="O13" s="11"/>
      <c r="P13" s="11"/>
      <c r="Q13" s="11"/>
      <c r="R13" s="11"/>
      <c r="S13" s="11"/>
      <c r="T13" s="11"/>
      <c r="U13" s="11"/>
      <c r="V13" s="11"/>
      <c r="W13" s="11"/>
      <c r="X13" s="11"/>
      <c r="Y13" s="11"/>
      <c r="Z13" s="11"/>
    </row>
    <row r="14">
      <c r="A14" s="11"/>
      <c r="B14" s="23"/>
      <c r="C14" s="23"/>
      <c r="D14" s="24"/>
      <c r="E14" s="24"/>
      <c r="F14" s="19" t="s">
        <v>62</v>
      </c>
      <c r="G14" s="21" t="s">
        <v>63</v>
      </c>
      <c r="H14" s="22" t="s">
        <v>22</v>
      </c>
      <c r="I14" s="21" t="s">
        <v>64</v>
      </c>
      <c r="J14" s="21" t="s">
        <v>57</v>
      </c>
      <c r="K14" s="21" t="s">
        <v>58</v>
      </c>
      <c r="L14" s="11"/>
      <c r="M14" s="11"/>
      <c r="N14" s="11"/>
      <c r="O14" s="11"/>
      <c r="P14" s="11"/>
      <c r="Q14" s="11"/>
      <c r="R14" s="11"/>
      <c r="S14" s="11"/>
      <c r="T14" s="11"/>
      <c r="U14" s="11"/>
      <c r="V14" s="11"/>
      <c r="W14" s="11"/>
      <c r="X14" s="11"/>
      <c r="Y14" s="11"/>
      <c r="Z14" s="11"/>
    </row>
    <row r="15">
      <c r="A15" s="11"/>
      <c r="B15" s="23"/>
      <c r="C15" s="23"/>
      <c r="D15" s="19">
        <v>6.2</v>
      </c>
      <c r="E15" s="20" t="s">
        <v>65</v>
      </c>
      <c r="F15" s="15"/>
      <c r="G15" s="21" t="s">
        <v>66</v>
      </c>
      <c r="H15" s="22" t="s">
        <v>22</v>
      </c>
      <c r="I15" s="21" t="s">
        <v>67</v>
      </c>
      <c r="J15" s="21" t="s">
        <v>68</v>
      </c>
      <c r="K15" s="21" t="s">
        <v>58</v>
      </c>
      <c r="L15" s="11"/>
      <c r="M15" s="11"/>
      <c r="N15" s="11"/>
      <c r="O15" s="11"/>
      <c r="P15" s="11"/>
      <c r="Q15" s="11"/>
      <c r="R15" s="11"/>
      <c r="S15" s="11"/>
      <c r="T15" s="11"/>
      <c r="U15" s="11"/>
      <c r="V15" s="11"/>
      <c r="W15" s="11"/>
      <c r="X15" s="11"/>
      <c r="Y15" s="11"/>
      <c r="Z15" s="11"/>
    </row>
    <row r="16">
      <c r="A16" s="11"/>
      <c r="B16" s="24"/>
      <c r="C16" s="24"/>
      <c r="D16" s="19">
        <v>6.3</v>
      </c>
      <c r="E16" s="20" t="s">
        <v>69</v>
      </c>
      <c r="F16" s="15"/>
      <c r="G16" s="21" t="s">
        <v>70</v>
      </c>
      <c r="H16" s="22" t="s">
        <v>22</v>
      </c>
      <c r="I16" s="21" t="s">
        <v>71</v>
      </c>
      <c r="J16" s="21" t="s">
        <v>72</v>
      </c>
      <c r="K16" s="21" t="s">
        <v>58</v>
      </c>
      <c r="L16" s="11"/>
      <c r="M16" s="11"/>
      <c r="N16" s="11"/>
      <c r="O16" s="11"/>
      <c r="P16" s="11"/>
      <c r="Q16" s="11"/>
      <c r="R16" s="11"/>
      <c r="S16" s="11"/>
      <c r="T16" s="11"/>
      <c r="U16" s="11"/>
      <c r="V16" s="11"/>
      <c r="W16" s="11"/>
      <c r="X16" s="11"/>
      <c r="Y16" s="11"/>
      <c r="Z16" s="11"/>
    </row>
    <row r="17">
      <c r="A17" s="11"/>
      <c r="B17" s="17" t="s">
        <v>73</v>
      </c>
      <c r="C17" s="18" t="s">
        <v>74</v>
      </c>
      <c r="D17" s="19">
        <v>7.1</v>
      </c>
      <c r="E17" s="20" t="s">
        <v>75</v>
      </c>
      <c r="F17" s="15"/>
      <c r="G17" s="21" t="s">
        <v>76</v>
      </c>
      <c r="H17" s="22" t="s">
        <v>22</v>
      </c>
      <c r="I17" s="21" t="s">
        <v>77</v>
      </c>
      <c r="J17" s="21" t="s">
        <v>78</v>
      </c>
      <c r="K17" s="21"/>
      <c r="L17" s="11"/>
      <c r="M17" s="11"/>
      <c r="N17" s="11"/>
      <c r="O17" s="11"/>
      <c r="P17" s="11"/>
      <c r="Q17" s="11"/>
      <c r="R17" s="11"/>
      <c r="S17" s="11"/>
      <c r="T17" s="11"/>
      <c r="U17" s="11"/>
      <c r="V17" s="11"/>
      <c r="W17" s="11"/>
      <c r="X17" s="11"/>
      <c r="Y17" s="11"/>
      <c r="Z17" s="11"/>
    </row>
    <row r="18">
      <c r="A18" s="11"/>
      <c r="B18" s="23"/>
      <c r="C18" s="23"/>
      <c r="D18" s="19">
        <v>7.2</v>
      </c>
      <c r="E18" s="20" t="s">
        <v>79</v>
      </c>
      <c r="F18" s="15"/>
      <c r="G18" s="21" t="s">
        <v>80</v>
      </c>
      <c r="H18" s="22" t="s">
        <v>22</v>
      </c>
      <c r="I18" s="21" t="s">
        <v>81</v>
      </c>
      <c r="J18" s="21"/>
      <c r="K18" s="21" t="s">
        <v>82</v>
      </c>
      <c r="L18" s="11"/>
      <c r="M18" s="11"/>
      <c r="N18" s="11"/>
      <c r="O18" s="11"/>
      <c r="P18" s="11"/>
      <c r="Q18" s="11"/>
      <c r="R18" s="11"/>
      <c r="S18" s="11"/>
      <c r="T18" s="11"/>
      <c r="U18" s="11"/>
      <c r="V18" s="11"/>
      <c r="W18" s="11"/>
      <c r="X18" s="11"/>
      <c r="Y18" s="11"/>
      <c r="Z18" s="11"/>
    </row>
    <row r="19">
      <c r="A19" s="11"/>
      <c r="B19" s="23"/>
      <c r="C19" s="23"/>
      <c r="D19" s="19">
        <v>7.3</v>
      </c>
      <c r="E19" s="20" t="s">
        <v>83</v>
      </c>
      <c r="F19" s="15"/>
      <c r="G19" s="21" t="s">
        <v>84</v>
      </c>
      <c r="H19" s="22" t="s">
        <v>22</v>
      </c>
      <c r="I19" s="21" t="s">
        <v>85</v>
      </c>
      <c r="J19" s="21" t="s">
        <v>86</v>
      </c>
      <c r="K19" s="21"/>
      <c r="L19" s="11"/>
      <c r="M19" s="11"/>
      <c r="N19" s="11"/>
      <c r="O19" s="11"/>
      <c r="P19" s="11"/>
      <c r="Q19" s="11"/>
      <c r="R19" s="11"/>
      <c r="S19" s="11"/>
      <c r="T19" s="11"/>
      <c r="U19" s="11"/>
      <c r="V19" s="11"/>
      <c r="W19" s="11"/>
      <c r="X19" s="11"/>
      <c r="Y19" s="11"/>
      <c r="Z19" s="11"/>
    </row>
    <row r="20">
      <c r="A20" s="11"/>
      <c r="B20" s="23"/>
      <c r="C20" s="23"/>
      <c r="D20" s="19">
        <v>7.4</v>
      </c>
      <c r="E20" s="20" t="s">
        <v>87</v>
      </c>
      <c r="F20" s="15"/>
      <c r="G20" s="21" t="s">
        <v>88</v>
      </c>
      <c r="H20" s="22" t="s">
        <v>22</v>
      </c>
      <c r="I20" s="21" t="s">
        <v>89</v>
      </c>
      <c r="J20" s="21" t="s">
        <v>90</v>
      </c>
      <c r="K20" s="21"/>
      <c r="L20" s="11"/>
      <c r="M20" s="11"/>
      <c r="N20" s="11"/>
      <c r="O20" s="11"/>
      <c r="P20" s="11"/>
      <c r="Q20" s="11"/>
      <c r="R20" s="11"/>
      <c r="S20" s="11"/>
      <c r="T20" s="11"/>
      <c r="U20" s="11"/>
      <c r="V20" s="11"/>
      <c r="W20" s="11"/>
      <c r="X20" s="11"/>
      <c r="Y20" s="11"/>
      <c r="Z20" s="11"/>
    </row>
    <row r="21">
      <c r="A21" s="11"/>
      <c r="B21" s="23"/>
      <c r="C21" s="23"/>
      <c r="D21" s="25">
        <v>7.5</v>
      </c>
      <c r="E21" s="25" t="s">
        <v>91</v>
      </c>
      <c r="F21" s="19" t="s">
        <v>92</v>
      </c>
      <c r="G21" s="21" t="s">
        <v>93</v>
      </c>
      <c r="H21" s="22" t="s">
        <v>22</v>
      </c>
      <c r="I21" s="21" t="s">
        <v>94</v>
      </c>
      <c r="J21" s="21"/>
      <c r="K21" s="21" t="s">
        <v>95</v>
      </c>
      <c r="L21" s="11"/>
      <c r="M21" s="11"/>
      <c r="N21" s="11"/>
      <c r="O21" s="11"/>
      <c r="P21" s="11"/>
      <c r="Q21" s="11"/>
      <c r="R21" s="11"/>
      <c r="S21" s="11"/>
      <c r="T21" s="11"/>
      <c r="U21" s="11"/>
      <c r="V21" s="11"/>
      <c r="W21" s="11"/>
      <c r="X21" s="11"/>
      <c r="Y21" s="11"/>
      <c r="Z21" s="11"/>
    </row>
    <row r="22">
      <c r="A22" s="11"/>
      <c r="B22" s="23"/>
      <c r="C22" s="23"/>
      <c r="D22" s="23"/>
      <c r="E22" s="23"/>
      <c r="F22" s="19" t="s">
        <v>96</v>
      </c>
      <c r="G22" s="21" t="s">
        <v>97</v>
      </c>
      <c r="H22" s="22" t="s">
        <v>22</v>
      </c>
      <c r="I22" s="21" t="s">
        <v>98</v>
      </c>
      <c r="J22" s="21" t="s">
        <v>90</v>
      </c>
      <c r="K22" s="21" t="s">
        <v>95</v>
      </c>
      <c r="L22" s="11"/>
      <c r="M22" s="11"/>
      <c r="N22" s="11"/>
      <c r="O22" s="11"/>
      <c r="P22" s="11"/>
      <c r="Q22" s="11"/>
      <c r="R22" s="11"/>
      <c r="S22" s="11"/>
      <c r="T22" s="11"/>
      <c r="U22" s="11"/>
      <c r="V22" s="11"/>
      <c r="W22" s="11"/>
      <c r="X22" s="11"/>
      <c r="Y22" s="11"/>
      <c r="Z22" s="11"/>
    </row>
    <row r="23">
      <c r="A23" s="11"/>
      <c r="B23" s="24"/>
      <c r="C23" s="24"/>
      <c r="D23" s="24"/>
      <c r="E23" s="24"/>
      <c r="F23" s="19" t="s">
        <v>99</v>
      </c>
      <c r="G23" s="21" t="s">
        <v>100</v>
      </c>
      <c r="H23" s="22" t="s">
        <v>22</v>
      </c>
      <c r="I23" s="21" t="s">
        <v>101</v>
      </c>
      <c r="J23" s="21"/>
      <c r="K23" s="21" t="s">
        <v>95</v>
      </c>
      <c r="L23" s="11"/>
      <c r="M23" s="11"/>
      <c r="N23" s="11"/>
      <c r="O23" s="11"/>
      <c r="P23" s="11"/>
      <c r="Q23" s="11"/>
      <c r="R23" s="11"/>
      <c r="S23" s="11"/>
      <c r="T23" s="11"/>
      <c r="U23" s="11"/>
      <c r="V23" s="11"/>
      <c r="W23" s="11"/>
      <c r="X23" s="11"/>
      <c r="Y23" s="11"/>
      <c r="Z23" s="11"/>
    </row>
    <row r="24">
      <c r="A24" s="11"/>
      <c r="B24" s="17" t="s">
        <v>102</v>
      </c>
      <c r="C24" s="18" t="s">
        <v>103</v>
      </c>
      <c r="D24" s="19">
        <v>8.1</v>
      </c>
      <c r="E24" s="20" t="s">
        <v>104</v>
      </c>
      <c r="F24" s="15"/>
      <c r="G24" s="21" t="s">
        <v>105</v>
      </c>
      <c r="H24" s="22" t="s">
        <v>22</v>
      </c>
      <c r="I24" s="21" t="s">
        <v>106</v>
      </c>
      <c r="J24" s="21" t="s">
        <v>107</v>
      </c>
      <c r="K24" s="21"/>
      <c r="L24" s="11"/>
      <c r="M24" s="11"/>
      <c r="N24" s="11"/>
      <c r="O24" s="11"/>
      <c r="P24" s="11"/>
      <c r="Q24" s="11"/>
      <c r="R24" s="11"/>
      <c r="S24" s="11"/>
      <c r="T24" s="11"/>
      <c r="U24" s="11"/>
      <c r="V24" s="11"/>
      <c r="W24" s="11"/>
      <c r="X24" s="11"/>
      <c r="Y24" s="11"/>
      <c r="Z24" s="11"/>
    </row>
    <row r="25">
      <c r="A25" s="11"/>
      <c r="B25" s="23"/>
      <c r="C25" s="23"/>
      <c r="D25" s="19">
        <v>8.2</v>
      </c>
      <c r="E25" s="20" t="s">
        <v>108</v>
      </c>
      <c r="F25" s="15"/>
      <c r="G25" s="21" t="s">
        <v>109</v>
      </c>
      <c r="H25" s="22" t="s">
        <v>22</v>
      </c>
      <c r="I25" s="21" t="s">
        <v>110</v>
      </c>
      <c r="J25" s="26" t="s">
        <v>111</v>
      </c>
      <c r="K25" s="21"/>
      <c r="L25" s="11"/>
      <c r="M25" s="11"/>
      <c r="N25" s="11"/>
      <c r="O25" s="11"/>
      <c r="P25" s="11"/>
      <c r="Q25" s="11"/>
      <c r="R25" s="11"/>
      <c r="S25" s="11"/>
      <c r="T25" s="11"/>
      <c r="U25" s="11"/>
      <c r="V25" s="11"/>
      <c r="W25" s="11"/>
      <c r="X25" s="11"/>
      <c r="Y25" s="11"/>
      <c r="Z25" s="11"/>
    </row>
    <row r="26">
      <c r="A26" s="11"/>
      <c r="B26" s="24"/>
      <c r="C26" s="24"/>
      <c r="D26" s="19">
        <v>8.3</v>
      </c>
      <c r="E26" s="20" t="s">
        <v>112</v>
      </c>
      <c r="F26" s="15"/>
      <c r="G26" s="21" t="s">
        <v>113</v>
      </c>
      <c r="H26" s="22" t="s">
        <v>22</v>
      </c>
      <c r="I26" s="21" t="s">
        <v>114</v>
      </c>
      <c r="J26" s="21" t="s">
        <v>115</v>
      </c>
      <c r="K26" s="21"/>
      <c r="L26" s="11"/>
      <c r="M26" s="11"/>
      <c r="N26" s="11"/>
      <c r="O26" s="11"/>
      <c r="P26" s="11"/>
      <c r="Q26" s="11"/>
      <c r="R26" s="11"/>
      <c r="S26" s="11"/>
      <c r="T26" s="11"/>
      <c r="U26" s="11"/>
      <c r="V26" s="11"/>
      <c r="W26" s="11"/>
      <c r="X26" s="11"/>
      <c r="Y26" s="11"/>
      <c r="Z26" s="11"/>
    </row>
    <row r="27">
      <c r="A27" s="11"/>
      <c r="B27" s="17" t="s">
        <v>116</v>
      </c>
      <c r="C27" s="18" t="s">
        <v>117</v>
      </c>
      <c r="D27" s="19">
        <v>9.1</v>
      </c>
      <c r="E27" s="20" t="s">
        <v>118</v>
      </c>
      <c r="F27" s="15"/>
      <c r="G27" s="21" t="s">
        <v>119</v>
      </c>
      <c r="H27" s="22" t="s">
        <v>22</v>
      </c>
      <c r="I27" s="21" t="s">
        <v>120</v>
      </c>
      <c r="J27" s="21" t="s">
        <v>121</v>
      </c>
      <c r="K27" s="21"/>
      <c r="L27" s="11"/>
      <c r="M27" s="11"/>
      <c r="N27" s="11"/>
      <c r="O27" s="11"/>
      <c r="P27" s="11"/>
      <c r="Q27" s="11"/>
      <c r="R27" s="11"/>
      <c r="S27" s="11"/>
      <c r="T27" s="11"/>
      <c r="U27" s="11"/>
      <c r="V27" s="11"/>
      <c r="W27" s="11"/>
      <c r="X27" s="11"/>
      <c r="Y27" s="11"/>
      <c r="Z27" s="11"/>
    </row>
    <row r="28">
      <c r="A28" s="11"/>
      <c r="B28" s="23"/>
      <c r="C28" s="23"/>
      <c r="D28" s="25">
        <v>9.2</v>
      </c>
      <c r="E28" s="25" t="s">
        <v>122</v>
      </c>
      <c r="F28" s="19" t="s">
        <v>123</v>
      </c>
      <c r="G28" s="21" t="s">
        <v>124</v>
      </c>
      <c r="H28" s="22" t="s">
        <v>22</v>
      </c>
      <c r="I28" s="21" t="s">
        <v>125</v>
      </c>
      <c r="J28" s="21"/>
      <c r="K28" s="21"/>
      <c r="L28" s="11"/>
      <c r="M28" s="11"/>
      <c r="N28" s="11"/>
      <c r="O28" s="11"/>
      <c r="P28" s="11"/>
      <c r="Q28" s="11"/>
      <c r="R28" s="11"/>
      <c r="S28" s="11"/>
      <c r="T28" s="11"/>
      <c r="U28" s="11"/>
      <c r="V28" s="11"/>
      <c r="W28" s="11"/>
      <c r="X28" s="11"/>
      <c r="Y28" s="11"/>
      <c r="Z28" s="11"/>
    </row>
    <row r="29">
      <c r="A29" s="11"/>
      <c r="B29" s="23"/>
      <c r="C29" s="23"/>
      <c r="D29" s="24"/>
      <c r="E29" s="24"/>
      <c r="F29" s="19" t="s">
        <v>126</v>
      </c>
      <c r="G29" s="21" t="s">
        <v>127</v>
      </c>
      <c r="H29" s="22" t="s">
        <v>22</v>
      </c>
      <c r="I29" s="21" t="s">
        <v>128</v>
      </c>
      <c r="J29" s="21"/>
      <c r="K29" s="21"/>
      <c r="L29" s="11"/>
      <c r="M29" s="11"/>
      <c r="N29" s="11"/>
      <c r="O29" s="11"/>
      <c r="P29" s="11"/>
      <c r="Q29" s="11"/>
      <c r="R29" s="11"/>
      <c r="S29" s="11"/>
      <c r="T29" s="11"/>
      <c r="U29" s="11"/>
      <c r="V29" s="11"/>
      <c r="W29" s="11"/>
      <c r="X29" s="11"/>
      <c r="Y29" s="11"/>
      <c r="Z29" s="11"/>
    </row>
    <row r="30">
      <c r="A30" s="11"/>
      <c r="B30" s="23"/>
      <c r="C30" s="23"/>
      <c r="D30" s="25">
        <v>9.3</v>
      </c>
      <c r="E30" s="25" t="s">
        <v>129</v>
      </c>
      <c r="F30" s="19" t="s">
        <v>130</v>
      </c>
      <c r="G30" s="21" t="s">
        <v>131</v>
      </c>
      <c r="H30" s="22" t="s">
        <v>22</v>
      </c>
      <c r="I30" s="21" t="s">
        <v>132</v>
      </c>
      <c r="J30" s="21" t="s">
        <v>133</v>
      </c>
      <c r="K30" s="21"/>
      <c r="L30" s="11"/>
      <c r="M30" s="11"/>
      <c r="N30" s="11"/>
      <c r="O30" s="11"/>
      <c r="P30" s="11"/>
      <c r="Q30" s="11"/>
      <c r="R30" s="11"/>
      <c r="S30" s="11"/>
      <c r="T30" s="11"/>
      <c r="U30" s="11"/>
      <c r="V30" s="11"/>
      <c r="W30" s="11"/>
      <c r="X30" s="11"/>
      <c r="Y30" s="11"/>
      <c r="Z30" s="11"/>
    </row>
    <row r="31">
      <c r="A31" s="11"/>
      <c r="B31" s="23"/>
      <c r="C31" s="23"/>
      <c r="D31" s="23"/>
      <c r="E31" s="23"/>
      <c r="F31" s="19" t="s">
        <v>134</v>
      </c>
      <c r="G31" s="21" t="s">
        <v>135</v>
      </c>
      <c r="H31" s="22" t="s">
        <v>22</v>
      </c>
      <c r="I31" s="21" t="s">
        <v>136</v>
      </c>
      <c r="J31" s="21" t="s">
        <v>133</v>
      </c>
      <c r="K31" s="21"/>
      <c r="L31" s="11"/>
      <c r="M31" s="11"/>
      <c r="N31" s="11"/>
      <c r="O31" s="11"/>
      <c r="P31" s="11"/>
      <c r="Q31" s="11"/>
      <c r="R31" s="11"/>
      <c r="S31" s="11"/>
      <c r="T31" s="11"/>
      <c r="U31" s="11"/>
      <c r="V31" s="11"/>
      <c r="W31" s="11"/>
      <c r="X31" s="11"/>
      <c r="Y31" s="11"/>
      <c r="Z31" s="11"/>
    </row>
    <row r="32">
      <c r="A32" s="11"/>
      <c r="B32" s="24"/>
      <c r="C32" s="24"/>
      <c r="D32" s="24"/>
      <c r="E32" s="24"/>
      <c r="F32" s="19" t="s">
        <v>137</v>
      </c>
      <c r="G32" s="21" t="s">
        <v>138</v>
      </c>
      <c r="H32" s="22" t="s">
        <v>22</v>
      </c>
      <c r="I32" s="21" t="s">
        <v>139</v>
      </c>
      <c r="J32" s="21" t="s">
        <v>133</v>
      </c>
      <c r="K32" s="21"/>
      <c r="L32" s="11"/>
      <c r="M32" s="11"/>
      <c r="N32" s="11"/>
      <c r="O32" s="11"/>
      <c r="P32" s="11"/>
      <c r="Q32" s="11"/>
      <c r="R32" s="11"/>
      <c r="S32" s="11"/>
      <c r="T32" s="11"/>
      <c r="U32" s="11"/>
      <c r="V32" s="11"/>
      <c r="W32" s="11"/>
      <c r="X32" s="11"/>
      <c r="Y32" s="11"/>
      <c r="Z32" s="11"/>
    </row>
    <row r="33">
      <c r="A33" s="11"/>
      <c r="B33" s="17" t="s">
        <v>140</v>
      </c>
      <c r="C33" s="18" t="s">
        <v>141</v>
      </c>
      <c r="D33" s="19">
        <v>10.1</v>
      </c>
      <c r="E33" s="20" t="s">
        <v>142</v>
      </c>
      <c r="F33" s="15"/>
      <c r="G33" s="21" t="s">
        <v>143</v>
      </c>
      <c r="H33" s="22" t="s">
        <v>22</v>
      </c>
      <c r="I33" s="21" t="s">
        <v>144</v>
      </c>
      <c r="J33" s="21" t="s">
        <v>133</v>
      </c>
      <c r="K33" s="21" t="s">
        <v>145</v>
      </c>
      <c r="L33" s="11"/>
      <c r="M33" s="11"/>
      <c r="N33" s="11"/>
      <c r="O33" s="11"/>
      <c r="P33" s="11"/>
      <c r="Q33" s="11"/>
      <c r="R33" s="11"/>
      <c r="S33" s="11"/>
      <c r="T33" s="11"/>
      <c r="U33" s="11"/>
      <c r="V33" s="11"/>
      <c r="W33" s="11"/>
      <c r="X33" s="11"/>
      <c r="Y33" s="11"/>
      <c r="Z33" s="11"/>
    </row>
    <row r="34">
      <c r="A34" s="11"/>
      <c r="B34" s="24"/>
      <c r="C34" s="24"/>
      <c r="D34" s="19">
        <v>10.2</v>
      </c>
      <c r="E34" s="20" t="s">
        <v>146</v>
      </c>
      <c r="F34" s="15"/>
      <c r="G34" s="21" t="s">
        <v>147</v>
      </c>
      <c r="H34" s="22" t="s">
        <v>22</v>
      </c>
      <c r="I34" s="21" t="s">
        <v>148</v>
      </c>
      <c r="J34" s="21" t="s">
        <v>133</v>
      </c>
      <c r="K34" s="21"/>
      <c r="L34" s="11"/>
      <c r="M34" s="11"/>
      <c r="N34" s="11"/>
      <c r="O34" s="11"/>
      <c r="P34" s="11"/>
      <c r="Q34" s="11"/>
      <c r="R34" s="11"/>
      <c r="S34" s="11"/>
      <c r="T34" s="11"/>
      <c r="U34" s="11"/>
      <c r="V34" s="11"/>
      <c r="W34" s="11"/>
      <c r="X34" s="11"/>
      <c r="Y34" s="11"/>
      <c r="Z34" s="11"/>
    </row>
    <row r="35" ht="16.5" customHeight="1">
      <c r="A35" s="11"/>
      <c r="B35" s="11"/>
      <c r="C35" s="11"/>
      <c r="D35" s="11"/>
      <c r="E35" s="11"/>
      <c r="F35" s="11"/>
      <c r="G35" s="12"/>
      <c r="H35" s="11"/>
      <c r="I35" s="12"/>
      <c r="J35" s="12"/>
      <c r="K35" s="12"/>
      <c r="L35" s="11"/>
      <c r="M35" s="11"/>
      <c r="N35" s="11"/>
      <c r="O35" s="11"/>
      <c r="P35" s="11"/>
      <c r="Q35" s="11"/>
      <c r="R35" s="11"/>
      <c r="S35" s="11"/>
      <c r="T35" s="11"/>
      <c r="U35" s="11"/>
      <c r="V35" s="11"/>
      <c r="W35" s="11"/>
      <c r="X35" s="11"/>
      <c r="Y35" s="11"/>
      <c r="Z35" s="11"/>
    </row>
    <row r="36" ht="16.5" customHeight="1">
      <c r="A36" s="11"/>
      <c r="B36" s="11"/>
      <c r="C36" s="11"/>
      <c r="D36" s="11"/>
      <c r="E36" s="11"/>
      <c r="F36" s="11"/>
      <c r="G36" s="12"/>
      <c r="H36" s="11"/>
      <c r="I36" s="12"/>
      <c r="J36" s="12"/>
      <c r="K36" s="12"/>
      <c r="L36" s="11"/>
      <c r="M36" s="11"/>
      <c r="N36" s="11"/>
      <c r="O36" s="11"/>
      <c r="P36" s="11"/>
      <c r="Q36" s="11"/>
      <c r="R36" s="11"/>
      <c r="S36" s="11"/>
      <c r="T36" s="11"/>
      <c r="U36" s="11"/>
      <c r="V36" s="11"/>
      <c r="W36" s="11"/>
      <c r="X36" s="11"/>
      <c r="Y36" s="11"/>
      <c r="Z36" s="11"/>
    </row>
    <row r="37" ht="16.5" customHeight="1">
      <c r="A37" s="11"/>
      <c r="B37" s="11"/>
      <c r="C37" s="11"/>
      <c r="D37" s="11"/>
      <c r="E37" s="11"/>
      <c r="F37" s="11"/>
      <c r="G37" s="12"/>
      <c r="H37" s="11"/>
      <c r="I37" s="12"/>
      <c r="J37" s="12"/>
      <c r="K37" s="12"/>
      <c r="L37" s="11"/>
      <c r="M37" s="11"/>
      <c r="N37" s="11"/>
      <c r="O37" s="11"/>
      <c r="P37" s="11"/>
      <c r="Q37" s="11"/>
      <c r="R37" s="11"/>
      <c r="S37" s="11"/>
      <c r="T37" s="11"/>
      <c r="U37" s="11"/>
      <c r="V37" s="11"/>
      <c r="W37" s="11"/>
      <c r="X37" s="11"/>
      <c r="Y37" s="11"/>
      <c r="Z37" s="11"/>
    </row>
    <row r="38" ht="16.5" customHeight="1">
      <c r="A38" s="11"/>
      <c r="B38" s="11"/>
      <c r="C38" s="11"/>
      <c r="D38" s="11"/>
      <c r="E38" s="11"/>
      <c r="F38" s="11"/>
      <c r="G38" s="12"/>
      <c r="H38" s="11"/>
      <c r="I38" s="12"/>
      <c r="J38" s="12"/>
      <c r="K38" s="12"/>
      <c r="L38" s="11"/>
      <c r="M38" s="11"/>
      <c r="N38" s="11"/>
      <c r="O38" s="11"/>
      <c r="P38" s="11"/>
      <c r="Q38" s="11"/>
      <c r="R38" s="11"/>
      <c r="S38" s="11"/>
      <c r="T38" s="11"/>
      <c r="U38" s="11"/>
      <c r="V38" s="11"/>
      <c r="W38" s="11"/>
      <c r="X38" s="11"/>
      <c r="Y38" s="11"/>
      <c r="Z38" s="11"/>
    </row>
    <row r="39" ht="16.5" customHeight="1">
      <c r="A39" s="11"/>
      <c r="B39" s="11"/>
      <c r="C39" s="11"/>
      <c r="D39" s="11"/>
      <c r="E39" s="11"/>
      <c r="F39" s="11"/>
      <c r="G39" s="12"/>
      <c r="H39" s="11"/>
      <c r="I39" s="12"/>
      <c r="J39" s="12"/>
      <c r="K39" s="12"/>
      <c r="L39" s="11"/>
      <c r="M39" s="11"/>
      <c r="N39" s="11"/>
      <c r="O39" s="11"/>
      <c r="P39" s="11"/>
      <c r="Q39" s="11"/>
      <c r="R39" s="11"/>
      <c r="S39" s="11"/>
      <c r="T39" s="11"/>
      <c r="U39" s="11"/>
      <c r="V39" s="11"/>
      <c r="W39" s="11"/>
      <c r="X39" s="11"/>
      <c r="Y39" s="11"/>
      <c r="Z39" s="11"/>
    </row>
    <row r="40" ht="16.5" customHeight="1">
      <c r="A40" s="11"/>
      <c r="B40" s="11"/>
      <c r="C40" s="11"/>
      <c r="D40" s="11"/>
      <c r="E40" s="11"/>
      <c r="F40" s="11"/>
      <c r="G40" s="12"/>
      <c r="H40" s="11"/>
      <c r="I40" s="12"/>
      <c r="J40" s="12"/>
      <c r="K40" s="12"/>
      <c r="L40" s="11"/>
      <c r="M40" s="11"/>
      <c r="N40" s="11"/>
      <c r="O40" s="11"/>
      <c r="P40" s="11"/>
      <c r="Q40" s="11"/>
      <c r="R40" s="11"/>
      <c r="S40" s="11"/>
      <c r="T40" s="11"/>
      <c r="U40" s="11"/>
      <c r="V40" s="11"/>
      <c r="W40" s="11"/>
      <c r="X40" s="11"/>
      <c r="Y40" s="11"/>
      <c r="Z40" s="11"/>
    </row>
    <row r="41" ht="16.5" customHeight="1">
      <c r="A41" s="11"/>
      <c r="B41" s="11"/>
      <c r="C41" s="11"/>
      <c r="D41" s="11"/>
      <c r="E41" s="11"/>
      <c r="F41" s="11"/>
      <c r="G41" s="12"/>
      <c r="H41" s="11"/>
      <c r="I41" s="12"/>
      <c r="J41" s="12"/>
      <c r="K41" s="12"/>
      <c r="L41" s="11"/>
      <c r="M41" s="11"/>
      <c r="N41" s="11"/>
      <c r="O41" s="11"/>
      <c r="P41" s="11"/>
      <c r="Q41" s="11"/>
      <c r="R41" s="11"/>
      <c r="S41" s="11"/>
      <c r="T41" s="11"/>
      <c r="U41" s="11"/>
      <c r="V41" s="11"/>
      <c r="W41" s="11"/>
      <c r="X41" s="11"/>
      <c r="Y41" s="11"/>
      <c r="Z41" s="11"/>
    </row>
    <row r="42" ht="16.5" customHeight="1">
      <c r="A42" s="11"/>
      <c r="B42" s="11"/>
      <c r="C42" s="11"/>
      <c r="D42" s="11"/>
      <c r="E42" s="11"/>
      <c r="F42" s="11"/>
      <c r="G42" s="12"/>
      <c r="H42" s="11"/>
      <c r="I42" s="12"/>
      <c r="J42" s="12"/>
      <c r="K42" s="12"/>
      <c r="L42" s="11"/>
      <c r="M42" s="11"/>
      <c r="N42" s="11"/>
      <c r="O42" s="11"/>
      <c r="P42" s="11"/>
      <c r="Q42" s="11"/>
      <c r="R42" s="11"/>
      <c r="S42" s="11"/>
      <c r="T42" s="11"/>
      <c r="U42" s="11"/>
      <c r="V42" s="11"/>
      <c r="W42" s="11"/>
      <c r="X42" s="11"/>
      <c r="Y42" s="11"/>
      <c r="Z42" s="11"/>
    </row>
    <row r="43" ht="16.5" customHeight="1">
      <c r="A43" s="11"/>
      <c r="B43" s="11"/>
      <c r="C43" s="11"/>
      <c r="D43" s="11"/>
      <c r="E43" s="11"/>
      <c r="F43" s="11"/>
      <c r="G43" s="12"/>
      <c r="H43" s="11"/>
      <c r="I43" s="12"/>
      <c r="J43" s="12"/>
      <c r="K43" s="12"/>
      <c r="L43" s="11"/>
      <c r="M43" s="11"/>
      <c r="N43" s="11"/>
      <c r="O43" s="11"/>
      <c r="P43" s="11"/>
      <c r="Q43" s="11"/>
      <c r="R43" s="11"/>
      <c r="S43" s="11"/>
      <c r="T43" s="11"/>
      <c r="U43" s="11"/>
      <c r="V43" s="11"/>
      <c r="W43" s="11"/>
      <c r="X43" s="11"/>
      <c r="Y43" s="11"/>
      <c r="Z43" s="11"/>
    </row>
    <row r="44" ht="16.5" customHeight="1">
      <c r="A44" s="11"/>
      <c r="B44" s="11"/>
      <c r="C44" s="11"/>
      <c r="D44" s="11"/>
      <c r="E44" s="11"/>
      <c r="F44" s="11"/>
      <c r="G44" s="12"/>
      <c r="H44" s="11"/>
      <c r="I44" s="12"/>
      <c r="J44" s="12"/>
      <c r="K44" s="12"/>
      <c r="L44" s="11"/>
      <c r="M44" s="11"/>
      <c r="N44" s="11"/>
      <c r="O44" s="11"/>
      <c r="P44" s="11"/>
      <c r="Q44" s="11"/>
      <c r="R44" s="11"/>
      <c r="S44" s="11"/>
      <c r="T44" s="11"/>
      <c r="U44" s="11"/>
      <c r="V44" s="11"/>
      <c r="W44" s="11"/>
      <c r="X44" s="11"/>
      <c r="Y44" s="11"/>
      <c r="Z44" s="11"/>
    </row>
    <row r="45" ht="16.5" customHeight="1">
      <c r="A45" s="11"/>
      <c r="B45" s="11"/>
      <c r="C45" s="11"/>
      <c r="D45" s="11"/>
      <c r="E45" s="11"/>
      <c r="F45" s="11"/>
      <c r="G45" s="12"/>
      <c r="H45" s="11"/>
      <c r="I45" s="12"/>
      <c r="J45" s="12"/>
      <c r="K45" s="12"/>
      <c r="L45" s="11"/>
      <c r="M45" s="11"/>
      <c r="N45" s="11"/>
      <c r="O45" s="11"/>
      <c r="P45" s="11"/>
      <c r="Q45" s="11"/>
      <c r="R45" s="11"/>
      <c r="S45" s="11"/>
      <c r="T45" s="11"/>
      <c r="U45" s="11"/>
      <c r="V45" s="11"/>
      <c r="W45" s="11"/>
      <c r="X45" s="11"/>
      <c r="Y45" s="11"/>
      <c r="Z45" s="11"/>
    </row>
    <row r="46" ht="16.5" customHeight="1">
      <c r="A46" s="11"/>
      <c r="B46" s="11"/>
      <c r="C46" s="11"/>
      <c r="D46" s="11"/>
      <c r="E46" s="11"/>
      <c r="F46" s="11"/>
      <c r="G46" s="12"/>
      <c r="H46" s="11"/>
      <c r="I46" s="12"/>
      <c r="J46" s="12"/>
      <c r="K46" s="12"/>
      <c r="L46" s="11"/>
      <c r="M46" s="11"/>
      <c r="N46" s="11"/>
      <c r="O46" s="11"/>
      <c r="P46" s="11"/>
      <c r="Q46" s="11"/>
      <c r="R46" s="11"/>
      <c r="S46" s="11"/>
      <c r="T46" s="11"/>
      <c r="U46" s="11"/>
      <c r="V46" s="11"/>
      <c r="W46" s="11"/>
      <c r="X46" s="11"/>
      <c r="Y46" s="11"/>
      <c r="Z46" s="11"/>
    </row>
    <row r="47" ht="16.5" customHeight="1">
      <c r="A47" s="11"/>
      <c r="B47" s="11"/>
      <c r="C47" s="11"/>
      <c r="D47" s="11"/>
      <c r="E47" s="11"/>
      <c r="F47" s="11"/>
      <c r="G47" s="12"/>
      <c r="H47" s="11"/>
      <c r="I47" s="12"/>
      <c r="J47" s="12"/>
      <c r="K47" s="12"/>
      <c r="L47" s="11"/>
      <c r="M47" s="11"/>
      <c r="N47" s="11"/>
      <c r="O47" s="11"/>
      <c r="P47" s="11"/>
      <c r="Q47" s="11"/>
      <c r="R47" s="11"/>
      <c r="S47" s="11"/>
      <c r="T47" s="11"/>
      <c r="U47" s="11"/>
      <c r="V47" s="11"/>
      <c r="W47" s="11"/>
      <c r="X47" s="11"/>
      <c r="Y47" s="11"/>
      <c r="Z47" s="11"/>
    </row>
    <row r="48" ht="16.5" customHeight="1">
      <c r="A48" s="11"/>
      <c r="B48" s="11"/>
      <c r="C48" s="11"/>
      <c r="D48" s="11"/>
      <c r="E48" s="11"/>
      <c r="F48" s="11"/>
      <c r="G48" s="12"/>
      <c r="H48" s="11"/>
      <c r="I48" s="12"/>
      <c r="J48" s="12"/>
      <c r="K48" s="12"/>
      <c r="L48" s="11"/>
      <c r="M48" s="11"/>
      <c r="N48" s="11"/>
      <c r="O48" s="11"/>
      <c r="P48" s="11"/>
      <c r="Q48" s="11"/>
      <c r="R48" s="11"/>
      <c r="S48" s="11"/>
      <c r="T48" s="11"/>
      <c r="U48" s="11"/>
      <c r="V48" s="11"/>
      <c r="W48" s="11"/>
      <c r="X48" s="11"/>
      <c r="Y48" s="11"/>
      <c r="Z48" s="11"/>
    </row>
    <row r="49" ht="16.5" customHeight="1">
      <c r="A49" s="11"/>
      <c r="B49" s="11"/>
      <c r="C49" s="11"/>
      <c r="D49" s="11"/>
      <c r="E49" s="11"/>
      <c r="F49" s="11"/>
      <c r="G49" s="12"/>
      <c r="H49" s="11"/>
      <c r="I49" s="12"/>
      <c r="J49" s="12"/>
      <c r="K49" s="12"/>
      <c r="L49" s="11"/>
      <c r="M49" s="11"/>
      <c r="N49" s="11"/>
      <c r="O49" s="11"/>
      <c r="P49" s="11"/>
      <c r="Q49" s="11"/>
      <c r="R49" s="11"/>
      <c r="S49" s="11"/>
      <c r="T49" s="11"/>
      <c r="U49" s="11"/>
      <c r="V49" s="11"/>
      <c r="W49" s="11"/>
      <c r="X49" s="11"/>
      <c r="Y49" s="11"/>
      <c r="Z49" s="11"/>
    </row>
    <row r="50" ht="16.5" customHeight="1">
      <c r="A50" s="11"/>
      <c r="B50" s="11"/>
      <c r="C50" s="11"/>
      <c r="D50" s="11"/>
      <c r="E50" s="11"/>
      <c r="F50" s="11"/>
      <c r="G50" s="12"/>
      <c r="H50" s="11"/>
      <c r="I50" s="12"/>
      <c r="J50" s="12"/>
      <c r="K50" s="12"/>
      <c r="L50" s="11"/>
      <c r="M50" s="11"/>
      <c r="N50" s="11"/>
      <c r="O50" s="11"/>
      <c r="P50" s="11"/>
      <c r="Q50" s="11"/>
      <c r="R50" s="11"/>
      <c r="S50" s="11"/>
      <c r="T50" s="11"/>
      <c r="U50" s="11"/>
      <c r="V50" s="11"/>
      <c r="W50" s="11"/>
      <c r="X50" s="11"/>
      <c r="Y50" s="11"/>
      <c r="Z50" s="11"/>
    </row>
    <row r="51" ht="16.5" customHeight="1">
      <c r="A51" s="11"/>
      <c r="B51" s="11"/>
      <c r="C51" s="11"/>
      <c r="D51" s="11"/>
      <c r="E51" s="11"/>
      <c r="F51" s="11"/>
      <c r="G51" s="12"/>
      <c r="H51" s="11"/>
      <c r="I51" s="12"/>
      <c r="J51" s="12"/>
      <c r="K51" s="12"/>
      <c r="L51" s="11"/>
      <c r="M51" s="11"/>
      <c r="N51" s="11"/>
      <c r="O51" s="11"/>
      <c r="P51" s="11"/>
      <c r="Q51" s="11"/>
      <c r="R51" s="11"/>
      <c r="S51" s="11"/>
      <c r="T51" s="11"/>
      <c r="U51" s="11"/>
      <c r="V51" s="11"/>
      <c r="W51" s="11"/>
      <c r="X51" s="11"/>
      <c r="Y51" s="11"/>
      <c r="Z51" s="11"/>
    </row>
    <row r="52" ht="16.5" customHeight="1">
      <c r="A52" s="11"/>
      <c r="B52" s="11"/>
      <c r="C52" s="11"/>
      <c r="D52" s="11"/>
      <c r="E52" s="11"/>
      <c r="F52" s="11"/>
      <c r="G52" s="12"/>
      <c r="H52" s="11"/>
      <c r="I52" s="12"/>
      <c r="J52" s="12"/>
      <c r="K52" s="12"/>
      <c r="L52" s="11"/>
      <c r="M52" s="11"/>
      <c r="N52" s="11"/>
      <c r="O52" s="11"/>
      <c r="P52" s="11"/>
      <c r="Q52" s="11"/>
      <c r="R52" s="11"/>
      <c r="S52" s="11"/>
      <c r="T52" s="11"/>
      <c r="U52" s="11"/>
      <c r="V52" s="11"/>
      <c r="W52" s="11"/>
      <c r="X52" s="11"/>
      <c r="Y52" s="11"/>
      <c r="Z52" s="11"/>
    </row>
    <row r="53" ht="16.5" customHeight="1">
      <c r="A53" s="11"/>
      <c r="B53" s="11"/>
      <c r="C53" s="11"/>
      <c r="D53" s="11"/>
      <c r="E53" s="11"/>
      <c r="F53" s="11"/>
      <c r="G53" s="12"/>
      <c r="H53" s="11"/>
      <c r="I53" s="12"/>
      <c r="J53" s="12"/>
      <c r="K53" s="12"/>
      <c r="L53" s="11"/>
      <c r="M53" s="11"/>
      <c r="N53" s="11"/>
      <c r="O53" s="11"/>
      <c r="P53" s="11"/>
      <c r="Q53" s="11"/>
      <c r="R53" s="11"/>
      <c r="S53" s="11"/>
      <c r="T53" s="11"/>
      <c r="U53" s="11"/>
      <c r="V53" s="11"/>
      <c r="W53" s="11"/>
      <c r="X53" s="11"/>
      <c r="Y53" s="11"/>
      <c r="Z53" s="11"/>
    </row>
    <row r="54" ht="16.5" customHeight="1">
      <c r="A54" s="11"/>
      <c r="B54" s="11"/>
      <c r="C54" s="11"/>
      <c r="D54" s="11"/>
      <c r="E54" s="11"/>
      <c r="F54" s="11"/>
      <c r="G54" s="12"/>
      <c r="H54" s="11"/>
      <c r="I54" s="12"/>
      <c r="J54" s="12"/>
      <c r="K54" s="12"/>
      <c r="L54" s="11"/>
      <c r="M54" s="11"/>
      <c r="N54" s="11"/>
      <c r="O54" s="11"/>
      <c r="P54" s="11"/>
      <c r="Q54" s="11"/>
      <c r="R54" s="11"/>
      <c r="S54" s="11"/>
      <c r="T54" s="11"/>
      <c r="U54" s="11"/>
      <c r="V54" s="11"/>
      <c r="W54" s="11"/>
      <c r="X54" s="11"/>
      <c r="Y54" s="11"/>
      <c r="Z54" s="11"/>
    </row>
    <row r="55" ht="16.5" customHeight="1">
      <c r="A55" s="11"/>
      <c r="B55" s="11"/>
      <c r="C55" s="11"/>
      <c r="D55" s="11"/>
      <c r="E55" s="11"/>
      <c r="F55" s="11"/>
      <c r="G55" s="12"/>
      <c r="H55" s="11"/>
      <c r="I55" s="12"/>
      <c r="J55" s="12"/>
      <c r="K55" s="12"/>
      <c r="L55" s="11"/>
      <c r="M55" s="11"/>
      <c r="N55" s="11"/>
      <c r="O55" s="11"/>
      <c r="P55" s="11"/>
      <c r="Q55" s="11"/>
      <c r="R55" s="11"/>
      <c r="S55" s="11"/>
      <c r="T55" s="11"/>
      <c r="U55" s="11"/>
      <c r="V55" s="11"/>
      <c r="W55" s="11"/>
      <c r="X55" s="11"/>
      <c r="Y55" s="11"/>
      <c r="Z55" s="11"/>
    </row>
    <row r="56" ht="16.5" customHeight="1">
      <c r="A56" s="11"/>
      <c r="B56" s="11"/>
      <c r="C56" s="11"/>
      <c r="D56" s="11"/>
      <c r="E56" s="11"/>
      <c r="F56" s="11"/>
      <c r="G56" s="12"/>
      <c r="H56" s="11"/>
      <c r="I56" s="12"/>
      <c r="J56" s="12"/>
      <c r="K56" s="12"/>
      <c r="L56" s="11"/>
      <c r="M56" s="11"/>
      <c r="N56" s="11"/>
      <c r="O56" s="11"/>
      <c r="P56" s="11"/>
      <c r="Q56" s="11"/>
      <c r="R56" s="11"/>
      <c r="S56" s="11"/>
      <c r="T56" s="11"/>
      <c r="U56" s="11"/>
      <c r="V56" s="11"/>
      <c r="W56" s="11"/>
      <c r="X56" s="11"/>
      <c r="Y56" s="11"/>
      <c r="Z56" s="11"/>
    </row>
    <row r="57" ht="16.5" customHeight="1">
      <c r="A57" s="11"/>
      <c r="B57" s="11"/>
      <c r="C57" s="11"/>
      <c r="D57" s="11"/>
      <c r="E57" s="11"/>
      <c r="F57" s="11"/>
      <c r="G57" s="12"/>
      <c r="H57" s="11"/>
      <c r="I57" s="12"/>
      <c r="J57" s="12"/>
      <c r="K57" s="12"/>
      <c r="L57" s="11"/>
      <c r="M57" s="11"/>
      <c r="N57" s="11"/>
      <c r="O57" s="11"/>
      <c r="P57" s="11"/>
      <c r="Q57" s="11"/>
      <c r="R57" s="11"/>
      <c r="S57" s="11"/>
      <c r="T57" s="11"/>
      <c r="U57" s="11"/>
      <c r="V57" s="11"/>
      <c r="W57" s="11"/>
      <c r="X57" s="11"/>
      <c r="Y57" s="11"/>
      <c r="Z57" s="11"/>
    </row>
    <row r="58" ht="16.5" customHeight="1">
      <c r="A58" s="11"/>
      <c r="B58" s="11"/>
      <c r="C58" s="11"/>
      <c r="D58" s="11"/>
      <c r="E58" s="11"/>
      <c r="F58" s="11"/>
      <c r="G58" s="12"/>
      <c r="H58" s="11"/>
      <c r="I58" s="12"/>
      <c r="J58" s="12"/>
      <c r="K58" s="12"/>
      <c r="L58" s="11"/>
      <c r="M58" s="11"/>
      <c r="N58" s="11"/>
      <c r="O58" s="11"/>
      <c r="P58" s="11"/>
      <c r="Q58" s="11"/>
      <c r="R58" s="11"/>
      <c r="S58" s="11"/>
      <c r="T58" s="11"/>
      <c r="U58" s="11"/>
      <c r="V58" s="11"/>
      <c r="W58" s="11"/>
      <c r="X58" s="11"/>
      <c r="Y58" s="11"/>
      <c r="Z58" s="11"/>
    </row>
    <row r="59" ht="16.5" customHeight="1">
      <c r="A59" s="11"/>
      <c r="B59" s="11"/>
      <c r="C59" s="11"/>
      <c r="D59" s="11"/>
      <c r="E59" s="11"/>
      <c r="F59" s="11"/>
      <c r="G59" s="12"/>
      <c r="H59" s="11"/>
      <c r="I59" s="12"/>
      <c r="J59" s="12"/>
      <c r="K59" s="12"/>
      <c r="L59" s="11"/>
      <c r="M59" s="11"/>
      <c r="N59" s="11"/>
      <c r="O59" s="11"/>
      <c r="P59" s="11"/>
      <c r="Q59" s="11"/>
      <c r="R59" s="11"/>
      <c r="S59" s="11"/>
      <c r="T59" s="11"/>
      <c r="U59" s="11"/>
      <c r="V59" s="11"/>
      <c r="W59" s="11"/>
      <c r="X59" s="11"/>
      <c r="Y59" s="11"/>
      <c r="Z59" s="11"/>
    </row>
    <row r="60" ht="16.5" customHeight="1">
      <c r="A60" s="11"/>
      <c r="B60" s="11"/>
      <c r="C60" s="11"/>
      <c r="D60" s="11"/>
      <c r="E60" s="11"/>
      <c r="F60" s="11"/>
      <c r="G60" s="12"/>
      <c r="H60" s="11"/>
      <c r="I60" s="12"/>
      <c r="J60" s="12"/>
      <c r="K60" s="12"/>
      <c r="L60" s="11"/>
      <c r="M60" s="11"/>
      <c r="N60" s="11"/>
      <c r="O60" s="11"/>
      <c r="P60" s="11"/>
      <c r="Q60" s="11"/>
      <c r="R60" s="11"/>
      <c r="S60" s="11"/>
      <c r="T60" s="11"/>
      <c r="U60" s="11"/>
      <c r="V60" s="11"/>
      <c r="W60" s="11"/>
      <c r="X60" s="11"/>
      <c r="Y60" s="11"/>
      <c r="Z60" s="11"/>
    </row>
    <row r="61" ht="16.5" customHeight="1">
      <c r="A61" s="11"/>
      <c r="B61" s="11"/>
      <c r="C61" s="11"/>
      <c r="D61" s="11"/>
      <c r="E61" s="11"/>
      <c r="F61" s="11"/>
      <c r="G61" s="12"/>
      <c r="H61" s="11"/>
      <c r="I61" s="12"/>
      <c r="J61" s="12"/>
      <c r="K61" s="12"/>
      <c r="L61" s="11"/>
      <c r="M61" s="11"/>
      <c r="N61" s="11"/>
      <c r="O61" s="11"/>
      <c r="P61" s="11"/>
      <c r="Q61" s="11"/>
      <c r="R61" s="11"/>
      <c r="S61" s="11"/>
      <c r="T61" s="11"/>
      <c r="U61" s="11"/>
      <c r="V61" s="11"/>
      <c r="W61" s="11"/>
      <c r="X61" s="11"/>
      <c r="Y61" s="11"/>
      <c r="Z61" s="11"/>
    </row>
    <row r="62" ht="16.5" customHeight="1">
      <c r="A62" s="11"/>
      <c r="B62" s="11"/>
      <c r="C62" s="11"/>
      <c r="D62" s="11"/>
      <c r="E62" s="11"/>
      <c r="F62" s="11"/>
      <c r="G62" s="12"/>
      <c r="H62" s="11"/>
      <c r="I62" s="12"/>
      <c r="J62" s="12"/>
      <c r="K62" s="12"/>
      <c r="L62" s="11"/>
      <c r="M62" s="11"/>
      <c r="N62" s="11"/>
      <c r="O62" s="11"/>
      <c r="P62" s="11"/>
      <c r="Q62" s="11"/>
      <c r="R62" s="11"/>
      <c r="S62" s="11"/>
      <c r="T62" s="11"/>
      <c r="U62" s="11"/>
      <c r="V62" s="11"/>
      <c r="W62" s="11"/>
      <c r="X62" s="11"/>
      <c r="Y62" s="11"/>
      <c r="Z62" s="11"/>
    </row>
    <row r="63" ht="16.5" customHeight="1">
      <c r="A63" s="11"/>
      <c r="B63" s="11"/>
      <c r="C63" s="11"/>
      <c r="D63" s="11"/>
      <c r="E63" s="11"/>
      <c r="F63" s="11"/>
      <c r="G63" s="12"/>
      <c r="H63" s="11"/>
      <c r="I63" s="12"/>
      <c r="J63" s="12"/>
      <c r="K63" s="12"/>
      <c r="L63" s="11"/>
      <c r="M63" s="11"/>
      <c r="N63" s="11"/>
      <c r="O63" s="11"/>
      <c r="P63" s="11"/>
      <c r="Q63" s="11"/>
      <c r="R63" s="11"/>
      <c r="S63" s="11"/>
      <c r="T63" s="11"/>
      <c r="U63" s="11"/>
      <c r="V63" s="11"/>
      <c r="W63" s="11"/>
      <c r="X63" s="11"/>
      <c r="Y63" s="11"/>
      <c r="Z63" s="11"/>
    </row>
    <row r="64" ht="16.5" customHeight="1">
      <c r="A64" s="11"/>
      <c r="B64" s="11"/>
      <c r="C64" s="11"/>
      <c r="D64" s="11"/>
      <c r="E64" s="11"/>
      <c r="F64" s="11"/>
      <c r="G64" s="12"/>
      <c r="H64" s="11"/>
      <c r="I64" s="12"/>
      <c r="J64" s="12"/>
      <c r="K64" s="12"/>
      <c r="L64" s="11"/>
      <c r="M64" s="11"/>
      <c r="N64" s="11"/>
      <c r="O64" s="11"/>
      <c r="P64" s="11"/>
      <c r="Q64" s="11"/>
      <c r="R64" s="11"/>
      <c r="S64" s="11"/>
      <c r="T64" s="11"/>
      <c r="U64" s="11"/>
      <c r="V64" s="11"/>
      <c r="W64" s="11"/>
      <c r="X64" s="11"/>
      <c r="Y64" s="11"/>
      <c r="Z64" s="11"/>
    </row>
    <row r="65" ht="16.5" customHeight="1">
      <c r="A65" s="11"/>
      <c r="B65" s="11"/>
      <c r="C65" s="11"/>
      <c r="D65" s="11"/>
      <c r="E65" s="11"/>
      <c r="F65" s="11"/>
      <c r="G65" s="12"/>
      <c r="H65" s="11"/>
      <c r="I65" s="12"/>
      <c r="J65" s="12"/>
      <c r="K65" s="12"/>
      <c r="L65" s="11"/>
      <c r="M65" s="11"/>
      <c r="N65" s="11"/>
      <c r="O65" s="11"/>
      <c r="P65" s="11"/>
      <c r="Q65" s="11"/>
      <c r="R65" s="11"/>
      <c r="S65" s="11"/>
      <c r="T65" s="11"/>
      <c r="U65" s="11"/>
      <c r="V65" s="11"/>
      <c r="W65" s="11"/>
      <c r="X65" s="11"/>
      <c r="Y65" s="11"/>
      <c r="Z65" s="11"/>
    </row>
    <row r="66" ht="16.5" customHeight="1">
      <c r="A66" s="11"/>
      <c r="B66" s="11"/>
      <c r="C66" s="11"/>
      <c r="D66" s="11"/>
      <c r="E66" s="11"/>
      <c r="F66" s="11"/>
      <c r="G66" s="12"/>
      <c r="H66" s="11"/>
      <c r="I66" s="12"/>
      <c r="J66" s="12"/>
      <c r="K66" s="12"/>
      <c r="L66" s="11"/>
      <c r="M66" s="11"/>
      <c r="N66" s="11"/>
      <c r="O66" s="11"/>
      <c r="P66" s="11"/>
      <c r="Q66" s="11"/>
      <c r="R66" s="11"/>
      <c r="S66" s="11"/>
      <c r="T66" s="11"/>
      <c r="U66" s="11"/>
      <c r="V66" s="11"/>
      <c r="W66" s="11"/>
      <c r="X66" s="11"/>
      <c r="Y66" s="11"/>
      <c r="Z66" s="11"/>
    </row>
    <row r="67" ht="16.5" customHeight="1">
      <c r="A67" s="11"/>
      <c r="B67" s="11"/>
      <c r="C67" s="11"/>
      <c r="D67" s="11"/>
      <c r="E67" s="11"/>
      <c r="F67" s="11"/>
      <c r="G67" s="12"/>
      <c r="H67" s="11"/>
      <c r="I67" s="12"/>
      <c r="J67" s="12"/>
      <c r="K67" s="12"/>
      <c r="L67" s="11"/>
      <c r="M67" s="11"/>
      <c r="N67" s="11"/>
      <c r="O67" s="11"/>
      <c r="P67" s="11"/>
      <c r="Q67" s="11"/>
      <c r="R67" s="11"/>
      <c r="S67" s="11"/>
      <c r="T67" s="11"/>
      <c r="U67" s="11"/>
      <c r="V67" s="11"/>
      <c r="W67" s="11"/>
      <c r="X67" s="11"/>
      <c r="Y67" s="11"/>
      <c r="Z67" s="11"/>
    </row>
    <row r="68" ht="16.5" customHeight="1">
      <c r="A68" s="11"/>
      <c r="B68" s="11"/>
      <c r="C68" s="11"/>
      <c r="D68" s="11"/>
      <c r="E68" s="11"/>
      <c r="F68" s="11"/>
      <c r="G68" s="12"/>
      <c r="H68" s="11"/>
      <c r="I68" s="12"/>
      <c r="J68" s="12"/>
      <c r="K68" s="12"/>
      <c r="L68" s="11"/>
      <c r="M68" s="11"/>
      <c r="N68" s="11"/>
      <c r="O68" s="11"/>
      <c r="P68" s="11"/>
      <c r="Q68" s="11"/>
      <c r="R68" s="11"/>
      <c r="S68" s="11"/>
      <c r="T68" s="11"/>
      <c r="U68" s="11"/>
      <c r="V68" s="11"/>
      <c r="W68" s="11"/>
      <c r="X68" s="11"/>
      <c r="Y68" s="11"/>
      <c r="Z68" s="11"/>
    </row>
    <row r="69" ht="16.5" customHeight="1">
      <c r="A69" s="11"/>
      <c r="B69" s="11"/>
      <c r="C69" s="11"/>
      <c r="D69" s="11"/>
      <c r="E69" s="11"/>
      <c r="F69" s="11"/>
      <c r="G69" s="12"/>
      <c r="H69" s="11"/>
      <c r="I69" s="12"/>
      <c r="J69" s="12"/>
      <c r="K69" s="12"/>
      <c r="L69" s="11"/>
      <c r="M69" s="11"/>
      <c r="N69" s="11"/>
      <c r="O69" s="11"/>
      <c r="P69" s="11"/>
      <c r="Q69" s="11"/>
      <c r="R69" s="11"/>
      <c r="S69" s="11"/>
      <c r="T69" s="11"/>
      <c r="U69" s="11"/>
      <c r="V69" s="11"/>
      <c r="W69" s="11"/>
      <c r="X69" s="11"/>
      <c r="Y69" s="11"/>
      <c r="Z69" s="11"/>
    </row>
    <row r="70" ht="16.5" customHeight="1">
      <c r="A70" s="11"/>
      <c r="B70" s="11"/>
      <c r="C70" s="11"/>
      <c r="D70" s="11"/>
      <c r="E70" s="11"/>
      <c r="F70" s="11"/>
      <c r="G70" s="12"/>
      <c r="H70" s="11"/>
      <c r="I70" s="12"/>
      <c r="J70" s="12"/>
      <c r="K70" s="12"/>
      <c r="L70" s="11"/>
      <c r="M70" s="11"/>
      <c r="N70" s="11"/>
      <c r="O70" s="11"/>
      <c r="P70" s="11"/>
      <c r="Q70" s="11"/>
      <c r="R70" s="11"/>
      <c r="S70" s="11"/>
      <c r="T70" s="11"/>
      <c r="U70" s="11"/>
      <c r="V70" s="11"/>
      <c r="W70" s="11"/>
      <c r="X70" s="11"/>
      <c r="Y70" s="11"/>
      <c r="Z70" s="11"/>
    </row>
    <row r="71" ht="16.5" customHeight="1">
      <c r="A71" s="11"/>
      <c r="B71" s="11"/>
      <c r="C71" s="11"/>
      <c r="D71" s="11"/>
      <c r="E71" s="11"/>
      <c r="F71" s="11"/>
      <c r="G71" s="12"/>
      <c r="H71" s="11"/>
      <c r="I71" s="12"/>
      <c r="J71" s="12"/>
      <c r="K71" s="12"/>
      <c r="L71" s="11"/>
      <c r="M71" s="11"/>
      <c r="N71" s="11"/>
      <c r="O71" s="11"/>
      <c r="P71" s="11"/>
      <c r="Q71" s="11"/>
      <c r="R71" s="11"/>
      <c r="S71" s="11"/>
      <c r="T71" s="11"/>
      <c r="U71" s="11"/>
      <c r="V71" s="11"/>
      <c r="W71" s="11"/>
      <c r="X71" s="11"/>
      <c r="Y71" s="11"/>
      <c r="Z71" s="11"/>
    </row>
    <row r="72" ht="16.5" customHeight="1">
      <c r="A72" s="11"/>
      <c r="B72" s="11"/>
      <c r="C72" s="11"/>
      <c r="D72" s="11"/>
      <c r="E72" s="11"/>
      <c r="F72" s="11"/>
      <c r="G72" s="12"/>
      <c r="H72" s="11"/>
      <c r="I72" s="12"/>
      <c r="J72" s="12"/>
      <c r="K72" s="12"/>
      <c r="L72" s="11"/>
      <c r="M72" s="11"/>
      <c r="N72" s="11"/>
      <c r="O72" s="11"/>
      <c r="P72" s="11"/>
      <c r="Q72" s="11"/>
      <c r="R72" s="11"/>
      <c r="S72" s="11"/>
      <c r="T72" s="11"/>
      <c r="U72" s="11"/>
      <c r="V72" s="11"/>
      <c r="W72" s="11"/>
      <c r="X72" s="11"/>
      <c r="Y72" s="11"/>
      <c r="Z72" s="11"/>
    </row>
    <row r="73" ht="16.5" customHeight="1">
      <c r="A73" s="11"/>
      <c r="B73" s="11"/>
      <c r="C73" s="11"/>
      <c r="D73" s="11"/>
      <c r="E73" s="11"/>
      <c r="F73" s="11"/>
      <c r="G73" s="12"/>
      <c r="H73" s="11"/>
      <c r="I73" s="12"/>
      <c r="J73" s="12"/>
      <c r="K73" s="12"/>
      <c r="L73" s="11"/>
      <c r="M73" s="11"/>
      <c r="N73" s="11"/>
      <c r="O73" s="11"/>
      <c r="P73" s="11"/>
      <c r="Q73" s="11"/>
      <c r="R73" s="11"/>
      <c r="S73" s="11"/>
      <c r="T73" s="11"/>
      <c r="U73" s="11"/>
      <c r="V73" s="11"/>
      <c r="W73" s="11"/>
      <c r="X73" s="11"/>
      <c r="Y73" s="11"/>
      <c r="Z73" s="11"/>
    </row>
    <row r="74" ht="16.5" customHeight="1">
      <c r="A74" s="11"/>
      <c r="B74" s="11"/>
      <c r="C74" s="11"/>
      <c r="D74" s="11"/>
      <c r="E74" s="11"/>
      <c r="F74" s="11"/>
      <c r="G74" s="12"/>
      <c r="H74" s="11"/>
      <c r="I74" s="12"/>
      <c r="J74" s="12"/>
      <c r="K74" s="12"/>
      <c r="L74" s="11"/>
      <c r="M74" s="11"/>
      <c r="N74" s="11"/>
      <c r="O74" s="11"/>
      <c r="P74" s="11"/>
      <c r="Q74" s="11"/>
      <c r="R74" s="11"/>
      <c r="S74" s="11"/>
      <c r="T74" s="11"/>
      <c r="U74" s="11"/>
      <c r="V74" s="11"/>
      <c r="W74" s="11"/>
      <c r="X74" s="11"/>
      <c r="Y74" s="11"/>
      <c r="Z74" s="11"/>
    </row>
    <row r="75" ht="16.5" customHeight="1">
      <c r="A75" s="11"/>
      <c r="B75" s="11"/>
      <c r="C75" s="11"/>
      <c r="D75" s="11"/>
      <c r="E75" s="11"/>
      <c r="F75" s="11"/>
      <c r="G75" s="12"/>
      <c r="H75" s="11"/>
      <c r="I75" s="12"/>
      <c r="J75" s="12"/>
      <c r="K75" s="12"/>
      <c r="L75" s="11"/>
      <c r="M75" s="11"/>
      <c r="N75" s="11"/>
      <c r="O75" s="11"/>
      <c r="P75" s="11"/>
      <c r="Q75" s="11"/>
      <c r="R75" s="11"/>
      <c r="S75" s="11"/>
      <c r="T75" s="11"/>
      <c r="U75" s="11"/>
      <c r="V75" s="11"/>
      <c r="W75" s="11"/>
      <c r="X75" s="11"/>
      <c r="Y75" s="11"/>
      <c r="Z75" s="11"/>
    </row>
    <row r="76" ht="16.5" customHeight="1">
      <c r="A76" s="11"/>
      <c r="B76" s="11"/>
      <c r="C76" s="11"/>
      <c r="D76" s="11"/>
      <c r="E76" s="11"/>
      <c r="F76" s="11"/>
      <c r="G76" s="12"/>
      <c r="H76" s="11"/>
      <c r="I76" s="12"/>
      <c r="J76" s="12"/>
      <c r="K76" s="12"/>
      <c r="L76" s="11"/>
      <c r="M76" s="11"/>
      <c r="N76" s="11"/>
      <c r="O76" s="11"/>
      <c r="P76" s="11"/>
      <c r="Q76" s="11"/>
      <c r="R76" s="11"/>
      <c r="S76" s="11"/>
      <c r="T76" s="11"/>
      <c r="U76" s="11"/>
      <c r="V76" s="11"/>
      <c r="W76" s="11"/>
      <c r="X76" s="11"/>
      <c r="Y76" s="11"/>
      <c r="Z76" s="11"/>
    </row>
    <row r="77" ht="16.5" customHeight="1">
      <c r="A77" s="11"/>
      <c r="B77" s="11"/>
      <c r="C77" s="11"/>
      <c r="D77" s="11"/>
      <c r="E77" s="11"/>
      <c r="F77" s="11"/>
      <c r="G77" s="12"/>
      <c r="H77" s="11"/>
      <c r="I77" s="12"/>
      <c r="J77" s="12"/>
      <c r="K77" s="12"/>
      <c r="L77" s="11"/>
      <c r="M77" s="11"/>
      <c r="N77" s="11"/>
      <c r="O77" s="11"/>
      <c r="P77" s="11"/>
      <c r="Q77" s="11"/>
      <c r="R77" s="11"/>
      <c r="S77" s="11"/>
      <c r="T77" s="11"/>
      <c r="U77" s="11"/>
      <c r="V77" s="11"/>
      <c r="W77" s="11"/>
      <c r="X77" s="11"/>
      <c r="Y77" s="11"/>
      <c r="Z77" s="11"/>
    </row>
    <row r="78" ht="16.5" customHeight="1">
      <c r="A78" s="11"/>
      <c r="B78" s="11"/>
      <c r="C78" s="11"/>
      <c r="D78" s="11"/>
      <c r="E78" s="11"/>
      <c r="F78" s="11"/>
      <c r="G78" s="12"/>
      <c r="H78" s="11"/>
      <c r="I78" s="12"/>
      <c r="J78" s="12"/>
      <c r="K78" s="12"/>
      <c r="L78" s="11"/>
      <c r="M78" s="11"/>
      <c r="N78" s="11"/>
      <c r="O78" s="11"/>
      <c r="P78" s="11"/>
      <c r="Q78" s="11"/>
      <c r="R78" s="11"/>
      <c r="S78" s="11"/>
      <c r="T78" s="11"/>
      <c r="U78" s="11"/>
      <c r="V78" s="11"/>
      <c r="W78" s="11"/>
      <c r="X78" s="11"/>
      <c r="Y78" s="11"/>
      <c r="Z78" s="11"/>
    </row>
    <row r="79" ht="16.5" customHeight="1">
      <c r="A79" s="11"/>
      <c r="B79" s="11"/>
      <c r="C79" s="11"/>
      <c r="D79" s="11"/>
      <c r="E79" s="11"/>
      <c r="F79" s="11"/>
      <c r="G79" s="12"/>
      <c r="H79" s="11"/>
      <c r="I79" s="12"/>
      <c r="J79" s="12"/>
      <c r="K79" s="12"/>
      <c r="L79" s="11"/>
      <c r="M79" s="11"/>
      <c r="N79" s="11"/>
      <c r="O79" s="11"/>
      <c r="P79" s="11"/>
      <c r="Q79" s="11"/>
      <c r="R79" s="11"/>
      <c r="S79" s="11"/>
      <c r="T79" s="11"/>
      <c r="U79" s="11"/>
      <c r="V79" s="11"/>
      <c r="W79" s="11"/>
      <c r="X79" s="11"/>
      <c r="Y79" s="11"/>
      <c r="Z79" s="11"/>
    </row>
    <row r="80" ht="16.5" customHeight="1">
      <c r="A80" s="11"/>
      <c r="B80" s="11"/>
      <c r="C80" s="11"/>
      <c r="D80" s="11"/>
      <c r="E80" s="11"/>
      <c r="F80" s="11"/>
      <c r="G80" s="12"/>
      <c r="H80" s="11"/>
      <c r="I80" s="12"/>
      <c r="J80" s="12"/>
      <c r="K80" s="12"/>
      <c r="L80" s="11"/>
      <c r="M80" s="11"/>
      <c r="N80" s="11"/>
      <c r="O80" s="11"/>
      <c r="P80" s="11"/>
      <c r="Q80" s="11"/>
      <c r="R80" s="11"/>
      <c r="S80" s="11"/>
      <c r="T80" s="11"/>
      <c r="U80" s="11"/>
      <c r="V80" s="11"/>
      <c r="W80" s="11"/>
      <c r="X80" s="11"/>
      <c r="Y80" s="11"/>
      <c r="Z80" s="11"/>
    </row>
    <row r="81" ht="16.5" customHeight="1">
      <c r="A81" s="11"/>
      <c r="B81" s="11"/>
      <c r="C81" s="11"/>
      <c r="D81" s="11"/>
      <c r="E81" s="11"/>
      <c r="F81" s="11"/>
      <c r="G81" s="12"/>
      <c r="H81" s="11"/>
      <c r="I81" s="12"/>
      <c r="J81" s="12"/>
      <c r="K81" s="12"/>
      <c r="L81" s="11"/>
      <c r="M81" s="11"/>
      <c r="N81" s="11"/>
      <c r="O81" s="11"/>
      <c r="P81" s="11"/>
      <c r="Q81" s="11"/>
      <c r="R81" s="11"/>
      <c r="S81" s="11"/>
      <c r="T81" s="11"/>
      <c r="U81" s="11"/>
      <c r="V81" s="11"/>
      <c r="W81" s="11"/>
      <c r="X81" s="11"/>
      <c r="Y81" s="11"/>
      <c r="Z81" s="11"/>
    </row>
    <row r="82" ht="16.5" customHeight="1">
      <c r="A82" s="11"/>
      <c r="B82" s="11"/>
      <c r="C82" s="11"/>
      <c r="D82" s="11"/>
      <c r="E82" s="11"/>
      <c r="F82" s="11"/>
      <c r="G82" s="12"/>
      <c r="H82" s="11"/>
      <c r="I82" s="12"/>
      <c r="J82" s="12"/>
      <c r="K82" s="12"/>
      <c r="L82" s="11"/>
      <c r="M82" s="11"/>
      <c r="N82" s="11"/>
      <c r="O82" s="11"/>
      <c r="P82" s="11"/>
      <c r="Q82" s="11"/>
      <c r="R82" s="11"/>
      <c r="S82" s="11"/>
      <c r="T82" s="11"/>
      <c r="U82" s="11"/>
      <c r="V82" s="11"/>
      <c r="W82" s="11"/>
      <c r="X82" s="11"/>
      <c r="Y82" s="11"/>
      <c r="Z82" s="11"/>
    </row>
    <row r="83" ht="16.5" customHeight="1">
      <c r="A83" s="11"/>
      <c r="B83" s="11"/>
      <c r="C83" s="11"/>
      <c r="D83" s="11"/>
      <c r="E83" s="11"/>
      <c r="F83" s="11"/>
      <c r="G83" s="12"/>
      <c r="H83" s="11"/>
      <c r="I83" s="12"/>
      <c r="J83" s="12"/>
      <c r="K83" s="12"/>
      <c r="L83" s="11"/>
      <c r="M83" s="11"/>
      <c r="N83" s="11"/>
      <c r="O83" s="11"/>
      <c r="P83" s="11"/>
      <c r="Q83" s="11"/>
      <c r="R83" s="11"/>
      <c r="S83" s="11"/>
      <c r="T83" s="11"/>
      <c r="U83" s="11"/>
      <c r="V83" s="11"/>
      <c r="W83" s="11"/>
      <c r="X83" s="11"/>
      <c r="Y83" s="11"/>
      <c r="Z83" s="11"/>
    </row>
    <row r="84" ht="16.5" customHeight="1">
      <c r="A84" s="11"/>
      <c r="B84" s="11"/>
      <c r="C84" s="11"/>
      <c r="D84" s="11"/>
      <c r="E84" s="11"/>
      <c r="F84" s="11"/>
      <c r="G84" s="12"/>
      <c r="H84" s="11"/>
      <c r="I84" s="12"/>
      <c r="J84" s="12"/>
      <c r="K84" s="12"/>
      <c r="L84" s="11"/>
      <c r="M84" s="11"/>
      <c r="N84" s="11"/>
      <c r="O84" s="11"/>
      <c r="P84" s="11"/>
      <c r="Q84" s="11"/>
      <c r="R84" s="11"/>
      <c r="S84" s="11"/>
      <c r="T84" s="11"/>
      <c r="U84" s="11"/>
      <c r="V84" s="11"/>
      <c r="W84" s="11"/>
      <c r="X84" s="11"/>
      <c r="Y84" s="11"/>
      <c r="Z84" s="11"/>
    </row>
    <row r="85" ht="16.5" customHeight="1">
      <c r="A85" s="11"/>
      <c r="B85" s="11"/>
      <c r="C85" s="11"/>
      <c r="D85" s="11"/>
      <c r="E85" s="11"/>
      <c r="F85" s="11"/>
      <c r="G85" s="12"/>
      <c r="H85" s="11"/>
      <c r="I85" s="12"/>
      <c r="J85" s="12"/>
      <c r="K85" s="12"/>
      <c r="L85" s="11"/>
      <c r="M85" s="11"/>
      <c r="N85" s="11"/>
      <c r="O85" s="11"/>
      <c r="P85" s="11"/>
      <c r="Q85" s="11"/>
      <c r="R85" s="11"/>
      <c r="S85" s="11"/>
      <c r="T85" s="11"/>
      <c r="U85" s="11"/>
      <c r="V85" s="11"/>
      <c r="W85" s="11"/>
      <c r="X85" s="11"/>
      <c r="Y85" s="11"/>
      <c r="Z85" s="11"/>
    </row>
    <row r="86" ht="16.5" customHeight="1">
      <c r="A86" s="11"/>
      <c r="B86" s="11"/>
      <c r="C86" s="11"/>
      <c r="D86" s="11"/>
      <c r="E86" s="11"/>
      <c r="F86" s="11"/>
      <c r="G86" s="12"/>
      <c r="H86" s="11"/>
      <c r="I86" s="12"/>
      <c r="J86" s="12"/>
      <c r="K86" s="12"/>
      <c r="L86" s="11"/>
      <c r="M86" s="11"/>
      <c r="N86" s="11"/>
      <c r="O86" s="11"/>
      <c r="P86" s="11"/>
      <c r="Q86" s="11"/>
      <c r="R86" s="11"/>
      <c r="S86" s="11"/>
      <c r="T86" s="11"/>
      <c r="U86" s="11"/>
      <c r="V86" s="11"/>
      <c r="W86" s="11"/>
      <c r="X86" s="11"/>
      <c r="Y86" s="11"/>
      <c r="Z86" s="11"/>
    </row>
    <row r="87" ht="16.5" customHeight="1">
      <c r="A87" s="11"/>
      <c r="B87" s="11"/>
      <c r="C87" s="11"/>
      <c r="D87" s="11"/>
      <c r="E87" s="11"/>
      <c r="F87" s="11"/>
      <c r="G87" s="12"/>
      <c r="H87" s="11"/>
      <c r="I87" s="12"/>
      <c r="J87" s="12"/>
      <c r="K87" s="12"/>
      <c r="L87" s="11"/>
      <c r="M87" s="11"/>
      <c r="N87" s="11"/>
      <c r="O87" s="11"/>
      <c r="P87" s="11"/>
      <c r="Q87" s="11"/>
      <c r="R87" s="11"/>
      <c r="S87" s="11"/>
      <c r="T87" s="11"/>
      <c r="U87" s="11"/>
      <c r="V87" s="11"/>
      <c r="W87" s="11"/>
      <c r="X87" s="11"/>
      <c r="Y87" s="11"/>
      <c r="Z87" s="11"/>
    </row>
    <row r="88" ht="16.5" customHeight="1">
      <c r="A88" s="11"/>
      <c r="B88" s="11"/>
      <c r="C88" s="11"/>
      <c r="D88" s="11"/>
      <c r="E88" s="11"/>
      <c r="F88" s="11"/>
      <c r="G88" s="12"/>
      <c r="H88" s="11"/>
      <c r="I88" s="12"/>
      <c r="J88" s="12"/>
      <c r="K88" s="12"/>
      <c r="L88" s="11"/>
      <c r="M88" s="11"/>
      <c r="N88" s="11"/>
      <c r="O88" s="11"/>
      <c r="P88" s="11"/>
      <c r="Q88" s="11"/>
      <c r="R88" s="11"/>
      <c r="S88" s="11"/>
      <c r="T88" s="11"/>
      <c r="U88" s="11"/>
      <c r="V88" s="11"/>
      <c r="W88" s="11"/>
      <c r="X88" s="11"/>
      <c r="Y88" s="11"/>
      <c r="Z88" s="11"/>
    </row>
    <row r="89" ht="16.5" customHeight="1">
      <c r="A89" s="11"/>
      <c r="B89" s="11"/>
      <c r="C89" s="11"/>
      <c r="D89" s="11"/>
      <c r="E89" s="11"/>
      <c r="F89" s="11"/>
      <c r="G89" s="12"/>
      <c r="H89" s="11"/>
      <c r="I89" s="12"/>
      <c r="J89" s="12"/>
      <c r="K89" s="12"/>
      <c r="L89" s="11"/>
      <c r="M89" s="11"/>
      <c r="N89" s="11"/>
      <c r="O89" s="11"/>
      <c r="P89" s="11"/>
      <c r="Q89" s="11"/>
      <c r="R89" s="11"/>
      <c r="S89" s="11"/>
      <c r="T89" s="11"/>
      <c r="U89" s="11"/>
      <c r="V89" s="11"/>
      <c r="W89" s="11"/>
      <c r="X89" s="11"/>
      <c r="Y89" s="11"/>
      <c r="Z89" s="11"/>
    </row>
    <row r="90" ht="16.5" customHeight="1">
      <c r="A90" s="11"/>
      <c r="B90" s="11"/>
      <c r="C90" s="11"/>
      <c r="D90" s="11"/>
      <c r="E90" s="11"/>
      <c r="F90" s="11"/>
      <c r="G90" s="12"/>
      <c r="H90" s="11"/>
      <c r="I90" s="12"/>
      <c r="J90" s="12"/>
      <c r="K90" s="12"/>
      <c r="L90" s="11"/>
      <c r="M90" s="11"/>
      <c r="N90" s="11"/>
      <c r="O90" s="11"/>
      <c r="P90" s="11"/>
      <c r="Q90" s="11"/>
      <c r="R90" s="11"/>
      <c r="S90" s="11"/>
      <c r="T90" s="11"/>
      <c r="U90" s="11"/>
      <c r="V90" s="11"/>
      <c r="W90" s="11"/>
      <c r="X90" s="11"/>
      <c r="Y90" s="11"/>
      <c r="Z90" s="11"/>
    </row>
    <row r="91" ht="16.5" customHeight="1">
      <c r="A91" s="11"/>
      <c r="B91" s="11"/>
      <c r="C91" s="11"/>
      <c r="D91" s="11"/>
      <c r="E91" s="11"/>
      <c r="F91" s="11"/>
      <c r="G91" s="12"/>
      <c r="H91" s="11"/>
      <c r="I91" s="12"/>
      <c r="J91" s="12"/>
      <c r="K91" s="12"/>
      <c r="L91" s="11"/>
      <c r="M91" s="11"/>
      <c r="N91" s="11"/>
      <c r="O91" s="11"/>
      <c r="P91" s="11"/>
      <c r="Q91" s="11"/>
      <c r="R91" s="11"/>
      <c r="S91" s="11"/>
      <c r="T91" s="11"/>
      <c r="U91" s="11"/>
      <c r="V91" s="11"/>
      <c r="W91" s="11"/>
      <c r="X91" s="11"/>
      <c r="Y91" s="11"/>
      <c r="Z91" s="11"/>
    </row>
    <row r="92" ht="16.5" customHeight="1">
      <c r="A92" s="11"/>
      <c r="B92" s="11"/>
      <c r="C92" s="11"/>
      <c r="D92" s="11"/>
      <c r="E92" s="11"/>
      <c r="F92" s="11"/>
      <c r="G92" s="12"/>
      <c r="H92" s="11"/>
      <c r="I92" s="12"/>
      <c r="J92" s="12"/>
      <c r="K92" s="12"/>
      <c r="L92" s="11"/>
      <c r="M92" s="11"/>
      <c r="N92" s="11"/>
      <c r="O92" s="11"/>
      <c r="P92" s="11"/>
      <c r="Q92" s="11"/>
      <c r="R92" s="11"/>
      <c r="S92" s="11"/>
      <c r="T92" s="11"/>
      <c r="U92" s="11"/>
      <c r="V92" s="11"/>
      <c r="W92" s="11"/>
      <c r="X92" s="11"/>
      <c r="Y92" s="11"/>
      <c r="Z92" s="11"/>
    </row>
    <row r="93" ht="16.5" customHeight="1">
      <c r="A93" s="11"/>
      <c r="B93" s="11"/>
      <c r="C93" s="11"/>
      <c r="D93" s="11"/>
      <c r="E93" s="11"/>
      <c r="F93" s="11"/>
      <c r="G93" s="12"/>
      <c r="H93" s="11"/>
      <c r="I93" s="12"/>
      <c r="J93" s="12"/>
      <c r="K93" s="12"/>
      <c r="L93" s="11"/>
      <c r="M93" s="11"/>
      <c r="N93" s="11"/>
      <c r="O93" s="11"/>
      <c r="P93" s="11"/>
      <c r="Q93" s="11"/>
      <c r="R93" s="11"/>
      <c r="S93" s="11"/>
      <c r="T93" s="11"/>
      <c r="U93" s="11"/>
      <c r="V93" s="11"/>
      <c r="W93" s="11"/>
      <c r="X93" s="11"/>
      <c r="Y93" s="11"/>
      <c r="Z93" s="11"/>
    </row>
    <row r="94" ht="16.5" customHeight="1">
      <c r="A94" s="11"/>
      <c r="B94" s="11"/>
      <c r="C94" s="11"/>
      <c r="D94" s="11"/>
      <c r="E94" s="11"/>
      <c r="F94" s="11"/>
      <c r="G94" s="12"/>
      <c r="H94" s="11"/>
      <c r="I94" s="12"/>
      <c r="J94" s="12"/>
      <c r="K94" s="12"/>
      <c r="L94" s="11"/>
      <c r="M94" s="11"/>
      <c r="N94" s="11"/>
      <c r="O94" s="11"/>
      <c r="P94" s="11"/>
      <c r="Q94" s="11"/>
      <c r="R94" s="11"/>
      <c r="S94" s="11"/>
      <c r="T94" s="11"/>
      <c r="U94" s="11"/>
      <c r="V94" s="11"/>
      <c r="W94" s="11"/>
      <c r="X94" s="11"/>
      <c r="Y94" s="11"/>
      <c r="Z94" s="11"/>
    </row>
    <row r="95" ht="16.5" customHeight="1">
      <c r="A95" s="11"/>
      <c r="B95" s="11"/>
      <c r="C95" s="11"/>
      <c r="D95" s="11"/>
      <c r="E95" s="11"/>
      <c r="F95" s="11"/>
      <c r="G95" s="12"/>
      <c r="H95" s="11"/>
      <c r="I95" s="12"/>
      <c r="J95" s="12"/>
      <c r="K95" s="12"/>
      <c r="L95" s="11"/>
      <c r="M95" s="11"/>
      <c r="N95" s="11"/>
      <c r="O95" s="11"/>
      <c r="P95" s="11"/>
      <c r="Q95" s="11"/>
      <c r="R95" s="11"/>
      <c r="S95" s="11"/>
      <c r="T95" s="11"/>
      <c r="U95" s="11"/>
      <c r="V95" s="11"/>
      <c r="W95" s="11"/>
      <c r="X95" s="11"/>
      <c r="Y95" s="11"/>
      <c r="Z95" s="11"/>
    </row>
    <row r="96" ht="16.5" customHeight="1">
      <c r="A96" s="11"/>
      <c r="B96" s="11"/>
      <c r="C96" s="11"/>
      <c r="D96" s="11"/>
      <c r="E96" s="11"/>
      <c r="F96" s="11"/>
      <c r="G96" s="12"/>
      <c r="H96" s="11"/>
      <c r="I96" s="12"/>
      <c r="J96" s="12"/>
      <c r="K96" s="12"/>
      <c r="L96" s="11"/>
      <c r="M96" s="11"/>
      <c r="N96" s="11"/>
      <c r="O96" s="11"/>
      <c r="P96" s="11"/>
      <c r="Q96" s="11"/>
      <c r="R96" s="11"/>
      <c r="S96" s="11"/>
      <c r="T96" s="11"/>
      <c r="U96" s="11"/>
      <c r="V96" s="11"/>
      <c r="W96" s="11"/>
      <c r="X96" s="11"/>
      <c r="Y96" s="11"/>
      <c r="Z96" s="11"/>
    </row>
    <row r="97" ht="16.5" customHeight="1">
      <c r="A97" s="11"/>
      <c r="B97" s="11"/>
      <c r="C97" s="11"/>
      <c r="D97" s="11"/>
      <c r="E97" s="11"/>
      <c r="F97" s="11"/>
      <c r="G97" s="12"/>
      <c r="H97" s="11"/>
      <c r="I97" s="12"/>
      <c r="J97" s="12"/>
      <c r="K97" s="12"/>
      <c r="L97" s="11"/>
      <c r="M97" s="11"/>
      <c r="N97" s="11"/>
      <c r="O97" s="11"/>
      <c r="P97" s="11"/>
      <c r="Q97" s="11"/>
      <c r="R97" s="11"/>
      <c r="S97" s="11"/>
      <c r="T97" s="11"/>
      <c r="U97" s="11"/>
      <c r="V97" s="11"/>
      <c r="W97" s="11"/>
      <c r="X97" s="11"/>
      <c r="Y97" s="11"/>
      <c r="Z97" s="11"/>
    </row>
    <row r="98" ht="16.5" customHeight="1">
      <c r="A98" s="11"/>
      <c r="B98" s="11"/>
      <c r="C98" s="11"/>
      <c r="D98" s="11"/>
      <c r="E98" s="11"/>
      <c r="F98" s="11"/>
      <c r="G98" s="12"/>
      <c r="H98" s="11"/>
      <c r="I98" s="12"/>
      <c r="J98" s="12"/>
      <c r="K98" s="12"/>
      <c r="L98" s="11"/>
      <c r="M98" s="11"/>
      <c r="N98" s="11"/>
      <c r="O98" s="11"/>
      <c r="P98" s="11"/>
      <c r="Q98" s="11"/>
      <c r="R98" s="11"/>
      <c r="S98" s="11"/>
      <c r="T98" s="11"/>
      <c r="U98" s="11"/>
      <c r="V98" s="11"/>
      <c r="W98" s="11"/>
      <c r="X98" s="11"/>
      <c r="Y98" s="11"/>
      <c r="Z98" s="11"/>
    </row>
    <row r="99" ht="16.5" customHeight="1">
      <c r="A99" s="11"/>
      <c r="B99" s="11"/>
      <c r="C99" s="11"/>
      <c r="D99" s="11"/>
      <c r="E99" s="11"/>
      <c r="F99" s="11"/>
      <c r="G99" s="12"/>
      <c r="H99" s="11"/>
      <c r="I99" s="12"/>
      <c r="J99" s="12"/>
      <c r="K99" s="12"/>
      <c r="L99" s="11"/>
      <c r="M99" s="11"/>
      <c r="N99" s="11"/>
      <c r="O99" s="11"/>
      <c r="P99" s="11"/>
      <c r="Q99" s="11"/>
      <c r="R99" s="11"/>
      <c r="S99" s="11"/>
      <c r="T99" s="11"/>
      <c r="U99" s="11"/>
      <c r="V99" s="11"/>
      <c r="W99" s="11"/>
      <c r="X99" s="11"/>
      <c r="Y99" s="11"/>
      <c r="Z99" s="11"/>
    </row>
    <row r="100" ht="16.5" customHeight="1">
      <c r="A100" s="11"/>
      <c r="B100" s="11"/>
      <c r="C100" s="11"/>
      <c r="D100" s="11"/>
      <c r="E100" s="11"/>
      <c r="F100" s="11"/>
      <c r="G100" s="12"/>
      <c r="H100" s="11"/>
      <c r="I100" s="12"/>
      <c r="J100" s="12"/>
      <c r="K100" s="12"/>
      <c r="L100" s="11"/>
      <c r="M100" s="11"/>
      <c r="N100" s="11"/>
      <c r="O100" s="11"/>
      <c r="P100" s="11"/>
      <c r="Q100" s="11"/>
      <c r="R100" s="11"/>
      <c r="S100" s="11"/>
      <c r="T100" s="11"/>
      <c r="U100" s="11"/>
      <c r="V100" s="11"/>
      <c r="W100" s="11"/>
      <c r="X100" s="11"/>
      <c r="Y100" s="11"/>
      <c r="Z100" s="11"/>
    </row>
    <row r="101" ht="16.5" customHeight="1">
      <c r="A101" s="11"/>
      <c r="B101" s="11"/>
      <c r="C101" s="11"/>
      <c r="D101" s="11"/>
      <c r="E101" s="11"/>
      <c r="F101" s="11"/>
      <c r="G101" s="12"/>
      <c r="H101" s="11"/>
      <c r="I101" s="12"/>
      <c r="J101" s="12"/>
      <c r="K101" s="12"/>
      <c r="L101" s="11"/>
      <c r="M101" s="11"/>
      <c r="N101" s="11"/>
      <c r="O101" s="11"/>
      <c r="P101" s="11"/>
      <c r="Q101" s="11"/>
      <c r="R101" s="11"/>
      <c r="S101" s="11"/>
      <c r="T101" s="11"/>
      <c r="U101" s="11"/>
      <c r="V101" s="11"/>
      <c r="W101" s="11"/>
      <c r="X101" s="11"/>
      <c r="Y101" s="11"/>
      <c r="Z101" s="11"/>
    </row>
    <row r="102" ht="16.5" customHeight="1">
      <c r="A102" s="11"/>
      <c r="B102" s="11"/>
      <c r="C102" s="11"/>
      <c r="D102" s="11"/>
      <c r="E102" s="11"/>
      <c r="F102" s="11"/>
      <c r="G102" s="12"/>
      <c r="H102" s="11"/>
      <c r="I102" s="12"/>
      <c r="J102" s="12"/>
      <c r="K102" s="12"/>
      <c r="L102" s="11"/>
      <c r="M102" s="11"/>
      <c r="N102" s="11"/>
      <c r="O102" s="11"/>
      <c r="P102" s="11"/>
      <c r="Q102" s="11"/>
      <c r="R102" s="11"/>
      <c r="S102" s="11"/>
      <c r="T102" s="11"/>
      <c r="U102" s="11"/>
      <c r="V102" s="11"/>
      <c r="W102" s="11"/>
      <c r="X102" s="11"/>
      <c r="Y102" s="11"/>
      <c r="Z102" s="11"/>
    </row>
    <row r="103" ht="16.5" customHeight="1">
      <c r="A103" s="11"/>
      <c r="B103" s="11"/>
      <c r="C103" s="11"/>
      <c r="D103" s="11"/>
      <c r="E103" s="11"/>
      <c r="F103" s="11"/>
      <c r="G103" s="12"/>
      <c r="H103" s="11"/>
      <c r="I103" s="12"/>
      <c r="J103" s="12"/>
      <c r="K103" s="12"/>
      <c r="L103" s="11"/>
      <c r="M103" s="11"/>
      <c r="N103" s="11"/>
      <c r="O103" s="11"/>
      <c r="P103" s="11"/>
      <c r="Q103" s="11"/>
      <c r="R103" s="11"/>
      <c r="S103" s="11"/>
      <c r="T103" s="11"/>
      <c r="U103" s="11"/>
      <c r="V103" s="11"/>
      <c r="W103" s="11"/>
      <c r="X103" s="11"/>
      <c r="Y103" s="11"/>
      <c r="Z103" s="11"/>
    </row>
    <row r="104" ht="16.5" customHeight="1">
      <c r="A104" s="11"/>
      <c r="B104" s="11"/>
      <c r="C104" s="11"/>
      <c r="D104" s="11"/>
      <c r="E104" s="11"/>
      <c r="F104" s="11"/>
      <c r="G104" s="12"/>
      <c r="H104" s="11"/>
      <c r="I104" s="12"/>
      <c r="J104" s="12"/>
      <c r="K104" s="12"/>
      <c r="L104" s="11"/>
      <c r="M104" s="11"/>
      <c r="N104" s="11"/>
      <c r="O104" s="11"/>
      <c r="P104" s="11"/>
      <c r="Q104" s="11"/>
      <c r="R104" s="11"/>
      <c r="S104" s="11"/>
      <c r="T104" s="11"/>
      <c r="U104" s="11"/>
      <c r="V104" s="11"/>
      <c r="W104" s="11"/>
      <c r="X104" s="11"/>
      <c r="Y104" s="11"/>
      <c r="Z104" s="11"/>
    </row>
    <row r="105" ht="16.5" customHeight="1">
      <c r="A105" s="11"/>
      <c r="B105" s="11"/>
      <c r="C105" s="11"/>
      <c r="D105" s="11"/>
      <c r="E105" s="11"/>
      <c r="F105" s="11"/>
      <c r="G105" s="12"/>
      <c r="H105" s="11"/>
      <c r="I105" s="12"/>
      <c r="J105" s="12"/>
      <c r="K105" s="12"/>
      <c r="L105" s="11"/>
      <c r="M105" s="11"/>
      <c r="N105" s="11"/>
      <c r="O105" s="11"/>
      <c r="P105" s="11"/>
      <c r="Q105" s="11"/>
      <c r="R105" s="11"/>
      <c r="S105" s="11"/>
      <c r="T105" s="11"/>
      <c r="U105" s="11"/>
      <c r="V105" s="11"/>
      <c r="W105" s="11"/>
      <c r="X105" s="11"/>
      <c r="Y105" s="11"/>
      <c r="Z105" s="11"/>
    </row>
    <row r="106" ht="16.5" customHeight="1">
      <c r="A106" s="11"/>
      <c r="B106" s="11"/>
      <c r="C106" s="11"/>
      <c r="D106" s="11"/>
      <c r="E106" s="11"/>
      <c r="F106" s="11"/>
      <c r="G106" s="12"/>
      <c r="H106" s="11"/>
      <c r="I106" s="12"/>
      <c r="J106" s="12"/>
      <c r="K106" s="12"/>
      <c r="L106" s="11"/>
      <c r="M106" s="11"/>
      <c r="N106" s="11"/>
      <c r="O106" s="11"/>
      <c r="P106" s="11"/>
      <c r="Q106" s="11"/>
      <c r="R106" s="11"/>
      <c r="S106" s="11"/>
      <c r="T106" s="11"/>
      <c r="U106" s="11"/>
      <c r="V106" s="11"/>
      <c r="W106" s="11"/>
      <c r="X106" s="11"/>
      <c r="Y106" s="11"/>
      <c r="Z106" s="11"/>
    </row>
    <row r="107" ht="16.5" customHeight="1">
      <c r="A107" s="11"/>
      <c r="B107" s="11"/>
      <c r="C107" s="11"/>
      <c r="D107" s="11"/>
      <c r="E107" s="11"/>
      <c r="F107" s="11"/>
      <c r="G107" s="12"/>
      <c r="H107" s="11"/>
      <c r="I107" s="12"/>
      <c r="J107" s="12"/>
      <c r="K107" s="12"/>
      <c r="L107" s="11"/>
      <c r="M107" s="11"/>
      <c r="N107" s="11"/>
      <c r="O107" s="11"/>
      <c r="P107" s="11"/>
      <c r="Q107" s="11"/>
      <c r="R107" s="11"/>
      <c r="S107" s="11"/>
      <c r="T107" s="11"/>
      <c r="U107" s="11"/>
      <c r="V107" s="11"/>
      <c r="W107" s="11"/>
      <c r="X107" s="11"/>
      <c r="Y107" s="11"/>
      <c r="Z107" s="11"/>
    </row>
    <row r="108" ht="16.5" customHeight="1">
      <c r="A108" s="11"/>
      <c r="B108" s="11"/>
      <c r="C108" s="11"/>
      <c r="D108" s="11"/>
      <c r="E108" s="11"/>
      <c r="F108" s="11"/>
      <c r="G108" s="12"/>
      <c r="H108" s="11"/>
      <c r="I108" s="12"/>
      <c r="J108" s="12"/>
      <c r="K108" s="12"/>
      <c r="L108" s="11"/>
      <c r="M108" s="11"/>
      <c r="N108" s="11"/>
      <c r="O108" s="11"/>
      <c r="P108" s="11"/>
      <c r="Q108" s="11"/>
      <c r="R108" s="11"/>
      <c r="S108" s="11"/>
      <c r="T108" s="11"/>
      <c r="U108" s="11"/>
      <c r="V108" s="11"/>
      <c r="W108" s="11"/>
      <c r="X108" s="11"/>
      <c r="Y108" s="11"/>
      <c r="Z108" s="11"/>
    </row>
    <row r="109" ht="16.5" customHeight="1">
      <c r="A109" s="11"/>
      <c r="B109" s="11"/>
      <c r="C109" s="11"/>
      <c r="D109" s="11"/>
      <c r="E109" s="11"/>
      <c r="F109" s="11"/>
      <c r="G109" s="12"/>
      <c r="H109" s="11"/>
      <c r="I109" s="12"/>
      <c r="J109" s="12"/>
      <c r="K109" s="12"/>
      <c r="L109" s="11"/>
      <c r="M109" s="11"/>
      <c r="N109" s="11"/>
      <c r="O109" s="11"/>
      <c r="P109" s="11"/>
      <c r="Q109" s="11"/>
      <c r="R109" s="11"/>
      <c r="S109" s="11"/>
      <c r="T109" s="11"/>
      <c r="U109" s="11"/>
      <c r="V109" s="11"/>
      <c r="W109" s="11"/>
      <c r="X109" s="11"/>
      <c r="Y109" s="11"/>
      <c r="Z109" s="11"/>
    </row>
    <row r="110" ht="16.5" customHeight="1">
      <c r="A110" s="11"/>
      <c r="B110" s="11"/>
      <c r="C110" s="11"/>
      <c r="D110" s="11"/>
      <c r="E110" s="11"/>
      <c r="F110" s="11"/>
      <c r="G110" s="12"/>
      <c r="H110" s="11"/>
      <c r="I110" s="12"/>
      <c r="J110" s="12"/>
      <c r="K110" s="12"/>
      <c r="L110" s="11"/>
      <c r="M110" s="11"/>
      <c r="N110" s="11"/>
      <c r="O110" s="11"/>
      <c r="P110" s="11"/>
      <c r="Q110" s="11"/>
      <c r="R110" s="11"/>
      <c r="S110" s="11"/>
      <c r="T110" s="11"/>
      <c r="U110" s="11"/>
      <c r="V110" s="11"/>
      <c r="W110" s="11"/>
      <c r="X110" s="11"/>
      <c r="Y110" s="11"/>
      <c r="Z110" s="11"/>
    </row>
    <row r="111" ht="16.5" customHeight="1">
      <c r="A111" s="11"/>
      <c r="B111" s="11"/>
      <c r="C111" s="11"/>
      <c r="D111" s="11"/>
      <c r="E111" s="11"/>
      <c r="F111" s="11"/>
      <c r="G111" s="12"/>
      <c r="H111" s="11"/>
      <c r="I111" s="12"/>
      <c r="J111" s="12"/>
      <c r="K111" s="12"/>
      <c r="L111" s="11"/>
      <c r="M111" s="11"/>
      <c r="N111" s="11"/>
      <c r="O111" s="11"/>
      <c r="P111" s="11"/>
      <c r="Q111" s="11"/>
      <c r="R111" s="11"/>
      <c r="S111" s="11"/>
      <c r="T111" s="11"/>
      <c r="U111" s="11"/>
      <c r="V111" s="11"/>
      <c r="W111" s="11"/>
      <c r="X111" s="11"/>
      <c r="Y111" s="11"/>
      <c r="Z111" s="11"/>
    </row>
    <row r="112" ht="16.5" customHeight="1">
      <c r="A112" s="11"/>
      <c r="B112" s="11"/>
      <c r="C112" s="11"/>
      <c r="D112" s="11"/>
      <c r="E112" s="11"/>
      <c r="F112" s="11"/>
      <c r="G112" s="12"/>
      <c r="H112" s="11"/>
      <c r="I112" s="12"/>
      <c r="J112" s="12"/>
      <c r="K112" s="12"/>
      <c r="L112" s="11"/>
      <c r="M112" s="11"/>
      <c r="N112" s="11"/>
      <c r="O112" s="11"/>
      <c r="P112" s="11"/>
      <c r="Q112" s="11"/>
      <c r="R112" s="11"/>
      <c r="S112" s="11"/>
      <c r="T112" s="11"/>
      <c r="U112" s="11"/>
      <c r="V112" s="11"/>
      <c r="W112" s="11"/>
      <c r="X112" s="11"/>
      <c r="Y112" s="11"/>
      <c r="Z112" s="11"/>
    </row>
    <row r="113" ht="16.5" customHeight="1">
      <c r="A113" s="11"/>
      <c r="B113" s="11"/>
      <c r="C113" s="11"/>
      <c r="D113" s="11"/>
      <c r="E113" s="11"/>
      <c r="F113" s="11"/>
      <c r="G113" s="12"/>
      <c r="H113" s="11"/>
      <c r="I113" s="12"/>
      <c r="J113" s="12"/>
      <c r="K113" s="12"/>
      <c r="L113" s="11"/>
      <c r="M113" s="11"/>
      <c r="N113" s="11"/>
      <c r="O113" s="11"/>
      <c r="P113" s="11"/>
      <c r="Q113" s="11"/>
      <c r="R113" s="11"/>
      <c r="S113" s="11"/>
      <c r="T113" s="11"/>
      <c r="U113" s="11"/>
      <c r="V113" s="11"/>
      <c r="W113" s="11"/>
      <c r="X113" s="11"/>
      <c r="Y113" s="11"/>
      <c r="Z113" s="11"/>
    </row>
    <row r="114" ht="16.5" customHeight="1">
      <c r="A114" s="11"/>
      <c r="B114" s="11"/>
      <c r="C114" s="11"/>
      <c r="D114" s="11"/>
      <c r="E114" s="11"/>
      <c r="F114" s="11"/>
      <c r="G114" s="12"/>
      <c r="H114" s="11"/>
      <c r="I114" s="12"/>
      <c r="J114" s="12"/>
      <c r="K114" s="12"/>
      <c r="L114" s="11"/>
      <c r="M114" s="11"/>
      <c r="N114" s="11"/>
      <c r="O114" s="11"/>
      <c r="P114" s="11"/>
      <c r="Q114" s="11"/>
      <c r="R114" s="11"/>
      <c r="S114" s="11"/>
      <c r="T114" s="11"/>
      <c r="U114" s="11"/>
      <c r="V114" s="11"/>
      <c r="W114" s="11"/>
      <c r="X114" s="11"/>
      <c r="Y114" s="11"/>
      <c r="Z114" s="11"/>
    </row>
    <row r="115" ht="16.5" customHeight="1">
      <c r="A115" s="11"/>
      <c r="B115" s="11"/>
      <c r="C115" s="11"/>
      <c r="D115" s="11"/>
      <c r="E115" s="11"/>
      <c r="F115" s="11"/>
      <c r="G115" s="12"/>
      <c r="H115" s="11"/>
      <c r="I115" s="12"/>
      <c r="J115" s="12"/>
      <c r="K115" s="12"/>
      <c r="L115" s="11"/>
      <c r="M115" s="11"/>
      <c r="N115" s="11"/>
      <c r="O115" s="11"/>
      <c r="P115" s="11"/>
      <c r="Q115" s="11"/>
      <c r="R115" s="11"/>
      <c r="S115" s="11"/>
      <c r="T115" s="11"/>
      <c r="U115" s="11"/>
      <c r="V115" s="11"/>
      <c r="W115" s="11"/>
      <c r="X115" s="11"/>
      <c r="Y115" s="11"/>
      <c r="Z115" s="11"/>
    </row>
    <row r="116" ht="16.5" customHeight="1">
      <c r="A116" s="11"/>
      <c r="B116" s="11"/>
      <c r="C116" s="11"/>
      <c r="D116" s="11"/>
      <c r="E116" s="11"/>
      <c r="F116" s="11"/>
      <c r="G116" s="12"/>
      <c r="H116" s="11"/>
      <c r="I116" s="12"/>
      <c r="J116" s="12"/>
      <c r="K116" s="12"/>
      <c r="L116" s="11"/>
      <c r="M116" s="11"/>
      <c r="N116" s="11"/>
      <c r="O116" s="11"/>
      <c r="P116" s="11"/>
      <c r="Q116" s="11"/>
      <c r="R116" s="11"/>
      <c r="S116" s="11"/>
      <c r="T116" s="11"/>
      <c r="U116" s="11"/>
      <c r="V116" s="11"/>
      <c r="W116" s="11"/>
      <c r="X116" s="11"/>
      <c r="Y116" s="11"/>
      <c r="Z116" s="11"/>
    </row>
    <row r="117" ht="16.5" customHeight="1">
      <c r="A117" s="11"/>
      <c r="B117" s="11"/>
      <c r="C117" s="11"/>
      <c r="D117" s="11"/>
      <c r="E117" s="11"/>
      <c r="F117" s="11"/>
      <c r="G117" s="12"/>
      <c r="H117" s="11"/>
      <c r="I117" s="12"/>
      <c r="J117" s="12"/>
      <c r="K117" s="12"/>
      <c r="L117" s="11"/>
      <c r="M117" s="11"/>
      <c r="N117" s="11"/>
      <c r="O117" s="11"/>
      <c r="P117" s="11"/>
      <c r="Q117" s="11"/>
      <c r="R117" s="11"/>
      <c r="S117" s="11"/>
      <c r="T117" s="11"/>
      <c r="U117" s="11"/>
      <c r="V117" s="11"/>
      <c r="W117" s="11"/>
      <c r="X117" s="11"/>
      <c r="Y117" s="11"/>
      <c r="Z117" s="11"/>
    </row>
    <row r="118" ht="16.5" customHeight="1">
      <c r="A118" s="11"/>
      <c r="B118" s="11"/>
      <c r="C118" s="11"/>
      <c r="D118" s="11"/>
      <c r="E118" s="11"/>
      <c r="F118" s="11"/>
      <c r="G118" s="12"/>
      <c r="H118" s="11"/>
      <c r="I118" s="12"/>
      <c r="J118" s="12"/>
      <c r="K118" s="12"/>
      <c r="L118" s="11"/>
      <c r="M118" s="11"/>
      <c r="N118" s="11"/>
      <c r="O118" s="11"/>
      <c r="P118" s="11"/>
      <c r="Q118" s="11"/>
      <c r="R118" s="11"/>
      <c r="S118" s="11"/>
      <c r="T118" s="11"/>
      <c r="U118" s="11"/>
      <c r="V118" s="11"/>
      <c r="W118" s="11"/>
      <c r="X118" s="11"/>
      <c r="Y118" s="11"/>
      <c r="Z118" s="11"/>
    </row>
    <row r="119" ht="16.5" customHeight="1">
      <c r="A119" s="11"/>
      <c r="B119" s="11"/>
      <c r="C119" s="11"/>
      <c r="D119" s="11"/>
      <c r="E119" s="11"/>
      <c r="F119" s="11"/>
      <c r="G119" s="12"/>
      <c r="H119" s="11"/>
      <c r="I119" s="12"/>
      <c r="J119" s="12"/>
      <c r="K119" s="12"/>
      <c r="L119" s="11"/>
      <c r="M119" s="11"/>
      <c r="N119" s="11"/>
      <c r="O119" s="11"/>
      <c r="P119" s="11"/>
      <c r="Q119" s="11"/>
      <c r="R119" s="11"/>
      <c r="S119" s="11"/>
      <c r="T119" s="11"/>
      <c r="U119" s="11"/>
      <c r="V119" s="11"/>
      <c r="W119" s="11"/>
      <c r="X119" s="11"/>
      <c r="Y119" s="11"/>
      <c r="Z119" s="11"/>
    </row>
    <row r="120" ht="16.5" customHeight="1">
      <c r="A120" s="11"/>
      <c r="B120" s="11"/>
      <c r="C120" s="11"/>
      <c r="D120" s="11"/>
      <c r="E120" s="11"/>
      <c r="F120" s="11"/>
      <c r="G120" s="12"/>
      <c r="H120" s="11"/>
      <c r="I120" s="12"/>
      <c r="J120" s="12"/>
      <c r="K120" s="12"/>
      <c r="L120" s="11"/>
      <c r="M120" s="11"/>
      <c r="N120" s="11"/>
      <c r="O120" s="11"/>
      <c r="P120" s="11"/>
      <c r="Q120" s="11"/>
      <c r="R120" s="11"/>
      <c r="S120" s="11"/>
      <c r="T120" s="11"/>
      <c r="U120" s="11"/>
      <c r="V120" s="11"/>
      <c r="W120" s="11"/>
      <c r="X120" s="11"/>
      <c r="Y120" s="11"/>
      <c r="Z120" s="11"/>
    </row>
    <row r="121" ht="16.5" customHeight="1">
      <c r="A121" s="11"/>
      <c r="B121" s="11"/>
      <c r="C121" s="11"/>
      <c r="D121" s="11"/>
      <c r="E121" s="11"/>
      <c r="F121" s="11"/>
      <c r="G121" s="12"/>
      <c r="H121" s="11"/>
      <c r="I121" s="12"/>
      <c r="J121" s="12"/>
      <c r="K121" s="12"/>
      <c r="L121" s="11"/>
      <c r="M121" s="11"/>
      <c r="N121" s="11"/>
      <c r="O121" s="11"/>
      <c r="P121" s="11"/>
      <c r="Q121" s="11"/>
      <c r="R121" s="11"/>
      <c r="S121" s="11"/>
      <c r="T121" s="11"/>
      <c r="U121" s="11"/>
      <c r="V121" s="11"/>
      <c r="W121" s="11"/>
      <c r="X121" s="11"/>
      <c r="Y121" s="11"/>
      <c r="Z121" s="11"/>
    </row>
    <row r="122" ht="16.5" customHeight="1">
      <c r="A122" s="11"/>
      <c r="B122" s="11"/>
      <c r="C122" s="11"/>
      <c r="D122" s="11"/>
      <c r="E122" s="11"/>
      <c r="F122" s="11"/>
      <c r="G122" s="12"/>
      <c r="H122" s="11"/>
      <c r="I122" s="12"/>
      <c r="J122" s="12"/>
      <c r="K122" s="12"/>
      <c r="L122" s="11"/>
      <c r="M122" s="11"/>
      <c r="N122" s="11"/>
      <c r="O122" s="11"/>
      <c r="P122" s="11"/>
      <c r="Q122" s="11"/>
      <c r="R122" s="11"/>
      <c r="S122" s="11"/>
      <c r="T122" s="11"/>
      <c r="U122" s="11"/>
      <c r="V122" s="11"/>
      <c r="W122" s="11"/>
      <c r="X122" s="11"/>
      <c r="Y122" s="11"/>
      <c r="Z122" s="11"/>
    </row>
    <row r="123" ht="16.5" customHeight="1">
      <c r="A123" s="11"/>
      <c r="B123" s="11"/>
      <c r="C123" s="11"/>
      <c r="D123" s="11"/>
      <c r="E123" s="11"/>
      <c r="F123" s="11"/>
      <c r="G123" s="12"/>
      <c r="H123" s="11"/>
      <c r="I123" s="12"/>
      <c r="J123" s="12"/>
      <c r="K123" s="12"/>
      <c r="L123" s="11"/>
      <c r="M123" s="11"/>
      <c r="N123" s="11"/>
      <c r="O123" s="11"/>
      <c r="P123" s="11"/>
      <c r="Q123" s="11"/>
      <c r="R123" s="11"/>
      <c r="S123" s="11"/>
      <c r="T123" s="11"/>
      <c r="U123" s="11"/>
      <c r="V123" s="11"/>
      <c r="W123" s="11"/>
      <c r="X123" s="11"/>
      <c r="Y123" s="11"/>
      <c r="Z123" s="11"/>
    </row>
    <row r="124" ht="16.5" customHeight="1">
      <c r="A124" s="11"/>
      <c r="B124" s="11"/>
      <c r="C124" s="11"/>
      <c r="D124" s="11"/>
      <c r="E124" s="11"/>
      <c r="F124" s="11"/>
      <c r="G124" s="12"/>
      <c r="H124" s="11"/>
      <c r="I124" s="12"/>
      <c r="J124" s="12"/>
      <c r="K124" s="12"/>
      <c r="L124" s="11"/>
      <c r="M124" s="11"/>
      <c r="N124" s="11"/>
      <c r="O124" s="11"/>
      <c r="P124" s="11"/>
      <c r="Q124" s="11"/>
      <c r="R124" s="11"/>
      <c r="S124" s="11"/>
      <c r="T124" s="11"/>
      <c r="U124" s="11"/>
      <c r="V124" s="11"/>
      <c r="W124" s="11"/>
      <c r="X124" s="11"/>
      <c r="Y124" s="11"/>
      <c r="Z124" s="11"/>
    </row>
    <row r="125" ht="16.5" customHeight="1">
      <c r="A125" s="11"/>
      <c r="B125" s="11"/>
      <c r="C125" s="11"/>
      <c r="D125" s="11"/>
      <c r="E125" s="11"/>
      <c r="F125" s="11"/>
      <c r="G125" s="12"/>
      <c r="H125" s="11"/>
      <c r="I125" s="12"/>
      <c r="J125" s="12"/>
      <c r="K125" s="12"/>
      <c r="L125" s="11"/>
      <c r="M125" s="11"/>
      <c r="N125" s="11"/>
      <c r="O125" s="11"/>
      <c r="P125" s="11"/>
      <c r="Q125" s="11"/>
      <c r="R125" s="11"/>
      <c r="S125" s="11"/>
      <c r="T125" s="11"/>
      <c r="U125" s="11"/>
      <c r="V125" s="11"/>
      <c r="W125" s="11"/>
      <c r="X125" s="11"/>
      <c r="Y125" s="11"/>
      <c r="Z125" s="11"/>
    </row>
    <row r="126" ht="16.5" customHeight="1">
      <c r="A126" s="11"/>
      <c r="B126" s="11"/>
      <c r="C126" s="11"/>
      <c r="D126" s="11"/>
      <c r="E126" s="11"/>
      <c r="F126" s="11"/>
      <c r="G126" s="12"/>
      <c r="H126" s="11"/>
      <c r="I126" s="12"/>
      <c r="J126" s="12"/>
      <c r="K126" s="12"/>
      <c r="L126" s="11"/>
      <c r="M126" s="11"/>
      <c r="N126" s="11"/>
      <c r="O126" s="11"/>
      <c r="P126" s="11"/>
      <c r="Q126" s="11"/>
      <c r="R126" s="11"/>
      <c r="S126" s="11"/>
      <c r="T126" s="11"/>
      <c r="U126" s="11"/>
      <c r="V126" s="11"/>
      <c r="W126" s="11"/>
      <c r="X126" s="11"/>
      <c r="Y126" s="11"/>
      <c r="Z126" s="11"/>
    </row>
    <row r="127" ht="16.5" customHeight="1">
      <c r="A127" s="11"/>
      <c r="B127" s="11"/>
      <c r="C127" s="11"/>
      <c r="D127" s="11"/>
      <c r="E127" s="11"/>
      <c r="F127" s="11"/>
      <c r="G127" s="12"/>
      <c r="H127" s="11"/>
      <c r="I127" s="12"/>
      <c r="J127" s="12"/>
      <c r="K127" s="12"/>
      <c r="L127" s="11"/>
      <c r="M127" s="11"/>
      <c r="N127" s="11"/>
      <c r="O127" s="11"/>
      <c r="P127" s="11"/>
      <c r="Q127" s="11"/>
      <c r="R127" s="11"/>
      <c r="S127" s="11"/>
      <c r="T127" s="11"/>
      <c r="U127" s="11"/>
      <c r="V127" s="11"/>
      <c r="W127" s="11"/>
      <c r="X127" s="11"/>
      <c r="Y127" s="11"/>
      <c r="Z127" s="11"/>
    </row>
    <row r="128" ht="16.5" customHeight="1">
      <c r="A128" s="11"/>
      <c r="B128" s="11"/>
      <c r="C128" s="11"/>
      <c r="D128" s="11"/>
      <c r="E128" s="11"/>
      <c r="F128" s="11"/>
      <c r="G128" s="12"/>
      <c r="H128" s="11"/>
      <c r="I128" s="12"/>
      <c r="J128" s="12"/>
      <c r="K128" s="12"/>
      <c r="L128" s="11"/>
      <c r="M128" s="11"/>
      <c r="N128" s="11"/>
      <c r="O128" s="11"/>
      <c r="P128" s="11"/>
      <c r="Q128" s="11"/>
      <c r="R128" s="11"/>
      <c r="S128" s="11"/>
      <c r="T128" s="11"/>
      <c r="U128" s="11"/>
      <c r="V128" s="11"/>
      <c r="W128" s="11"/>
      <c r="X128" s="11"/>
      <c r="Y128" s="11"/>
      <c r="Z128" s="11"/>
    </row>
    <row r="129" ht="16.5" customHeight="1">
      <c r="A129" s="11"/>
      <c r="B129" s="11"/>
      <c r="C129" s="11"/>
      <c r="D129" s="11"/>
      <c r="E129" s="11"/>
      <c r="F129" s="11"/>
      <c r="G129" s="12"/>
      <c r="H129" s="11"/>
      <c r="I129" s="12"/>
      <c r="J129" s="12"/>
      <c r="K129" s="12"/>
      <c r="L129" s="11"/>
      <c r="M129" s="11"/>
      <c r="N129" s="11"/>
      <c r="O129" s="11"/>
      <c r="P129" s="11"/>
      <c r="Q129" s="11"/>
      <c r="R129" s="11"/>
      <c r="S129" s="11"/>
      <c r="T129" s="11"/>
      <c r="U129" s="11"/>
      <c r="V129" s="11"/>
      <c r="W129" s="11"/>
      <c r="X129" s="11"/>
      <c r="Y129" s="11"/>
      <c r="Z129" s="11"/>
    </row>
    <row r="130" ht="16.5" customHeight="1">
      <c r="A130" s="11"/>
      <c r="B130" s="11"/>
      <c r="C130" s="11"/>
      <c r="D130" s="11"/>
      <c r="E130" s="11"/>
      <c r="F130" s="11"/>
      <c r="G130" s="12"/>
      <c r="H130" s="11"/>
      <c r="I130" s="12"/>
      <c r="J130" s="12"/>
      <c r="K130" s="12"/>
      <c r="L130" s="11"/>
      <c r="M130" s="11"/>
      <c r="N130" s="11"/>
      <c r="O130" s="11"/>
      <c r="P130" s="11"/>
      <c r="Q130" s="11"/>
      <c r="R130" s="11"/>
      <c r="S130" s="11"/>
      <c r="T130" s="11"/>
      <c r="U130" s="11"/>
      <c r="V130" s="11"/>
      <c r="W130" s="11"/>
      <c r="X130" s="11"/>
      <c r="Y130" s="11"/>
      <c r="Z130" s="11"/>
    </row>
    <row r="131" ht="16.5" customHeight="1">
      <c r="A131" s="11"/>
      <c r="B131" s="11"/>
      <c r="C131" s="11"/>
      <c r="D131" s="11"/>
      <c r="E131" s="11"/>
      <c r="F131" s="11"/>
      <c r="G131" s="12"/>
      <c r="H131" s="11"/>
      <c r="I131" s="12"/>
      <c r="J131" s="12"/>
      <c r="K131" s="12"/>
      <c r="L131" s="11"/>
      <c r="M131" s="11"/>
      <c r="N131" s="11"/>
      <c r="O131" s="11"/>
      <c r="P131" s="11"/>
      <c r="Q131" s="11"/>
      <c r="R131" s="11"/>
      <c r="S131" s="11"/>
      <c r="T131" s="11"/>
      <c r="U131" s="11"/>
      <c r="V131" s="11"/>
      <c r="W131" s="11"/>
      <c r="X131" s="11"/>
      <c r="Y131" s="11"/>
      <c r="Z131" s="11"/>
    </row>
    <row r="132" ht="16.5" customHeight="1">
      <c r="A132" s="11"/>
      <c r="B132" s="11"/>
      <c r="C132" s="11"/>
      <c r="D132" s="11"/>
      <c r="E132" s="11"/>
      <c r="F132" s="11"/>
      <c r="G132" s="12"/>
      <c r="H132" s="11"/>
      <c r="I132" s="12"/>
      <c r="J132" s="12"/>
      <c r="K132" s="12"/>
      <c r="L132" s="11"/>
      <c r="M132" s="11"/>
      <c r="N132" s="11"/>
      <c r="O132" s="11"/>
      <c r="P132" s="11"/>
      <c r="Q132" s="11"/>
      <c r="R132" s="11"/>
      <c r="S132" s="11"/>
      <c r="T132" s="11"/>
      <c r="U132" s="11"/>
      <c r="V132" s="11"/>
      <c r="W132" s="11"/>
      <c r="X132" s="11"/>
      <c r="Y132" s="11"/>
      <c r="Z132" s="11"/>
    </row>
    <row r="133" ht="16.5" customHeight="1">
      <c r="A133" s="11"/>
      <c r="B133" s="11"/>
      <c r="C133" s="11"/>
      <c r="D133" s="11"/>
      <c r="E133" s="11"/>
      <c r="F133" s="11"/>
      <c r="G133" s="12"/>
      <c r="H133" s="11"/>
      <c r="I133" s="12"/>
      <c r="J133" s="12"/>
      <c r="K133" s="12"/>
      <c r="L133" s="11"/>
      <c r="M133" s="11"/>
      <c r="N133" s="11"/>
      <c r="O133" s="11"/>
      <c r="P133" s="11"/>
      <c r="Q133" s="11"/>
      <c r="R133" s="11"/>
      <c r="S133" s="11"/>
      <c r="T133" s="11"/>
      <c r="U133" s="11"/>
      <c r="V133" s="11"/>
      <c r="W133" s="11"/>
      <c r="X133" s="11"/>
      <c r="Y133" s="11"/>
      <c r="Z133" s="11"/>
    </row>
    <row r="134" ht="16.5" customHeight="1">
      <c r="A134" s="11"/>
      <c r="B134" s="11"/>
      <c r="C134" s="11"/>
      <c r="D134" s="11"/>
      <c r="E134" s="11"/>
      <c r="F134" s="11"/>
      <c r="G134" s="12"/>
      <c r="H134" s="11"/>
      <c r="I134" s="12"/>
      <c r="J134" s="12"/>
      <c r="K134" s="12"/>
      <c r="L134" s="11"/>
      <c r="M134" s="11"/>
      <c r="N134" s="11"/>
      <c r="O134" s="11"/>
      <c r="P134" s="11"/>
      <c r="Q134" s="11"/>
      <c r="R134" s="11"/>
      <c r="S134" s="11"/>
      <c r="T134" s="11"/>
      <c r="U134" s="11"/>
      <c r="V134" s="11"/>
      <c r="W134" s="11"/>
      <c r="X134" s="11"/>
      <c r="Y134" s="11"/>
      <c r="Z134" s="11"/>
    </row>
    <row r="135" ht="16.5" customHeight="1">
      <c r="A135" s="11"/>
      <c r="B135" s="11"/>
      <c r="C135" s="11"/>
      <c r="D135" s="11"/>
      <c r="E135" s="11"/>
      <c r="F135" s="11"/>
      <c r="G135" s="12"/>
      <c r="H135" s="11"/>
      <c r="I135" s="12"/>
      <c r="J135" s="12"/>
      <c r="K135" s="12"/>
      <c r="L135" s="11"/>
      <c r="M135" s="11"/>
      <c r="N135" s="11"/>
      <c r="O135" s="11"/>
      <c r="P135" s="11"/>
      <c r="Q135" s="11"/>
      <c r="R135" s="11"/>
      <c r="S135" s="11"/>
      <c r="T135" s="11"/>
      <c r="U135" s="11"/>
      <c r="V135" s="11"/>
      <c r="W135" s="11"/>
      <c r="X135" s="11"/>
      <c r="Y135" s="11"/>
      <c r="Z135" s="11"/>
    </row>
    <row r="136" ht="16.5" customHeight="1">
      <c r="A136" s="11"/>
      <c r="B136" s="11"/>
      <c r="C136" s="11"/>
      <c r="D136" s="11"/>
      <c r="E136" s="11"/>
      <c r="F136" s="11"/>
      <c r="G136" s="12"/>
      <c r="H136" s="11"/>
      <c r="I136" s="12"/>
      <c r="J136" s="12"/>
      <c r="K136" s="12"/>
      <c r="L136" s="11"/>
      <c r="M136" s="11"/>
      <c r="N136" s="11"/>
      <c r="O136" s="11"/>
      <c r="P136" s="11"/>
      <c r="Q136" s="11"/>
      <c r="R136" s="11"/>
      <c r="S136" s="11"/>
      <c r="T136" s="11"/>
      <c r="U136" s="11"/>
      <c r="V136" s="11"/>
      <c r="W136" s="11"/>
      <c r="X136" s="11"/>
      <c r="Y136" s="11"/>
      <c r="Z136" s="11"/>
    </row>
    <row r="137" ht="16.5" customHeight="1">
      <c r="A137" s="11"/>
      <c r="B137" s="11"/>
      <c r="C137" s="11"/>
      <c r="D137" s="11"/>
      <c r="E137" s="11"/>
      <c r="F137" s="11"/>
      <c r="G137" s="12"/>
      <c r="H137" s="11"/>
      <c r="I137" s="12"/>
      <c r="J137" s="12"/>
      <c r="K137" s="12"/>
      <c r="L137" s="11"/>
      <c r="M137" s="11"/>
      <c r="N137" s="11"/>
      <c r="O137" s="11"/>
      <c r="P137" s="11"/>
      <c r="Q137" s="11"/>
      <c r="R137" s="11"/>
      <c r="S137" s="11"/>
      <c r="T137" s="11"/>
      <c r="U137" s="11"/>
      <c r="V137" s="11"/>
      <c r="W137" s="11"/>
      <c r="X137" s="11"/>
      <c r="Y137" s="11"/>
      <c r="Z137" s="11"/>
    </row>
    <row r="138" ht="16.5" customHeight="1">
      <c r="A138" s="11"/>
      <c r="B138" s="11"/>
      <c r="C138" s="11"/>
      <c r="D138" s="11"/>
      <c r="E138" s="11"/>
      <c r="F138" s="11"/>
      <c r="G138" s="12"/>
      <c r="H138" s="11"/>
      <c r="I138" s="12"/>
      <c r="J138" s="12"/>
      <c r="K138" s="12"/>
      <c r="L138" s="11"/>
      <c r="M138" s="11"/>
      <c r="N138" s="11"/>
      <c r="O138" s="11"/>
      <c r="P138" s="11"/>
      <c r="Q138" s="11"/>
      <c r="R138" s="11"/>
      <c r="S138" s="11"/>
      <c r="T138" s="11"/>
      <c r="U138" s="11"/>
      <c r="V138" s="11"/>
      <c r="W138" s="11"/>
      <c r="X138" s="11"/>
      <c r="Y138" s="11"/>
      <c r="Z138" s="11"/>
    </row>
    <row r="139" ht="16.5" customHeight="1">
      <c r="A139" s="11"/>
      <c r="B139" s="11"/>
      <c r="C139" s="11"/>
      <c r="D139" s="11"/>
      <c r="E139" s="11"/>
      <c r="F139" s="11"/>
      <c r="G139" s="12"/>
      <c r="H139" s="11"/>
      <c r="I139" s="12"/>
      <c r="J139" s="12"/>
      <c r="K139" s="12"/>
      <c r="L139" s="11"/>
      <c r="M139" s="11"/>
      <c r="N139" s="11"/>
      <c r="O139" s="11"/>
      <c r="P139" s="11"/>
      <c r="Q139" s="11"/>
      <c r="R139" s="11"/>
      <c r="S139" s="11"/>
      <c r="T139" s="11"/>
      <c r="U139" s="11"/>
      <c r="V139" s="11"/>
      <c r="W139" s="11"/>
      <c r="X139" s="11"/>
      <c r="Y139" s="11"/>
      <c r="Z139" s="11"/>
    </row>
    <row r="140" ht="16.5" customHeight="1">
      <c r="A140" s="11"/>
      <c r="B140" s="11"/>
      <c r="C140" s="11"/>
      <c r="D140" s="11"/>
      <c r="E140" s="11"/>
      <c r="F140" s="11"/>
      <c r="G140" s="12"/>
      <c r="H140" s="11"/>
      <c r="I140" s="12"/>
      <c r="J140" s="12"/>
      <c r="K140" s="12"/>
      <c r="L140" s="11"/>
      <c r="M140" s="11"/>
      <c r="N140" s="11"/>
      <c r="O140" s="11"/>
      <c r="P140" s="11"/>
      <c r="Q140" s="11"/>
      <c r="R140" s="11"/>
      <c r="S140" s="11"/>
      <c r="T140" s="11"/>
      <c r="U140" s="11"/>
      <c r="V140" s="11"/>
      <c r="W140" s="11"/>
      <c r="X140" s="11"/>
      <c r="Y140" s="11"/>
      <c r="Z140" s="11"/>
    </row>
    <row r="141" ht="16.5" customHeight="1">
      <c r="A141" s="11"/>
      <c r="B141" s="11"/>
      <c r="C141" s="11"/>
      <c r="D141" s="11"/>
      <c r="E141" s="11"/>
      <c r="F141" s="11"/>
      <c r="G141" s="12"/>
      <c r="H141" s="11"/>
      <c r="I141" s="12"/>
      <c r="J141" s="12"/>
      <c r="K141" s="12"/>
      <c r="L141" s="11"/>
      <c r="M141" s="11"/>
      <c r="N141" s="11"/>
      <c r="O141" s="11"/>
      <c r="P141" s="11"/>
      <c r="Q141" s="11"/>
      <c r="R141" s="11"/>
      <c r="S141" s="11"/>
      <c r="T141" s="11"/>
      <c r="U141" s="11"/>
      <c r="V141" s="11"/>
      <c r="W141" s="11"/>
      <c r="X141" s="11"/>
      <c r="Y141" s="11"/>
      <c r="Z141" s="11"/>
    </row>
    <row r="142" ht="16.5" customHeight="1">
      <c r="A142" s="11"/>
      <c r="B142" s="11"/>
      <c r="C142" s="11"/>
      <c r="D142" s="11"/>
      <c r="E142" s="11"/>
      <c r="F142" s="11"/>
      <c r="G142" s="12"/>
      <c r="H142" s="11"/>
      <c r="I142" s="12"/>
      <c r="J142" s="12"/>
      <c r="K142" s="12"/>
      <c r="L142" s="11"/>
      <c r="M142" s="11"/>
      <c r="N142" s="11"/>
      <c r="O142" s="11"/>
      <c r="P142" s="11"/>
      <c r="Q142" s="11"/>
      <c r="R142" s="11"/>
      <c r="S142" s="11"/>
      <c r="T142" s="11"/>
      <c r="U142" s="11"/>
      <c r="V142" s="11"/>
      <c r="W142" s="11"/>
      <c r="X142" s="11"/>
      <c r="Y142" s="11"/>
      <c r="Z142" s="11"/>
    </row>
    <row r="143" ht="16.5" customHeight="1">
      <c r="A143" s="11"/>
      <c r="B143" s="11"/>
      <c r="C143" s="11"/>
      <c r="D143" s="11"/>
      <c r="E143" s="11"/>
      <c r="F143" s="11"/>
      <c r="G143" s="12"/>
      <c r="H143" s="11"/>
      <c r="I143" s="12"/>
      <c r="J143" s="12"/>
      <c r="K143" s="12"/>
      <c r="L143" s="11"/>
      <c r="M143" s="11"/>
      <c r="N143" s="11"/>
      <c r="O143" s="11"/>
      <c r="P143" s="11"/>
      <c r="Q143" s="11"/>
      <c r="R143" s="11"/>
      <c r="S143" s="11"/>
      <c r="T143" s="11"/>
      <c r="U143" s="11"/>
      <c r="V143" s="11"/>
      <c r="W143" s="11"/>
      <c r="X143" s="11"/>
      <c r="Y143" s="11"/>
      <c r="Z143" s="11"/>
    </row>
    <row r="144" ht="16.5" customHeight="1">
      <c r="A144" s="11"/>
      <c r="B144" s="11"/>
      <c r="C144" s="11"/>
      <c r="D144" s="11"/>
      <c r="E144" s="11"/>
      <c r="F144" s="11"/>
      <c r="G144" s="12"/>
      <c r="H144" s="11"/>
      <c r="I144" s="12"/>
      <c r="J144" s="12"/>
      <c r="K144" s="12"/>
      <c r="L144" s="11"/>
      <c r="M144" s="11"/>
      <c r="N144" s="11"/>
      <c r="O144" s="11"/>
      <c r="P144" s="11"/>
      <c r="Q144" s="11"/>
      <c r="R144" s="11"/>
      <c r="S144" s="11"/>
      <c r="T144" s="11"/>
      <c r="U144" s="11"/>
      <c r="V144" s="11"/>
      <c r="W144" s="11"/>
      <c r="X144" s="11"/>
      <c r="Y144" s="11"/>
      <c r="Z144" s="11"/>
    </row>
    <row r="145" ht="16.5" customHeight="1">
      <c r="A145" s="11"/>
      <c r="B145" s="11"/>
      <c r="C145" s="11"/>
      <c r="D145" s="11"/>
      <c r="E145" s="11"/>
      <c r="F145" s="11"/>
      <c r="G145" s="12"/>
      <c r="H145" s="11"/>
      <c r="I145" s="12"/>
      <c r="J145" s="12"/>
      <c r="K145" s="12"/>
      <c r="L145" s="11"/>
      <c r="M145" s="11"/>
      <c r="N145" s="11"/>
      <c r="O145" s="11"/>
      <c r="P145" s="11"/>
      <c r="Q145" s="11"/>
      <c r="R145" s="11"/>
      <c r="S145" s="11"/>
      <c r="T145" s="11"/>
      <c r="U145" s="11"/>
      <c r="V145" s="11"/>
      <c r="W145" s="11"/>
      <c r="X145" s="11"/>
      <c r="Y145" s="11"/>
      <c r="Z145" s="11"/>
    </row>
    <row r="146" ht="16.5" customHeight="1">
      <c r="A146" s="11"/>
      <c r="B146" s="11"/>
      <c r="C146" s="11"/>
      <c r="D146" s="11"/>
      <c r="E146" s="11"/>
      <c r="F146" s="11"/>
      <c r="G146" s="12"/>
      <c r="H146" s="11"/>
      <c r="I146" s="12"/>
      <c r="J146" s="12"/>
      <c r="K146" s="12"/>
      <c r="L146" s="11"/>
      <c r="M146" s="11"/>
      <c r="N146" s="11"/>
      <c r="O146" s="11"/>
      <c r="P146" s="11"/>
      <c r="Q146" s="11"/>
      <c r="R146" s="11"/>
      <c r="S146" s="11"/>
      <c r="T146" s="11"/>
      <c r="U146" s="11"/>
      <c r="V146" s="11"/>
      <c r="W146" s="11"/>
      <c r="X146" s="11"/>
      <c r="Y146" s="11"/>
      <c r="Z146" s="11"/>
    </row>
    <row r="147" ht="16.5" customHeight="1">
      <c r="A147" s="11"/>
      <c r="B147" s="11"/>
      <c r="C147" s="11"/>
      <c r="D147" s="11"/>
      <c r="E147" s="11"/>
      <c r="F147" s="11"/>
      <c r="G147" s="12"/>
      <c r="H147" s="11"/>
      <c r="I147" s="12"/>
      <c r="J147" s="12"/>
      <c r="K147" s="12"/>
      <c r="L147" s="11"/>
      <c r="M147" s="11"/>
      <c r="N147" s="11"/>
      <c r="O147" s="11"/>
      <c r="P147" s="11"/>
      <c r="Q147" s="11"/>
      <c r="R147" s="11"/>
      <c r="S147" s="11"/>
      <c r="T147" s="11"/>
      <c r="U147" s="11"/>
      <c r="V147" s="11"/>
      <c r="W147" s="11"/>
      <c r="X147" s="11"/>
      <c r="Y147" s="11"/>
      <c r="Z147" s="11"/>
    </row>
    <row r="148" ht="16.5" customHeight="1">
      <c r="A148" s="11"/>
      <c r="B148" s="11"/>
      <c r="C148" s="11"/>
      <c r="D148" s="11"/>
      <c r="E148" s="11"/>
      <c r="F148" s="11"/>
      <c r="G148" s="12"/>
      <c r="H148" s="11"/>
      <c r="I148" s="12"/>
      <c r="J148" s="12"/>
      <c r="K148" s="12"/>
      <c r="L148" s="11"/>
      <c r="M148" s="11"/>
      <c r="N148" s="11"/>
      <c r="O148" s="11"/>
      <c r="P148" s="11"/>
      <c r="Q148" s="11"/>
      <c r="R148" s="11"/>
      <c r="S148" s="11"/>
      <c r="T148" s="11"/>
      <c r="U148" s="11"/>
      <c r="V148" s="11"/>
      <c r="W148" s="11"/>
      <c r="X148" s="11"/>
      <c r="Y148" s="11"/>
      <c r="Z148" s="11"/>
    </row>
    <row r="149" ht="16.5" customHeight="1">
      <c r="A149" s="11"/>
      <c r="B149" s="11"/>
      <c r="C149" s="11"/>
      <c r="D149" s="11"/>
      <c r="E149" s="11"/>
      <c r="F149" s="11"/>
      <c r="G149" s="12"/>
      <c r="H149" s="11"/>
      <c r="I149" s="12"/>
      <c r="J149" s="12"/>
      <c r="K149" s="12"/>
      <c r="L149" s="11"/>
      <c r="M149" s="11"/>
      <c r="N149" s="11"/>
      <c r="O149" s="11"/>
      <c r="P149" s="11"/>
      <c r="Q149" s="11"/>
      <c r="R149" s="11"/>
      <c r="S149" s="11"/>
      <c r="T149" s="11"/>
      <c r="U149" s="11"/>
      <c r="V149" s="11"/>
      <c r="W149" s="11"/>
      <c r="X149" s="11"/>
      <c r="Y149" s="11"/>
      <c r="Z149" s="11"/>
    </row>
    <row r="150" ht="16.5" customHeight="1">
      <c r="A150" s="11"/>
      <c r="B150" s="11"/>
      <c r="C150" s="11"/>
      <c r="D150" s="11"/>
      <c r="E150" s="11"/>
      <c r="F150" s="11"/>
      <c r="G150" s="12"/>
      <c r="H150" s="11"/>
      <c r="I150" s="12"/>
      <c r="J150" s="12"/>
      <c r="K150" s="12"/>
      <c r="L150" s="11"/>
      <c r="M150" s="11"/>
      <c r="N150" s="11"/>
      <c r="O150" s="11"/>
      <c r="P150" s="11"/>
      <c r="Q150" s="11"/>
      <c r="R150" s="11"/>
      <c r="S150" s="11"/>
      <c r="T150" s="11"/>
      <c r="U150" s="11"/>
      <c r="V150" s="11"/>
      <c r="W150" s="11"/>
      <c r="X150" s="11"/>
      <c r="Y150" s="11"/>
      <c r="Z150" s="11"/>
    </row>
    <row r="151" ht="16.5" customHeight="1">
      <c r="A151" s="11"/>
      <c r="B151" s="11"/>
      <c r="C151" s="11"/>
      <c r="D151" s="11"/>
      <c r="E151" s="11"/>
      <c r="F151" s="11"/>
      <c r="G151" s="12"/>
      <c r="H151" s="11"/>
      <c r="I151" s="12"/>
      <c r="J151" s="12"/>
      <c r="K151" s="12"/>
      <c r="L151" s="11"/>
      <c r="M151" s="11"/>
      <c r="N151" s="11"/>
      <c r="O151" s="11"/>
      <c r="P151" s="11"/>
      <c r="Q151" s="11"/>
      <c r="R151" s="11"/>
      <c r="S151" s="11"/>
      <c r="T151" s="11"/>
      <c r="U151" s="11"/>
      <c r="V151" s="11"/>
      <c r="W151" s="11"/>
      <c r="X151" s="11"/>
      <c r="Y151" s="11"/>
      <c r="Z151" s="11"/>
    </row>
    <row r="152" ht="16.5" customHeight="1">
      <c r="A152" s="11"/>
      <c r="B152" s="11"/>
      <c r="C152" s="11"/>
      <c r="D152" s="11"/>
      <c r="E152" s="11"/>
      <c r="F152" s="11"/>
      <c r="G152" s="12"/>
      <c r="H152" s="11"/>
      <c r="I152" s="12"/>
      <c r="J152" s="12"/>
      <c r="K152" s="12"/>
      <c r="L152" s="11"/>
      <c r="M152" s="11"/>
      <c r="N152" s="11"/>
      <c r="O152" s="11"/>
      <c r="P152" s="11"/>
      <c r="Q152" s="11"/>
      <c r="R152" s="11"/>
      <c r="S152" s="11"/>
      <c r="T152" s="11"/>
      <c r="U152" s="11"/>
      <c r="V152" s="11"/>
      <c r="W152" s="11"/>
      <c r="X152" s="11"/>
      <c r="Y152" s="11"/>
      <c r="Z152" s="11"/>
    </row>
    <row r="153" ht="16.5" customHeight="1">
      <c r="A153" s="11"/>
      <c r="B153" s="11"/>
      <c r="C153" s="11"/>
      <c r="D153" s="11"/>
      <c r="E153" s="11"/>
      <c r="F153" s="11"/>
      <c r="G153" s="12"/>
      <c r="H153" s="11"/>
      <c r="I153" s="12"/>
      <c r="J153" s="12"/>
      <c r="K153" s="12"/>
      <c r="L153" s="11"/>
      <c r="M153" s="11"/>
      <c r="N153" s="11"/>
      <c r="O153" s="11"/>
      <c r="P153" s="11"/>
      <c r="Q153" s="11"/>
      <c r="R153" s="11"/>
      <c r="S153" s="11"/>
      <c r="T153" s="11"/>
      <c r="U153" s="11"/>
      <c r="V153" s="11"/>
      <c r="W153" s="11"/>
      <c r="X153" s="11"/>
      <c r="Y153" s="11"/>
      <c r="Z153" s="11"/>
    </row>
    <row r="154" ht="16.5" customHeight="1">
      <c r="A154" s="11"/>
      <c r="B154" s="11"/>
      <c r="C154" s="11"/>
      <c r="D154" s="11"/>
      <c r="E154" s="11"/>
      <c r="F154" s="11"/>
      <c r="G154" s="12"/>
      <c r="H154" s="11"/>
      <c r="I154" s="12"/>
      <c r="J154" s="12"/>
      <c r="K154" s="12"/>
      <c r="L154" s="11"/>
      <c r="M154" s="11"/>
      <c r="N154" s="11"/>
      <c r="O154" s="11"/>
      <c r="P154" s="11"/>
      <c r="Q154" s="11"/>
      <c r="R154" s="11"/>
      <c r="S154" s="11"/>
      <c r="T154" s="11"/>
      <c r="U154" s="11"/>
      <c r="V154" s="11"/>
      <c r="W154" s="11"/>
      <c r="X154" s="11"/>
      <c r="Y154" s="11"/>
      <c r="Z154" s="11"/>
    </row>
    <row r="155" ht="16.5" customHeight="1">
      <c r="A155" s="11"/>
      <c r="B155" s="11"/>
      <c r="C155" s="11"/>
      <c r="D155" s="11"/>
      <c r="E155" s="11"/>
      <c r="F155" s="11"/>
      <c r="G155" s="12"/>
      <c r="H155" s="11"/>
      <c r="I155" s="12"/>
      <c r="J155" s="12"/>
      <c r="K155" s="12"/>
      <c r="L155" s="11"/>
      <c r="M155" s="11"/>
      <c r="N155" s="11"/>
      <c r="O155" s="11"/>
      <c r="P155" s="11"/>
      <c r="Q155" s="11"/>
      <c r="R155" s="11"/>
      <c r="S155" s="11"/>
      <c r="T155" s="11"/>
      <c r="U155" s="11"/>
      <c r="V155" s="11"/>
      <c r="W155" s="11"/>
      <c r="X155" s="11"/>
      <c r="Y155" s="11"/>
      <c r="Z155" s="11"/>
    </row>
    <row r="156" ht="16.5" customHeight="1">
      <c r="A156" s="11"/>
      <c r="B156" s="11"/>
      <c r="C156" s="11"/>
      <c r="D156" s="11"/>
      <c r="E156" s="11"/>
      <c r="F156" s="11"/>
      <c r="G156" s="12"/>
      <c r="H156" s="11"/>
      <c r="I156" s="12"/>
      <c r="J156" s="12"/>
      <c r="K156" s="12"/>
      <c r="L156" s="11"/>
      <c r="M156" s="11"/>
      <c r="N156" s="11"/>
      <c r="O156" s="11"/>
      <c r="P156" s="11"/>
      <c r="Q156" s="11"/>
      <c r="R156" s="11"/>
      <c r="S156" s="11"/>
      <c r="T156" s="11"/>
      <c r="U156" s="11"/>
      <c r="V156" s="11"/>
      <c r="W156" s="11"/>
      <c r="X156" s="11"/>
      <c r="Y156" s="11"/>
      <c r="Z156" s="11"/>
    </row>
    <row r="157" ht="16.5" customHeight="1">
      <c r="A157" s="11"/>
      <c r="B157" s="11"/>
      <c r="C157" s="11"/>
      <c r="D157" s="11"/>
      <c r="E157" s="11"/>
      <c r="F157" s="11"/>
      <c r="G157" s="12"/>
      <c r="H157" s="11"/>
      <c r="I157" s="12"/>
      <c r="J157" s="12"/>
      <c r="K157" s="12"/>
      <c r="L157" s="11"/>
      <c r="M157" s="11"/>
      <c r="N157" s="11"/>
      <c r="O157" s="11"/>
      <c r="P157" s="11"/>
      <c r="Q157" s="11"/>
      <c r="R157" s="11"/>
      <c r="S157" s="11"/>
      <c r="T157" s="11"/>
      <c r="U157" s="11"/>
      <c r="V157" s="11"/>
      <c r="W157" s="11"/>
      <c r="X157" s="11"/>
      <c r="Y157" s="11"/>
      <c r="Z157" s="11"/>
    </row>
    <row r="158" ht="16.5" customHeight="1">
      <c r="A158" s="11"/>
      <c r="B158" s="11"/>
      <c r="C158" s="11"/>
      <c r="D158" s="11"/>
      <c r="E158" s="11"/>
      <c r="F158" s="11"/>
      <c r="G158" s="12"/>
      <c r="H158" s="11"/>
      <c r="I158" s="12"/>
      <c r="J158" s="12"/>
      <c r="K158" s="12"/>
      <c r="L158" s="11"/>
      <c r="M158" s="11"/>
      <c r="N158" s="11"/>
      <c r="O158" s="11"/>
      <c r="P158" s="11"/>
      <c r="Q158" s="11"/>
      <c r="R158" s="11"/>
      <c r="S158" s="11"/>
      <c r="T158" s="11"/>
      <c r="U158" s="11"/>
      <c r="V158" s="11"/>
      <c r="W158" s="11"/>
      <c r="X158" s="11"/>
      <c r="Y158" s="11"/>
      <c r="Z158" s="11"/>
    </row>
    <row r="159" ht="16.5" customHeight="1">
      <c r="A159" s="11"/>
      <c r="B159" s="11"/>
      <c r="C159" s="11"/>
      <c r="D159" s="11"/>
      <c r="E159" s="11"/>
      <c r="F159" s="11"/>
      <c r="G159" s="12"/>
      <c r="H159" s="11"/>
      <c r="I159" s="12"/>
      <c r="J159" s="12"/>
      <c r="K159" s="12"/>
      <c r="L159" s="11"/>
      <c r="M159" s="11"/>
      <c r="N159" s="11"/>
      <c r="O159" s="11"/>
      <c r="P159" s="11"/>
      <c r="Q159" s="11"/>
      <c r="R159" s="11"/>
      <c r="S159" s="11"/>
      <c r="T159" s="11"/>
      <c r="U159" s="11"/>
      <c r="V159" s="11"/>
      <c r="W159" s="11"/>
      <c r="X159" s="11"/>
      <c r="Y159" s="11"/>
      <c r="Z159" s="11"/>
    </row>
    <row r="160" ht="16.5" customHeight="1">
      <c r="A160" s="11"/>
      <c r="B160" s="11"/>
      <c r="C160" s="11"/>
      <c r="D160" s="11"/>
      <c r="E160" s="11"/>
      <c r="F160" s="11"/>
      <c r="G160" s="12"/>
      <c r="H160" s="11"/>
      <c r="I160" s="12"/>
      <c r="J160" s="12"/>
      <c r="K160" s="12"/>
      <c r="L160" s="11"/>
      <c r="M160" s="11"/>
      <c r="N160" s="11"/>
      <c r="O160" s="11"/>
      <c r="P160" s="11"/>
      <c r="Q160" s="11"/>
      <c r="R160" s="11"/>
      <c r="S160" s="11"/>
      <c r="T160" s="11"/>
      <c r="U160" s="11"/>
      <c r="V160" s="11"/>
      <c r="W160" s="11"/>
      <c r="X160" s="11"/>
      <c r="Y160" s="11"/>
      <c r="Z160" s="11"/>
    </row>
    <row r="161" ht="16.5" customHeight="1">
      <c r="A161" s="11"/>
      <c r="B161" s="11"/>
      <c r="C161" s="11"/>
      <c r="D161" s="11"/>
      <c r="E161" s="11"/>
      <c r="F161" s="11"/>
      <c r="G161" s="12"/>
      <c r="H161" s="11"/>
      <c r="I161" s="12"/>
      <c r="J161" s="12"/>
      <c r="K161" s="12"/>
      <c r="L161" s="11"/>
      <c r="M161" s="11"/>
      <c r="N161" s="11"/>
      <c r="O161" s="11"/>
      <c r="P161" s="11"/>
      <c r="Q161" s="11"/>
      <c r="R161" s="11"/>
      <c r="S161" s="11"/>
      <c r="T161" s="11"/>
      <c r="U161" s="11"/>
      <c r="V161" s="11"/>
      <c r="W161" s="11"/>
      <c r="X161" s="11"/>
      <c r="Y161" s="11"/>
      <c r="Z161" s="11"/>
    </row>
    <row r="162" ht="16.5" customHeight="1">
      <c r="A162" s="11"/>
      <c r="B162" s="11"/>
      <c r="C162" s="11"/>
      <c r="D162" s="11"/>
      <c r="E162" s="11"/>
      <c r="F162" s="11"/>
      <c r="G162" s="12"/>
      <c r="H162" s="11"/>
      <c r="I162" s="12"/>
      <c r="J162" s="12"/>
      <c r="K162" s="12"/>
      <c r="L162" s="11"/>
      <c r="M162" s="11"/>
      <c r="N162" s="11"/>
      <c r="O162" s="11"/>
      <c r="P162" s="11"/>
      <c r="Q162" s="11"/>
      <c r="R162" s="11"/>
      <c r="S162" s="11"/>
      <c r="T162" s="11"/>
      <c r="U162" s="11"/>
      <c r="V162" s="11"/>
      <c r="W162" s="11"/>
      <c r="X162" s="11"/>
      <c r="Y162" s="11"/>
      <c r="Z162" s="11"/>
    </row>
    <row r="163" ht="16.5" customHeight="1">
      <c r="A163" s="11"/>
      <c r="B163" s="11"/>
      <c r="C163" s="11"/>
      <c r="D163" s="11"/>
      <c r="E163" s="11"/>
      <c r="F163" s="11"/>
      <c r="G163" s="12"/>
      <c r="H163" s="11"/>
      <c r="I163" s="12"/>
      <c r="J163" s="12"/>
      <c r="K163" s="12"/>
      <c r="L163" s="11"/>
      <c r="M163" s="11"/>
      <c r="N163" s="11"/>
      <c r="O163" s="11"/>
      <c r="P163" s="11"/>
      <c r="Q163" s="11"/>
      <c r="R163" s="11"/>
      <c r="S163" s="11"/>
      <c r="T163" s="11"/>
      <c r="U163" s="11"/>
      <c r="V163" s="11"/>
      <c r="W163" s="11"/>
      <c r="X163" s="11"/>
      <c r="Y163" s="11"/>
      <c r="Z163" s="11"/>
    </row>
    <row r="164" ht="16.5" customHeight="1">
      <c r="A164" s="11"/>
      <c r="B164" s="11"/>
      <c r="C164" s="11"/>
      <c r="D164" s="11"/>
      <c r="E164" s="11"/>
      <c r="F164" s="11"/>
      <c r="G164" s="12"/>
      <c r="H164" s="11"/>
      <c r="I164" s="12"/>
      <c r="J164" s="12"/>
      <c r="K164" s="12"/>
      <c r="L164" s="11"/>
      <c r="M164" s="11"/>
      <c r="N164" s="11"/>
      <c r="O164" s="11"/>
      <c r="P164" s="11"/>
      <c r="Q164" s="11"/>
      <c r="R164" s="11"/>
      <c r="S164" s="11"/>
      <c r="T164" s="11"/>
      <c r="U164" s="11"/>
      <c r="V164" s="11"/>
      <c r="W164" s="11"/>
      <c r="X164" s="11"/>
      <c r="Y164" s="11"/>
      <c r="Z164" s="11"/>
    </row>
    <row r="165" ht="16.5" customHeight="1">
      <c r="A165" s="11"/>
      <c r="B165" s="11"/>
      <c r="C165" s="11"/>
      <c r="D165" s="11"/>
      <c r="E165" s="11"/>
      <c r="F165" s="11"/>
      <c r="G165" s="12"/>
      <c r="H165" s="11"/>
      <c r="I165" s="12"/>
      <c r="J165" s="12"/>
      <c r="K165" s="12"/>
      <c r="L165" s="11"/>
      <c r="M165" s="11"/>
      <c r="N165" s="11"/>
      <c r="O165" s="11"/>
      <c r="P165" s="11"/>
      <c r="Q165" s="11"/>
      <c r="R165" s="11"/>
      <c r="S165" s="11"/>
      <c r="T165" s="11"/>
      <c r="U165" s="11"/>
      <c r="V165" s="11"/>
      <c r="W165" s="11"/>
      <c r="X165" s="11"/>
      <c r="Y165" s="11"/>
      <c r="Z165" s="11"/>
    </row>
    <row r="166" ht="16.5" customHeight="1">
      <c r="A166" s="11"/>
      <c r="B166" s="11"/>
      <c r="C166" s="11"/>
      <c r="D166" s="11"/>
      <c r="E166" s="11"/>
      <c r="F166" s="11"/>
      <c r="G166" s="12"/>
      <c r="H166" s="11"/>
      <c r="I166" s="12"/>
      <c r="J166" s="12"/>
      <c r="K166" s="12"/>
      <c r="L166" s="11"/>
      <c r="M166" s="11"/>
      <c r="N166" s="11"/>
      <c r="O166" s="11"/>
      <c r="P166" s="11"/>
      <c r="Q166" s="11"/>
      <c r="R166" s="11"/>
      <c r="S166" s="11"/>
      <c r="T166" s="11"/>
      <c r="U166" s="11"/>
      <c r="V166" s="11"/>
      <c r="W166" s="11"/>
      <c r="X166" s="11"/>
      <c r="Y166" s="11"/>
      <c r="Z166" s="11"/>
    </row>
    <row r="167" ht="16.5" customHeight="1">
      <c r="A167" s="11"/>
      <c r="B167" s="11"/>
      <c r="C167" s="11"/>
      <c r="D167" s="11"/>
      <c r="E167" s="11"/>
      <c r="F167" s="11"/>
      <c r="G167" s="12"/>
      <c r="H167" s="11"/>
      <c r="I167" s="12"/>
      <c r="J167" s="12"/>
      <c r="K167" s="12"/>
      <c r="L167" s="11"/>
      <c r="M167" s="11"/>
      <c r="N167" s="11"/>
      <c r="O167" s="11"/>
      <c r="P167" s="11"/>
      <c r="Q167" s="11"/>
      <c r="R167" s="11"/>
      <c r="S167" s="11"/>
      <c r="T167" s="11"/>
      <c r="U167" s="11"/>
      <c r="V167" s="11"/>
      <c r="W167" s="11"/>
      <c r="X167" s="11"/>
      <c r="Y167" s="11"/>
      <c r="Z167" s="11"/>
    </row>
    <row r="168" ht="16.5" customHeight="1">
      <c r="A168" s="11"/>
      <c r="B168" s="11"/>
      <c r="C168" s="11"/>
      <c r="D168" s="11"/>
      <c r="E168" s="11"/>
      <c r="F168" s="11"/>
      <c r="G168" s="12"/>
      <c r="H168" s="11"/>
      <c r="I168" s="12"/>
      <c r="J168" s="12"/>
      <c r="K168" s="12"/>
      <c r="L168" s="11"/>
      <c r="M168" s="11"/>
      <c r="N168" s="11"/>
      <c r="O168" s="11"/>
      <c r="P168" s="11"/>
      <c r="Q168" s="11"/>
      <c r="R168" s="11"/>
      <c r="S168" s="11"/>
      <c r="T168" s="11"/>
      <c r="U168" s="11"/>
      <c r="V168" s="11"/>
      <c r="W168" s="11"/>
      <c r="X168" s="11"/>
      <c r="Y168" s="11"/>
      <c r="Z168" s="11"/>
    </row>
    <row r="169" ht="16.5" customHeight="1">
      <c r="A169" s="11"/>
      <c r="B169" s="11"/>
      <c r="C169" s="11"/>
      <c r="D169" s="11"/>
      <c r="E169" s="11"/>
      <c r="F169" s="11"/>
      <c r="G169" s="12"/>
      <c r="H169" s="11"/>
      <c r="I169" s="12"/>
      <c r="J169" s="12"/>
      <c r="K169" s="12"/>
      <c r="L169" s="11"/>
      <c r="M169" s="11"/>
      <c r="N169" s="11"/>
      <c r="O169" s="11"/>
      <c r="P169" s="11"/>
      <c r="Q169" s="11"/>
      <c r="R169" s="11"/>
      <c r="S169" s="11"/>
      <c r="T169" s="11"/>
      <c r="U169" s="11"/>
      <c r="V169" s="11"/>
      <c r="W169" s="11"/>
      <c r="X169" s="11"/>
      <c r="Y169" s="11"/>
      <c r="Z169" s="11"/>
    </row>
    <row r="170" ht="16.5" customHeight="1">
      <c r="A170" s="11"/>
      <c r="B170" s="11"/>
      <c r="C170" s="11"/>
      <c r="D170" s="11"/>
      <c r="E170" s="11"/>
      <c r="F170" s="11"/>
      <c r="G170" s="12"/>
      <c r="H170" s="11"/>
      <c r="I170" s="12"/>
      <c r="J170" s="12"/>
      <c r="K170" s="12"/>
      <c r="L170" s="11"/>
      <c r="M170" s="11"/>
      <c r="N170" s="11"/>
      <c r="O170" s="11"/>
      <c r="P170" s="11"/>
      <c r="Q170" s="11"/>
      <c r="R170" s="11"/>
      <c r="S170" s="11"/>
      <c r="T170" s="11"/>
      <c r="U170" s="11"/>
      <c r="V170" s="11"/>
      <c r="W170" s="11"/>
      <c r="X170" s="11"/>
      <c r="Y170" s="11"/>
      <c r="Z170" s="11"/>
    </row>
    <row r="171" ht="16.5" customHeight="1">
      <c r="A171" s="11"/>
      <c r="B171" s="11"/>
      <c r="C171" s="11"/>
      <c r="D171" s="11"/>
      <c r="E171" s="11"/>
      <c r="F171" s="11"/>
      <c r="G171" s="12"/>
      <c r="H171" s="11"/>
      <c r="I171" s="12"/>
      <c r="J171" s="12"/>
      <c r="K171" s="12"/>
      <c r="L171" s="11"/>
      <c r="M171" s="11"/>
      <c r="N171" s="11"/>
      <c r="O171" s="11"/>
      <c r="P171" s="11"/>
      <c r="Q171" s="11"/>
      <c r="R171" s="11"/>
      <c r="S171" s="11"/>
      <c r="T171" s="11"/>
      <c r="U171" s="11"/>
      <c r="V171" s="11"/>
      <c r="W171" s="11"/>
      <c r="X171" s="11"/>
      <c r="Y171" s="11"/>
      <c r="Z171" s="11"/>
    </row>
    <row r="172" ht="16.5" customHeight="1">
      <c r="A172" s="11"/>
      <c r="B172" s="11"/>
      <c r="C172" s="11"/>
      <c r="D172" s="11"/>
      <c r="E172" s="11"/>
      <c r="F172" s="11"/>
      <c r="G172" s="12"/>
      <c r="H172" s="11"/>
      <c r="I172" s="12"/>
      <c r="J172" s="12"/>
      <c r="K172" s="12"/>
      <c r="L172" s="11"/>
      <c r="M172" s="11"/>
      <c r="N172" s="11"/>
      <c r="O172" s="11"/>
      <c r="P172" s="11"/>
      <c r="Q172" s="11"/>
      <c r="R172" s="11"/>
      <c r="S172" s="11"/>
      <c r="T172" s="11"/>
      <c r="U172" s="11"/>
      <c r="V172" s="11"/>
      <c r="W172" s="11"/>
      <c r="X172" s="11"/>
      <c r="Y172" s="11"/>
      <c r="Z172" s="11"/>
    </row>
    <row r="173" ht="16.5" customHeight="1">
      <c r="A173" s="11"/>
      <c r="B173" s="11"/>
      <c r="C173" s="11"/>
      <c r="D173" s="11"/>
      <c r="E173" s="11"/>
      <c r="F173" s="11"/>
      <c r="G173" s="12"/>
      <c r="H173" s="11"/>
      <c r="I173" s="12"/>
      <c r="J173" s="12"/>
      <c r="K173" s="12"/>
      <c r="L173" s="11"/>
      <c r="M173" s="11"/>
      <c r="N173" s="11"/>
      <c r="O173" s="11"/>
      <c r="P173" s="11"/>
      <c r="Q173" s="11"/>
      <c r="R173" s="11"/>
      <c r="S173" s="11"/>
      <c r="T173" s="11"/>
      <c r="U173" s="11"/>
      <c r="V173" s="11"/>
      <c r="W173" s="11"/>
      <c r="X173" s="11"/>
      <c r="Y173" s="11"/>
      <c r="Z173" s="11"/>
    </row>
    <row r="174" ht="16.5" customHeight="1">
      <c r="A174" s="11"/>
      <c r="B174" s="11"/>
      <c r="C174" s="11"/>
      <c r="D174" s="11"/>
      <c r="E174" s="11"/>
      <c r="F174" s="11"/>
      <c r="G174" s="12"/>
      <c r="H174" s="11"/>
      <c r="I174" s="12"/>
      <c r="J174" s="12"/>
      <c r="K174" s="12"/>
      <c r="L174" s="11"/>
      <c r="M174" s="11"/>
      <c r="N174" s="11"/>
      <c r="O174" s="11"/>
      <c r="P174" s="11"/>
      <c r="Q174" s="11"/>
      <c r="R174" s="11"/>
      <c r="S174" s="11"/>
      <c r="T174" s="11"/>
      <c r="U174" s="11"/>
      <c r="V174" s="11"/>
      <c r="W174" s="11"/>
      <c r="X174" s="11"/>
      <c r="Y174" s="11"/>
      <c r="Z174" s="11"/>
    </row>
    <row r="175" ht="16.5" customHeight="1">
      <c r="A175" s="11"/>
      <c r="B175" s="11"/>
      <c r="C175" s="11"/>
      <c r="D175" s="11"/>
      <c r="E175" s="11"/>
      <c r="F175" s="11"/>
      <c r="G175" s="12"/>
      <c r="H175" s="11"/>
      <c r="I175" s="12"/>
      <c r="J175" s="12"/>
      <c r="K175" s="12"/>
      <c r="L175" s="11"/>
      <c r="M175" s="11"/>
      <c r="N175" s="11"/>
      <c r="O175" s="11"/>
      <c r="P175" s="11"/>
      <c r="Q175" s="11"/>
      <c r="R175" s="11"/>
      <c r="S175" s="11"/>
      <c r="T175" s="11"/>
      <c r="U175" s="11"/>
      <c r="V175" s="11"/>
      <c r="W175" s="11"/>
      <c r="X175" s="11"/>
      <c r="Y175" s="11"/>
      <c r="Z175" s="11"/>
    </row>
    <row r="176" ht="16.5" customHeight="1">
      <c r="A176" s="11"/>
      <c r="B176" s="11"/>
      <c r="C176" s="11"/>
      <c r="D176" s="11"/>
      <c r="E176" s="11"/>
      <c r="F176" s="11"/>
      <c r="G176" s="12"/>
      <c r="H176" s="11"/>
      <c r="I176" s="12"/>
      <c r="J176" s="12"/>
      <c r="K176" s="12"/>
      <c r="L176" s="11"/>
      <c r="M176" s="11"/>
      <c r="N176" s="11"/>
      <c r="O176" s="11"/>
      <c r="P176" s="11"/>
      <c r="Q176" s="11"/>
      <c r="R176" s="11"/>
      <c r="S176" s="11"/>
      <c r="T176" s="11"/>
      <c r="U176" s="11"/>
      <c r="V176" s="11"/>
      <c r="W176" s="11"/>
      <c r="X176" s="11"/>
      <c r="Y176" s="11"/>
      <c r="Z176" s="11"/>
    </row>
    <row r="177" ht="16.5" customHeight="1">
      <c r="A177" s="11"/>
      <c r="B177" s="11"/>
      <c r="C177" s="11"/>
      <c r="D177" s="11"/>
      <c r="E177" s="11"/>
      <c r="F177" s="11"/>
      <c r="G177" s="12"/>
      <c r="H177" s="11"/>
      <c r="I177" s="12"/>
      <c r="J177" s="12"/>
      <c r="K177" s="12"/>
      <c r="L177" s="11"/>
      <c r="M177" s="11"/>
      <c r="N177" s="11"/>
      <c r="O177" s="11"/>
      <c r="P177" s="11"/>
      <c r="Q177" s="11"/>
      <c r="R177" s="11"/>
      <c r="S177" s="11"/>
      <c r="T177" s="11"/>
      <c r="U177" s="11"/>
      <c r="V177" s="11"/>
      <c r="W177" s="11"/>
      <c r="X177" s="11"/>
      <c r="Y177" s="11"/>
      <c r="Z177" s="11"/>
    </row>
    <row r="178" ht="16.5" customHeight="1">
      <c r="A178" s="11"/>
      <c r="B178" s="11"/>
      <c r="C178" s="11"/>
      <c r="D178" s="11"/>
      <c r="E178" s="11"/>
      <c r="F178" s="11"/>
      <c r="G178" s="12"/>
      <c r="H178" s="11"/>
      <c r="I178" s="12"/>
      <c r="J178" s="12"/>
      <c r="K178" s="12"/>
      <c r="L178" s="11"/>
      <c r="M178" s="11"/>
      <c r="N178" s="11"/>
      <c r="O178" s="11"/>
      <c r="P178" s="11"/>
      <c r="Q178" s="11"/>
      <c r="R178" s="11"/>
      <c r="S178" s="11"/>
      <c r="T178" s="11"/>
      <c r="U178" s="11"/>
      <c r="V178" s="11"/>
      <c r="W178" s="11"/>
      <c r="X178" s="11"/>
      <c r="Y178" s="11"/>
      <c r="Z178" s="11"/>
    </row>
    <row r="179" ht="16.5" customHeight="1">
      <c r="A179" s="11"/>
      <c r="B179" s="11"/>
      <c r="C179" s="11"/>
      <c r="D179" s="11"/>
      <c r="E179" s="11"/>
      <c r="F179" s="11"/>
      <c r="G179" s="12"/>
      <c r="H179" s="11"/>
      <c r="I179" s="12"/>
      <c r="J179" s="12"/>
      <c r="K179" s="12"/>
      <c r="L179" s="11"/>
      <c r="M179" s="11"/>
      <c r="N179" s="11"/>
      <c r="O179" s="11"/>
      <c r="P179" s="11"/>
      <c r="Q179" s="11"/>
      <c r="R179" s="11"/>
      <c r="S179" s="11"/>
      <c r="T179" s="11"/>
      <c r="U179" s="11"/>
      <c r="V179" s="11"/>
      <c r="W179" s="11"/>
      <c r="X179" s="11"/>
      <c r="Y179" s="11"/>
      <c r="Z179" s="11"/>
    </row>
    <row r="180" ht="16.5" customHeight="1">
      <c r="A180" s="11"/>
      <c r="B180" s="11"/>
      <c r="C180" s="11"/>
      <c r="D180" s="11"/>
      <c r="E180" s="11"/>
      <c r="F180" s="11"/>
      <c r="G180" s="12"/>
      <c r="H180" s="11"/>
      <c r="I180" s="12"/>
      <c r="J180" s="12"/>
      <c r="K180" s="12"/>
      <c r="L180" s="11"/>
      <c r="M180" s="11"/>
      <c r="N180" s="11"/>
      <c r="O180" s="11"/>
      <c r="P180" s="11"/>
      <c r="Q180" s="11"/>
      <c r="R180" s="11"/>
      <c r="S180" s="11"/>
      <c r="T180" s="11"/>
      <c r="U180" s="11"/>
      <c r="V180" s="11"/>
      <c r="W180" s="11"/>
      <c r="X180" s="11"/>
      <c r="Y180" s="11"/>
      <c r="Z180" s="11"/>
    </row>
    <row r="181" ht="16.5" customHeight="1">
      <c r="A181" s="11"/>
      <c r="B181" s="11"/>
      <c r="C181" s="11"/>
      <c r="D181" s="11"/>
      <c r="E181" s="11"/>
      <c r="F181" s="11"/>
      <c r="G181" s="12"/>
      <c r="H181" s="11"/>
      <c r="I181" s="12"/>
      <c r="J181" s="12"/>
      <c r="K181" s="12"/>
      <c r="L181" s="11"/>
      <c r="M181" s="11"/>
      <c r="N181" s="11"/>
      <c r="O181" s="11"/>
      <c r="P181" s="11"/>
      <c r="Q181" s="11"/>
      <c r="R181" s="11"/>
      <c r="S181" s="11"/>
      <c r="T181" s="11"/>
      <c r="U181" s="11"/>
      <c r="V181" s="11"/>
      <c r="W181" s="11"/>
      <c r="X181" s="11"/>
      <c r="Y181" s="11"/>
      <c r="Z181" s="11"/>
    </row>
    <row r="182" ht="16.5" customHeight="1">
      <c r="A182" s="11"/>
      <c r="B182" s="11"/>
      <c r="C182" s="11"/>
      <c r="D182" s="11"/>
      <c r="E182" s="11"/>
      <c r="F182" s="11"/>
      <c r="G182" s="12"/>
      <c r="H182" s="11"/>
      <c r="I182" s="12"/>
      <c r="J182" s="12"/>
      <c r="K182" s="12"/>
      <c r="L182" s="11"/>
      <c r="M182" s="11"/>
      <c r="N182" s="11"/>
      <c r="O182" s="11"/>
      <c r="P182" s="11"/>
      <c r="Q182" s="11"/>
      <c r="R182" s="11"/>
      <c r="S182" s="11"/>
      <c r="T182" s="11"/>
      <c r="U182" s="11"/>
      <c r="V182" s="11"/>
      <c r="W182" s="11"/>
      <c r="X182" s="11"/>
      <c r="Y182" s="11"/>
      <c r="Z182" s="11"/>
    </row>
    <row r="183" ht="16.5" customHeight="1">
      <c r="A183" s="11"/>
      <c r="B183" s="11"/>
      <c r="C183" s="11"/>
      <c r="D183" s="11"/>
      <c r="E183" s="11"/>
      <c r="F183" s="11"/>
      <c r="G183" s="12"/>
      <c r="H183" s="11"/>
      <c r="I183" s="12"/>
      <c r="J183" s="12"/>
      <c r="K183" s="12"/>
      <c r="L183" s="11"/>
      <c r="M183" s="11"/>
      <c r="N183" s="11"/>
      <c r="O183" s="11"/>
      <c r="P183" s="11"/>
      <c r="Q183" s="11"/>
      <c r="R183" s="11"/>
      <c r="S183" s="11"/>
      <c r="T183" s="11"/>
      <c r="U183" s="11"/>
      <c r="V183" s="11"/>
      <c r="W183" s="11"/>
      <c r="X183" s="11"/>
      <c r="Y183" s="11"/>
      <c r="Z183" s="11"/>
    </row>
    <row r="184" ht="16.5" customHeight="1">
      <c r="A184" s="11"/>
      <c r="B184" s="11"/>
      <c r="C184" s="11"/>
      <c r="D184" s="11"/>
      <c r="E184" s="11"/>
      <c r="F184" s="11"/>
      <c r="G184" s="12"/>
      <c r="H184" s="11"/>
      <c r="I184" s="12"/>
      <c r="J184" s="12"/>
      <c r="K184" s="12"/>
      <c r="L184" s="11"/>
      <c r="M184" s="11"/>
      <c r="N184" s="11"/>
      <c r="O184" s="11"/>
      <c r="P184" s="11"/>
      <c r="Q184" s="11"/>
      <c r="R184" s="11"/>
      <c r="S184" s="11"/>
      <c r="T184" s="11"/>
      <c r="U184" s="11"/>
      <c r="V184" s="11"/>
      <c r="W184" s="11"/>
      <c r="X184" s="11"/>
      <c r="Y184" s="11"/>
      <c r="Z184" s="11"/>
    </row>
    <row r="185" ht="16.5" customHeight="1">
      <c r="A185" s="11"/>
      <c r="B185" s="11"/>
      <c r="C185" s="11"/>
      <c r="D185" s="11"/>
      <c r="E185" s="11"/>
      <c r="F185" s="11"/>
      <c r="G185" s="12"/>
      <c r="H185" s="11"/>
      <c r="I185" s="12"/>
      <c r="J185" s="12"/>
      <c r="K185" s="12"/>
      <c r="L185" s="11"/>
      <c r="M185" s="11"/>
      <c r="N185" s="11"/>
      <c r="O185" s="11"/>
      <c r="P185" s="11"/>
      <c r="Q185" s="11"/>
      <c r="R185" s="11"/>
      <c r="S185" s="11"/>
      <c r="T185" s="11"/>
      <c r="U185" s="11"/>
      <c r="V185" s="11"/>
      <c r="W185" s="11"/>
      <c r="X185" s="11"/>
      <c r="Y185" s="11"/>
      <c r="Z185" s="11"/>
    </row>
    <row r="186" ht="16.5" customHeight="1">
      <c r="A186" s="11"/>
      <c r="B186" s="11"/>
      <c r="C186" s="11"/>
      <c r="D186" s="11"/>
      <c r="E186" s="11"/>
      <c r="F186" s="11"/>
      <c r="G186" s="12"/>
      <c r="H186" s="11"/>
      <c r="I186" s="12"/>
      <c r="J186" s="12"/>
      <c r="K186" s="12"/>
      <c r="L186" s="11"/>
      <c r="M186" s="11"/>
      <c r="N186" s="11"/>
      <c r="O186" s="11"/>
      <c r="P186" s="11"/>
      <c r="Q186" s="11"/>
      <c r="R186" s="11"/>
      <c r="S186" s="11"/>
      <c r="T186" s="11"/>
      <c r="U186" s="11"/>
      <c r="V186" s="11"/>
      <c r="W186" s="11"/>
      <c r="X186" s="11"/>
      <c r="Y186" s="11"/>
      <c r="Z186" s="11"/>
    </row>
    <row r="187" ht="16.5" customHeight="1">
      <c r="A187" s="11"/>
      <c r="B187" s="11"/>
      <c r="C187" s="11"/>
      <c r="D187" s="11"/>
      <c r="E187" s="11"/>
      <c r="F187" s="11"/>
      <c r="G187" s="12"/>
      <c r="H187" s="11"/>
      <c r="I187" s="12"/>
      <c r="J187" s="12"/>
      <c r="K187" s="12"/>
      <c r="L187" s="11"/>
      <c r="M187" s="11"/>
      <c r="N187" s="11"/>
      <c r="O187" s="11"/>
      <c r="P187" s="11"/>
      <c r="Q187" s="11"/>
      <c r="R187" s="11"/>
      <c r="S187" s="11"/>
      <c r="T187" s="11"/>
      <c r="U187" s="11"/>
      <c r="V187" s="11"/>
      <c r="W187" s="11"/>
      <c r="X187" s="11"/>
      <c r="Y187" s="11"/>
      <c r="Z187" s="11"/>
    </row>
    <row r="188" ht="16.5" customHeight="1">
      <c r="A188" s="11"/>
      <c r="B188" s="11"/>
      <c r="C188" s="11"/>
      <c r="D188" s="11"/>
      <c r="E188" s="11"/>
      <c r="F188" s="11"/>
      <c r="G188" s="12"/>
      <c r="H188" s="11"/>
      <c r="I188" s="12"/>
      <c r="J188" s="12"/>
      <c r="K188" s="12"/>
      <c r="L188" s="11"/>
      <c r="M188" s="11"/>
      <c r="N188" s="11"/>
      <c r="O188" s="11"/>
      <c r="P188" s="11"/>
      <c r="Q188" s="11"/>
      <c r="R188" s="11"/>
      <c r="S188" s="11"/>
      <c r="T188" s="11"/>
      <c r="U188" s="11"/>
      <c r="V188" s="11"/>
      <c r="W188" s="11"/>
      <c r="X188" s="11"/>
      <c r="Y188" s="11"/>
      <c r="Z188" s="11"/>
    </row>
    <row r="189" ht="16.5" customHeight="1">
      <c r="A189" s="11"/>
      <c r="B189" s="11"/>
      <c r="C189" s="11"/>
      <c r="D189" s="11"/>
      <c r="E189" s="11"/>
      <c r="F189" s="11"/>
      <c r="G189" s="12"/>
      <c r="H189" s="11"/>
      <c r="I189" s="12"/>
      <c r="J189" s="12"/>
      <c r="K189" s="12"/>
      <c r="L189" s="11"/>
      <c r="M189" s="11"/>
      <c r="N189" s="11"/>
      <c r="O189" s="11"/>
      <c r="P189" s="11"/>
      <c r="Q189" s="11"/>
      <c r="R189" s="11"/>
      <c r="S189" s="11"/>
      <c r="T189" s="11"/>
      <c r="U189" s="11"/>
      <c r="V189" s="11"/>
      <c r="W189" s="11"/>
      <c r="X189" s="11"/>
      <c r="Y189" s="11"/>
      <c r="Z189" s="11"/>
    </row>
    <row r="190" ht="16.5" customHeight="1">
      <c r="A190" s="11"/>
      <c r="B190" s="11"/>
      <c r="C190" s="11"/>
      <c r="D190" s="11"/>
      <c r="E190" s="11"/>
      <c r="F190" s="11"/>
      <c r="G190" s="12"/>
      <c r="H190" s="11"/>
      <c r="I190" s="12"/>
      <c r="J190" s="12"/>
      <c r="K190" s="12"/>
      <c r="L190" s="11"/>
      <c r="M190" s="11"/>
      <c r="N190" s="11"/>
      <c r="O190" s="11"/>
      <c r="P190" s="11"/>
      <c r="Q190" s="11"/>
      <c r="R190" s="11"/>
      <c r="S190" s="11"/>
      <c r="T190" s="11"/>
      <c r="U190" s="11"/>
      <c r="V190" s="11"/>
      <c r="W190" s="11"/>
      <c r="X190" s="11"/>
      <c r="Y190" s="11"/>
      <c r="Z190" s="11"/>
    </row>
    <row r="191" ht="16.5" customHeight="1">
      <c r="A191" s="11"/>
      <c r="B191" s="11"/>
      <c r="C191" s="11"/>
      <c r="D191" s="11"/>
      <c r="E191" s="11"/>
      <c r="F191" s="11"/>
      <c r="G191" s="12"/>
      <c r="H191" s="11"/>
      <c r="I191" s="12"/>
      <c r="J191" s="12"/>
      <c r="K191" s="12"/>
      <c r="L191" s="11"/>
      <c r="M191" s="11"/>
      <c r="N191" s="11"/>
      <c r="O191" s="11"/>
      <c r="P191" s="11"/>
      <c r="Q191" s="11"/>
      <c r="R191" s="11"/>
      <c r="S191" s="11"/>
      <c r="T191" s="11"/>
      <c r="U191" s="11"/>
      <c r="V191" s="11"/>
      <c r="W191" s="11"/>
      <c r="X191" s="11"/>
      <c r="Y191" s="11"/>
      <c r="Z191" s="11"/>
    </row>
    <row r="192" ht="16.5" customHeight="1">
      <c r="A192" s="11"/>
      <c r="B192" s="11"/>
      <c r="C192" s="11"/>
      <c r="D192" s="11"/>
      <c r="E192" s="11"/>
      <c r="F192" s="11"/>
      <c r="G192" s="12"/>
      <c r="H192" s="11"/>
      <c r="I192" s="12"/>
      <c r="J192" s="12"/>
      <c r="K192" s="12"/>
      <c r="L192" s="11"/>
      <c r="M192" s="11"/>
      <c r="N192" s="11"/>
      <c r="O192" s="11"/>
      <c r="P192" s="11"/>
      <c r="Q192" s="11"/>
      <c r="R192" s="11"/>
      <c r="S192" s="11"/>
      <c r="T192" s="11"/>
      <c r="U192" s="11"/>
      <c r="V192" s="11"/>
      <c r="W192" s="11"/>
      <c r="X192" s="11"/>
      <c r="Y192" s="11"/>
      <c r="Z192" s="11"/>
    </row>
    <row r="193" ht="16.5" customHeight="1">
      <c r="A193" s="11"/>
      <c r="B193" s="11"/>
      <c r="C193" s="11"/>
      <c r="D193" s="11"/>
      <c r="E193" s="11"/>
      <c r="F193" s="11"/>
      <c r="G193" s="12"/>
      <c r="H193" s="11"/>
      <c r="I193" s="12"/>
      <c r="J193" s="12"/>
      <c r="K193" s="12"/>
      <c r="L193" s="11"/>
      <c r="M193" s="11"/>
      <c r="N193" s="11"/>
      <c r="O193" s="11"/>
      <c r="P193" s="11"/>
      <c r="Q193" s="11"/>
      <c r="R193" s="11"/>
      <c r="S193" s="11"/>
      <c r="T193" s="11"/>
      <c r="U193" s="11"/>
      <c r="V193" s="11"/>
      <c r="W193" s="11"/>
      <c r="X193" s="11"/>
      <c r="Y193" s="11"/>
      <c r="Z193" s="11"/>
    </row>
    <row r="194" ht="16.5" customHeight="1">
      <c r="A194" s="11"/>
      <c r="B194" s="11"/>
      <c r="C194" s="11"/>
      <c r="D194" s="11"/>
      <c r="E194" s="11"/>
      <c r="F194" s="11"/>
      <c r="G194" s="12"/>
      <c r="H194" s="11"/>
      <c r="I194" s="12"/>
      <c r="J194" s="12"/>
      <c r="K194" s="12"/>
      <c r="L194" s="11"/>
      <c r="M194" s="11"/>
      <c r="N194" s="11"/>
      <c r="O194" s="11"/>
      <c r="P194" s="11"/>
      <c r="Q194" s="11"/>
      <c r="R194" s="11"/>
      <c r="S194" s="11"/>
      <c r="T194" s="11"/>
      <c r="U194" s="11"/>
      <c r="V194" s="11"/>
      <c r="W194" s="11"/>
      <c r="X194" s="11"/>
      <c r="Y194" s="11"/>
      <c r="Z194" s="11"/>
    </row>
    <row r="195" ht="16.5" customHeight="1">
      <c r="A195" s="11"/>
      <c r="B195" s="11"/>
      <c r="C195" s="11"/>
      <c r="D195" s="11"/>
      <c r="E195" s="11"/>
      <c r="F195" s="11"/>
      <c r="G195" s="12"/>
      <c r="H195" s="11"/>
      <c r="I195" s="12"/>
      <c r="J195" s="12"/>
      <c r="K195" s="12"/>
      <c r="L195" s="11"/>
      <c r="M195" s="11"/>
      <c r="N195" s="11"/>
      <c r="O195" s="11"/>
      <c r="P195" s="11"/>
      <c r="Q195" s="11"/>
      <c r="R195" s="11"/>
      <c r="S195" s="11"/>
      <c r="T195" s="11"/>
      <c r="U195" s="11"/>
      <c r="V195" s="11"/>
      <c r="W195" s="11"/>
      <c r="X195" s="11"/>
      <c r="Y195" s="11"/>
      <c r="Z195" s="11"/>
    </row>
    <row r="196" ht="16.5" customHeight="1">
      <c r="A196" s="11"/>
      <c r="B196" s="11"/>
      <c r="C196" s="11"/>
      <c r="D196" s="11"/>
      <c r="E196" s="11"/>
      <c r="F196" s="11"/>
      <c r="G196" s="12"/>
      <c r="H196" s="11"/>
      <c r="I196" s="12"/>
      <c r="J196" s="12"/>
      <c r="K196" s="12"/>
      <c r="L196" s="11"/>
      <c r="M196" s="11"/>
      <c r="N196" s="11"/>
      <c r="O196" s="11"/>
      <c r="P196" s="11"/>
      <c r="Q196" s="11"/>
      <c r="R196" s="11"/>
      <c r="S196" s="11"/>
      <c r="T196" s="11"/>
      <c r="U196" s="11"/>
      <c r="V196" s="11"/>
      <c r="W196" s="11"/>
      <c r="X196" s="11"/>
      <c r="Y196" s="11"/>
      <c r="Z196" s="11"/>
    </row>
    <row r="197" ht="16.5" customHeight="1">
      <c r="A197" s="11"/>
      <c r="B197" s="11"/>
      <c r="C197" s="11"/>
      <c r="D197" s="11"/>
      <c r="E197" s="11"/>
      <c r="F197" s="11"/>
      <c r="G197" s="12"/>
      <c r="H197" s="11"/>
      <c r="I197" s="12"/>
      <c r="J197" s="12"/>
      <c r="K197" s="12"/>
      <c r="L197" s="11"/>
      <c r="M197" s="11"/>
      <c r="N197" s="11"/>
      <c r="O197" s="11"/>
      <c r="P197" s="11"/>
      <c r="Q197" s="11"/>
      <c r="R197" s="11"/>
      <c r="S197" s="11"/>
      <c r="T197" s="11"/>
      <c r="U197" s="11"/>
      <c r="V197" s="11"/>
      <c r="W197" s="11"/>
      <c r="X197" s="11"/>
      <c r="Y197" s="11"/>
      <c r="Z197" s="11"/>
    </row>
    <row r="198" ht="16.5" customHeight="1">
      <c r="A198" s="11"/>
      <c r="B198" s="11"/>
      <c r="C198" s="11"/>
      <c r="D198" s="11"/>
      <c r="E198" s="11"/>
      <c r="F198" s="11"/>
      <c r="G198" s="12"/>
      <c r="H198" s="11"/>
      <c r="I198" s="12"/>
      <c r="J198" s="12"/>
      <c r="K198" s="12"/>
      <c r="L198" s="11"/>
      <c r="M198" s="11"/>
      <c r="N198" s="11"/>
      <c r="O198" s="11"/>
      <c r="P198" s="11"/>
      <c r="Q198" s="11"/>
      <c r="R198" s="11"/>
      <c r="S198" s="11"/>
      <c r="T198" s="11"/>
      <c r="U198" s="11"/>
      <c r="V198" s="11"/>
      <c r="W198" s="11"/>
      <c r="X198" s="11"/>
      <c r="Y198" s="11"/>
      <c r="Z198" s="11"/>
    </row>
    <row r="199" ht="16.5" customHeight="1">
      <c r="A199" s="11"/>
      <c r="B199" s="11"/>
      <c r="C199" s="11"/>
      <c r="D199" s="11"/>
      <c r="E199" s="11"/>
      <c r="F199" s="11"/>
      <c r="G199" s="12"/>
      <c r="H199" s="11"/>
      <c r="I199" s="12"/>
      <c r="J199" s="12"/>
      <c r="K199" s="12"/>
      <c r="L199" s="11"/>
      <c r="M199" s="11"/>
      <c r="N199" s="11"/>
      <c r="O199" s="11"/>
      <c r="P199" s="11"/>
      <c r="Q199" s="11"/>
      <c r="R199" s="11"/>
      <c r="S199" s="11"/>
      <c r="T199" s="11"/>
      <c r="U199" s="11"/>
      <c r="V199" s="11"/>
      <c r="W199" s="11"/>
      <c r="X199" s="11"/>
      <c r="Y199" s="11"/>
      <c r="Z199" s="11"/>
    </row>
    <row r="200" ht="16.5" customHeight="1">
      <c r="A200" s="11"/>
      <c r="B200" s="11"/>
      <c r="C200" s="11"/>
      <c r="D200" s="11"/>
      <c r="E200" s="11"/>
      <c r="F200" s="11"/>
      <c r="G200" s="12"/>
      <c r="H200" s="11"/>
      <c r="I200" s="12"/>
      <c r="J200" s="12"/>
      <c r="K200" s="12"/>
      <c r="L200" s="11"/>
      <c r="M200" s="11"/>
      <c r="N200" s="11"/>
      <c r="O200" s="11"/>
      <c r="P200" s="11"/>
      <c r="Q200" s="11"/>
      <c r="R200" s="11"/>
      <c r="S200" s="11"/>
      <c r="T200" s="11"/>
      <c r="U200" s="11"/>
      <c r="V200" s="11"/>
      <c r="W200" s="11"/>
      <c r="X200" s="11"/>
      <c r="Y200" s="11"/>
      <c r="Z200" s="11"/>
    </row>
    <row r="201" ht="16.5" customHeight="1">
      <c r="A201" s="11"/>
      <c r="B201" s="11"/>
      <c r="C201" s="11"/>
      <c r="D201" s="11"/>
      <c r="E201" s="11"/>
      <c r="F201" s="11"/>
      <c r="G201" s="12"/>
      <c r="H201" s="11"/>
      <c r="I201" s="12"/>
      <c r="J201" s="12"/>
      <c r="K201" s="12"/>
      <c r="L201" s="11"/>
      <c r="M201" s="11"/>
      <c r="N201" s="11"/>
      <c r="O201" s="11"/>
      <c r="P201" s="11"/>
      <c r="Q201" s="11"/>
      <c r="R201" s="11"/>
      <c r="S201" s="11"/>
      <c r="T201" s="11"/>
      <c r="U201" s="11"/>
      <c r="V201" s="11"/>
      <c r="W201" s="11"/>
      <c r="X201" s="11"/>
      <c r="Y201" s="11"/>
      <c r="Z201" s="11"/>
    </row>
    <row r="202" ht="16.5" customHeight="1">
      <c r="A202" s="11"/>
      <c r="B202" s="11"/>
      <c r="C202" s="11"/>
      <c r="D202" s="11"/>
      <c r="E202" s="11"/>
      <c r="F202" s="11"/>
      <c r="G202" s="12"/>
      <c r="H202" s="11"/>
      <c r="I202" s="12"/>
      <c r="J202" s="12"/>
      <c r="K202" s="12"/>
      <c r="L202" s="11"/>
      <c r="M202" s="11"/>
      <c r="N202" s="11"/>
      <c r="O202" s="11"/>
      <c r="P202" s="11"/>
      <c r="Q202" s="11"/>
      <c r="R202" s="11"/>
      <c r="S202" s="11"/>
      <c r="T202" s="11"/>
      <c r="U202" s="11"/>
      <c r="V202" s="11"/>
      <c r="W202" s="11"/>
      <c r="X202" s="11"/>
      <c r="Y202" s="11"/>
      <c r="Z202" s="11"/>
    </row>
    <row r="203" ht="16.5" customHeight="1">
      <c r="A203" s="11"/>
      <c r="B203" s="11"/>
      <c r="C203" s="11"/>
      <c r="D203" s="11"/>
      <c r="E203" s="11"/>
      <c r="F203" s="11"/>
      <c r="G203" s="12"/>
      <c r="H203" s="11"/>
      <c r="I203" s="12"/>
      <c r="J203" s="12"/>
      <c r="K203" s="12"/>
      <c r="L203" s="11"/>
      <c r="M203" s="11"/>
      <c r="N203" s="11"/>
      <c r="O203" s="11"/>
      <c r="P203" s="11"/>
      <c r="Q203" s="11"/>
      <c r="R203" s="11"/>
      <c r="S203" s="11"/>
      <c r="T203" s="11"/>
      <c r="U203" s="11"/>
      <c r="V203" s="11"/>
      <c r="W203" s="11"/>
      <c r="X203" s="11"/>
      <c r="Y203" s="11"/>
      <c r="Z203" s="11"/>
    </row>
    <row r="204" ht="16.5" customHeight="1">
      <c r="A204" s="11"/>
      <c r="B204" s="11"/>
      <c r="C204" s="11"/>
      <c r="D204" s="11"/>
      <c r="E204" s="11"/>
      <c r="F204" s="11"/>
      <c r="G204" s="12"/>
      <c r="H204" s="11"/>
      <c r="I204" s="12"/>
      <c r="J204" s="12"/>
      <c r="K204" s="12"/>
      <c r="L204" s="11"/>
      <c r="M204" s="11"/>
      <c r="N204" s="11"/>
      <c r="O204" s="11"/>
      <c r="P204" s="11"/>
      <c r="Q204" s="11"/>
      <c r="R204" s="11"/>
      <c r="S204" s="11"/>
      <c r="T204" s="11"/>
      <c r="U204" s="11"/>
      <c r="V204" s="11"/>
      <c r="W204" s="11"/>
      <c r="X204" s="11"/>
      <c r="Y204" s="11"/>
      <c r="Z204" s="11"/>
    </row>
    <row r="205" ht="16.5" customHeight="1">
      <c r="A205" s="11"/>
      <c r="B205" s="11"/>
      <c r="C205" s="11"/>
      <c r="D205" s="11"/>
      <c r="E205" s="11"/>
      <c r="F205" s="11"/>
      <c r="G205" s="12"/>
      <c r="H205" s="11"/>
      <c r="I205" s="12"/>
      <c r="J205" s="12"/>
      <c r="K205" s="12"/>
      <c r="L205" s="11"/>
      <c r="M205" s="11"/>
      <c r="N205" s="11"/>
      <c r="O205" s="11"/>
      <c r="P205" s="11"/>
      <c r="Q205" s="11"/>
      <c r="R205" s="11"/>
      <c r="S205" s="11"/>
      <c r="T205" s="11"/>
      <c r="U205" s="11"/>
      <c r="V205" s="11"/>
      <c r="W205" s="11"/>
      <c r="X205" s="11"/>
      <c r="Y205" s="11"/>
      <c r="Z205" s="11"/>
    </row>
    <row r="206" ht="16.5" customHeight="1">
      <c r="A206" s="11"/>
      <c r="B206" s="11"/>
      <c r="C206" s="11"/>
      <c r="D206" s="11"/>
      <c r="E206" s="11"/>
      <c r="F206" s="11"/>
      <c r="G206" s="12"/>
      <c r="H206" s="11"/>
      <c r="I206" s="12"/>
      <c r="J206" s="12"/>
      <c r="K206" s="12"/>
      <c r="L206" s="11"/>
      <c r="M206" s="11"/>
      <c r="N206" s="11"/>
      <c r="O206" s="11"/>
      <c r="P206" s="11"/>
      <c r="Q206" s="11"/>
      <c r="R206" s="11"/>
      <c r="S206" s="11"/>
      <c r="T206" s="11"/>
      <c r="U206" s="11"/>
      <c r="V206" s="11"/>
      <c r="W206" s="11"/>
      <c r="X206" s="11"/>
      <c r="Y206" s="11"/>
      <c r="Z206" s="11"/>
    </row>
    <row r="207" ht="16.5" customHeight="1">
      <c r="A207" s="11"/>
      <c r="B207" s="11"/>
      <c r="C207" s="11"/>
      <c r="D207" s="11"/>
      <c r="E207" s="11"/>
      <c r="F207" s="11"/>
      <c r="G207" s="12"/>
      <c r="H207" s="11"/>
      <c r="I207" s="12"/>
      <c r="J207" s="12"/>
      <c r="K207" s="12"/>
      <c r="L207" s="11"/>
      <c r="M207" s="11"/>
      <c r="N207" s="11"/>
      <c r="O207" s="11"/>
      <c r="P207" s="11"/>
      <c r="Q207" s="11"/>
      <c r="R207" s="11"/>
      <c r="S207" s="11"/>
      <c r="T207" s="11"/>
      <c r="U207" s="11"/>
      <c r="V207" s="11"/>
      <c r="W207" s="11"/>
      <c r="X207" s="11"/>
      <c r="Y207" s="11"/>
      <c r="Z207" s="11"/>
    </row>
    <row r="208" ht="16.5" customHeight="1">
      <c r="A208" s="11"/>
      <c r="B208" s="11"/>
      <c r="C208" s="11"/>
      <c r="D208" s="11"/>
      <c r="E208" s="11"/>
      <c r="F208" s="11"/>
      <c r="G208" s="12"/>
      <c r="H208" s="11"/>
      <c r="I208" s="12"/>
      <c r="J208" s="12"/>
      <c r="K208" s="12"/>
      <c r="L208" s="11"/>
      <c r="M208" s="11"/>
      <c r="N208" s="11"/>
      <c r="O208" s="11"/>
      <c r="P208" s="11"/>
      <c r="Q208" s="11"/>
      <c r="R208" s="11"/>
      <c r="S208" s="11"/>
      <c r="T208" s="11"/>
      <c r="U208" s="11"/>
      <c r="V208" s="11"/>
      <c r="W208" s="11"/>
      <c r="X208" s="11"/>
      <c r="Y208" s="11"/>
      <c r="Z208" s="11"/>
    </row>
    <row r="209" ht="16.5" customHeight="1">
      <c r="A209" s="11"/>
      <c r="B209" s="11"/>
      <c r="C209" s="11"/>
      <c r="D209" s="11"/>
      <c r="E209" s="11"/>
      <c r="F209" s="11"/>
      <c r="G209" s="12"/>
      <c r="H209" s="11"/>
      <c r="I209" s="12"/>
      <c r="J209" s="12"/>
      <c r="K209" s="12"/>
      <c r="L209" s="11"/>
      <c r="M209" s="11"/>
      <c r="N209" s="11"/>
      <c r="O209" s="11"/>
      <c r="P209" s="11"/>
      <c r="Q209" s="11"/>
      <c r="R209" s="11"/>
      <c r="S209" s="11"/>
      <c r="T209" s="11"/>
      <c r="U209" s="11"/>
      <c r="V209" s="11"/>
      <c r="W209" s="11"/>
      <c r="X209" s="11"/>
      <c r="Y209" s="11"/>
      <c r="Z209" s="11"/>
    </row>
    <row r="210" ht="16.5" customHeight="1">
      <c r="A210" s="11"/>
      <c r="B210" s="11"/>
      <c r="C210" s="11"/>
      <c r="D210" s="11"/>
      <c r="E210" s="11"/>
      <c r="F210" s="11"/>
      <c r="G210" s="12"/>
      <c r="H210" s="11"/>
      <c r="I210" s="12"/>
      <c r="J210" s="12"/>
      <c r="K210" s="12"/>
      <c r="L210" s="11"/>
      <c r="M210" s="11"/>
      <c r="N210" s="11"/>
      <c r="O210" s="11"/>
      <c r="P210" s="11"/>
      <c r="Q210" s="11"/>
      <c r="R210" s="11"/>
      <c r="S210" s="11"/>
      <c r="T210" s="11"/>
      <c r="U210" s="11"/>
      <c r="V210" s="11"/>
      <c r="W210" s="11"/>
      <c r="X210" s="11"/>
      <c r="Y210" s="11"/>
      <c r="Z210" s="11"/>
    </row>
    <row r="211" ht="16.5" customHeight="1">
      <c r="A211" s="11"/>
      <c r="B211" s="11"/>
      <c r="C211" s="11"/>
      <c r="D211" s="11"/>
      <c r="E211" s="11"/>
      <c r="F211" s="11"/>
      <c r="G211" s="12"/>
      <c r="H211" s="11"/>
      <c r="I211" s="12"/>
      <c r="J211" s="12"/>
      <c r="K211" s="12"/>
      <c r="L211" s="11"/>
      <c r="M211" s="11"/>
      <c r="N211" s="11"/>
      <c r="O211" s="11"/>
      <c r="P211" s="11"/>
      <c r="Q211" s="11"/>
      <c r="R211" s="11"/>
      <c r="S211" s="11"/>
      <c r="T211" s="11"/>
      <c r="U211" s="11"/>
      <c r="V211" s="11"/>
      <c r="W211" s="11"/>
      <c r="X211" s="11"/>
      <c r="Y211" s="11"/>
      <c r="Z211" s="11"/>
    </row>
    <row r="212" ht="16.5" customHeight="1">
      <c r="A212" s="11"/>
      <c r="B212" s="11"/>
      <c r="C212" s="11"/>
      <c r="D212" s="11"/>
      <c r="E212" s="11"/>
      <c r="F212" s="11"/>
      <c r="G212" s="12"/>
      <c r="H212" s="11"/>
      <c r="I212" s="12"/>
      <c r="J212" s="12"/>
      <c r="K212" s="12"/>
      <c r="L212" s="11"/>
      <c r="M212" s="11"/>
      <c r="N212" s="11"/>
      <c r="O212" s="11"/>
      <c r="P212" s="11"/>
      <c r="Q212" s="11"/>
      <c r="R212" s="11"/>
      <c r="S212" s="11"/>
      <c r="T212" s="11"/>
      <c r="U212" s="11"/>
      <c r="V212" s="11"/>
      <c r="W212" s="11"/>
      <c r="X212" s="11"/>
      <c r="Y212" s="11"/>
      <c r="Z212" s="11"/>
    </row>
    <row r="213" ht="16.5" customHeight="1">
      <c r="A213" s="11"/>
      <c r="B213" s="11"/>
      <c r="C213" s="11"/>
      <c r="D213" s="11"/>
      <c r="E213" s="11"/>
      <c r="F213" s="11"/>
      <c r="G213" s="12"/>
      <c r="H213" s="11"/>
      <c r="I213" s="12"/>
      <c r="J213" s="12"/>
      <c r="K213" s="12"/>
      <c r="L213" s="11"/>
      <c r="M213" s="11"/>
      <c r="N213" s="11"/>
      <c r="O213" s="11"/>
      <c r="P213" s="11"/>
      <c r="Q213" s="11"/>
      <c r="R213" s="11"/>
      <c r="S213" s="11"/>
      <c r="T213" s="11"/>
      <c r="U213" s="11"/>
      <c r="V213" s="11"/>
      <c r="W213" s="11"/>
      <c r="X213" s="11"/>
      <c r="Y213" s="11"/>
      <c r="Z213" s="11"/>
    </row>
    <row r="214" ht="16.5" customHeight="1">
      <c r="A214" s="11"/>
      <c r="B214" s="11"/>
      <c r="C214" s="11"/>
      <c r="D214" s="11"/>
      <c r="E214" s="11"/>
      <c r="F214" s="11"/>
      <c r="G214" s="12"/>
      <c r="H214" s="11"/>
      <c r="I214" s="12"/>
      <c r="J214" s="12"/>
      <c r="K214" s="12"/>
      <c r="L214" s="11"/>
      <c r="M214" s="11"/>
      <c r="N214" s="11"/>
      <c r="O214" s="11"/>
      <c r="P214" s="11"/>
      <c r="Q214" s="11"/>
      <c r="R214" s="11"/>
      <c r="S214" s="11"/>
      <c r="T214" s="11"/>
      <c r="U214" s="11"/>
      <c r="V214" s="11"/>
      <c r="W214" s="11"/>
      <c r="X214" s="11"/>
      <c r="Y214" s="11"/>
      <c r="Z214" s="11"/>
    </row>
    <row r="215" ht="16.5" customHeight="1">
      <c r="A215" s="11"/>
      <c r="B215" s="11"/>
      <c r="C215" s="11"/>
      <c r="D215" s="11"/>
      <c r="E215" s="11"/>
      <c r="F215" s="11"/>
      <c r="G215" s="12"/>
      <c r="H215" s="11"/>
      <c r="I215" s="12"/>
      <c r="J215" s="12"/>
      <c r="K215" s="12"/>
      <c r="L215" s="11"/>
      <c r="M215" s="11"/>
      <c r="N215" s="11"/>
      <c r="O215" s="11"/>
      <c r="P215" s="11"/>
      <c r="Q215" s="11"/>
      <c r="R215" s="11"/>
      <c r="S215" s="11"/>
      <c r="T215" s="11"/>
      <c r="U215" s="11"/>
      <c r="V215" s="11"/>
      <c r="W215" s="11"/>
      <c r="X215" s="11"/>
      <c r="Y215" s="11"/>
      <c r="Z215" s="11"/>
    </row>
    <row r="216" ht="16.5" customHeight="1">
      <c r="A216" s="11"/>
      <c r="B216" s="11"/>
      <c r="C216" s="11"/>
      <c r="D216" s="11"/>
      <c r="E216" s="11"/>
      <c r="F216" s="11"/>
      <c r="G216" s="12"/>
      <c r="H216" s="11"/>
      <c r="I216" s="12"/>
      <c r="J216" s="12"/>
      <c r="K216" s="12"/>
      <c r="L216" s="11"/>
      <c r="M216" s="11"/>
      <c r="N216" s="11"/>
      <c r="O216" s="11"/>
      <c r="P216" s="11"/>
      <c r="Q216" s="11"/>
      <c r="R216" s="11"/>
      <c r="S216" s="11"/>
      <c r="T216" s="11"/>
      <c r="U216" s="11"/>
      <c r="V216" s="11"/>
      <c r="W216" s="11"/>
      <c r="X216" s="11"/>
      <c r="Y216" s="11"/>
      <c r="Z216" s="11"/>
    </row>
    <row r="217" ht="16.5" customHeight="1">
      <c r="A217" s="11"/>
      <c r="B217" s="11"/>
      <c r="C217" s="11"/>
      <c r="D217" s="11"/>
      <c r="E217" s="11"/>
      <c r="F217" s="11"/>
      <c r="G217" s="12"/>
      <c r="H217" s="11"/>
      <c r="I217" s="12"/>
      <c r="J217" s="12"/>
      <c r="K217" s="12"/>
      <c r="L217" s="11"/>
      <c r="M217" s="11"/>
      <c r="N217" s="11"/>
      <c r="O217" s="11"/>
      <c r="P217" s="11"/>
      <c r="Q217" s="11"/>
      <c r="R217" s="11"/>
      <c r="S217" s="11"/>
      <c r="T217" s="11"/>
      <c r="U217" s="11"/>
      <c r="V217" s="11"/>
      <c r="W217" s="11"/>
      <c r="X217" s="11"/>
      <c r="Y217" s="11"/>
      <c r="Z217" s="11"/>
    </row>
    <row r="218" ht="16.5" customHeight="1">
      <c r="A218" s="11"/>
      <c r="B218" s="11"/>
      <c r="C218" s="11"/>
      <c r="D218" s="11"/>
      <c r="E218" s="11"/>
      <c r="F218" s="11"/>
      <c r="G218" s="12"/>
      <c r="H218" s="11"/>
      <c r="I218" s="12"/>
      <c r="J218" s="12"/>
      <c r="K218" s="12"/>
      <c r="L218" s="11"/>
      <c r="M218" s="11"/>
      <c r="N218" s="11"/>
      <c r="O218" s="11"/>
      <c r="P218" s="11"/>
      <c r="Q218" s="11"/>
      <c r="R218" s="11"/>
      <c r="S218" s="11"/>
      <c r="T218" s="11"/>
      <c r="U218" s="11"/>
      <c r="V218" s="11"/>
      <c r="W218" s="11"/>
      <c r="X218" s="11"/>
      <c r="Y218" s="11"/>
      <c r="Z218" s="11"/>
    </row>
    <row r="219" ht="16.5" customHeight="1">
      <c r="A219" s="11"/>
      <c r="B219" s="11"/>
      <c r="C219" s="11"/>
      <c r="D219" s="11"/>
      <c r="E219" s="11"/>
      <c r="F219" s="11"/>
      <c r="G219" s="12"/>
      <c r="H219" s="11"/>
      <c r="I219" s="12"/>
      <c r="J219" s="12"/>
      <c r="K219" s="12"/>
      <c r="L219" s="11"/>
      <c r="M219" s="11"/>
      <c r="N219" s="11"/>
      <c r="O219" s="11"/>
      <c r="P219" s="11"/>
      <c r="Q219" s="11"/>
      <c r="R219" s="11"/>
      <c r="S219" s="11"/>
      <c r="T219" s="11"/>
      <c r="U219" s="11"/>
      <c r="V219" s="11"/>
      <c r="W219" s="11"/>
      <c r="X219" s="11"/>
      <c r="Y219" s="11"/>
      <c r="Z219" s="11"/>
    </row>
    <row r="220" ht="16.5" customHeight="1">
      <c r="A220" s="11"/>
      <c r="B220" s="11"/>
      <c r="C220" s="11"/>
      <c r="D220" s="11"/>
      <c r="E220" s="11"/>
      <c r="F220" s="11"/>
      <c r="G220" s="12"/>
      <c r="H220" s="11"/>
      <c r="I220" s="12"/>
      <c r="J220" s="12"/>
      <c r="K220" s="12"/>
      <c r="L220" s="11"/>
      <c r="M220" s="11"/>
      <c r="N220" s="11"/>
      <c r="O220" s="11"/>
      <c r="P220" s="11"/>
      <c r="Q220" s="11"/>
      <c r="R220" s="11"/>
      <c r="S220" s="11"/>
      <c r="T220" s="11"/>
      <c r="U220" s="11"/>
      <c r="V220" s="11"/>
      <c r="W220" s="11"/>
      <c r="X220" s="11"/>
      <c r="Y220" s="11"/>
      <c r="Z220" s="11"/>
    </row>
    <row r="221" ht="16.5" customHeight="1">
      <c r="A221" s="11"/>
      <c r="B221" s="11"/>
      <c r="C221" s="11"/>
      <c r="D221" s="11"/>
      <c r="E221" s="11"/>
      <c r="F221" s="11"/>
      <c r="G221" s="12"/>
      <c r="H221" s="11"/>
      <c r="I221" s="12"/>
      <c r="J221" s="12"/>
      <c r="K221" s="12"/>
      <c r="L221" s="11"/>
      <c r="M221" s="11"/>
      <c r="N221" s="11"/>
      <c r="O221" s="11"/>
      <c r="P221" s="11"/>
      <c r="Q221" s="11"/>
      <c r="R221" s="11"/>
      <c r="S221" s="11"/>
      <c r="T221" s="11"/>
      <c r="U221" s="11"/>
      <c r="V221" s="11"/>
      <c r="W221" s="11"/>
      <c r="X221" s="11"/>
      <c r="Y221" s="11"/>
      <c r="Z221" s="11"/>
    </row>
    <row r="222" ht="16.5" customHeight="1">
      <c r="A222" s="11"/>
      <c r="B222" s="11"/>
      <c r="C222" s="11"/>
      <c r="D222" s="11"/>
      <c r="E222" s="11"/>
      <c r="F222" s="11"/>
      <c r="G222" s="12"/>
      <c r="H222" s="11"/>
      <c r="I222" s="12"/>
      <c r="J222" s="12"/>
      <c r="K222" s="12"/>
      <c r="L222" s="11"/>
      <c r="M222" s="11"/>
      <c r="N222" s="11"/>
      <c r="O222" s="11"/>
      <c r="P222" s="11"/>
      <c r="Q222" s="11"/>
      <c r="R222" s="11"/>
      <c r="S222" s="11"/>
      <c r="T222" s="11"/>
      <c r="U222" s="11"/>
      <c r="V222" s="11"/>
      <c r="W222" s="11"/>
      <c r="X222" s="11"/>
      <c r="Y222" s="11"/>
      <c r="Z222" s="11"/>
    </row>
    <row r="223" ht="16.5" customHeight="1">
      <c r="A223" s="11"/>
      <c r="B223" s="11"/>
      <c r="C223" s="11"/>
      <c r="D223" s="11"/>
      <c r="E223" s="11"/>
      <c r="F223" s="11"/>
      <c r="G223" s="12"/>
      <c r="H223" s="11"/>
      <c r="I223" s="12"/>
      <c r="J223" s="12"/>
      <c r="K223" s="12"/>
      <c r="L223" s="11"/>
      <c r="M223" s="11"/>
      <c r="N223" s="11"/>
      <c r="O223" s="11"/>
      <c r="P223" s="11"/>
      <c r="Q223" s="11"/>
      <c r="R223" s="11"/>
      <c r="S223" s="11"/>
      <c r="T223" s="11"/>
      <c r="U223" s="11"/>
      <c r="V223" s="11"/>
      <c r="W223" s="11"/>
      <c r="X223" s="11"/>
      <c r="Y223" s="11"/>
      <c r="Z223" s="11"/>
    </row>
    <row r="224" ht="16.5" customHeight="1">
      <c r="A224" s="11"/>
      <c r="B224" s="11"/>
      <c r="C224" s="11"/>
      <c r="D224" s="11"/>
      <c r="E224" s="11"/>
      <c r="F224" s="11"/>
      <c r="G224" s="12"/>
      <c r="H224" s="11"/>
      <c r="I224" s="12"/>
      <c r="J224" s="12"/>
      <c r="K224" s="12"/>
      <c r="L224" s="11"/>
      <c r="M224" s="11"/>
      <c r="N224" s="11"/>
      <c r="O224" s="11"/>
      <c r="P224" s="11"/>
      <c r="Q224" s="11"/>
      <c r="R224" s="11"/>
      <c r="S224" s="11"/>
      <c r="T224" s="11"/>
      <c r="U224" s="11"/>
      <c r="V224" s="11"/>
      <c r="W224" s="11"/>
      <c r="X224" s="11"/>
      <c r="Y224" s="11"/>
      <c r="Z224" s="11"/>
    </row>
    <row r="225" ht="16.5" customHeight="1">
      <c r="A225" s="11"/>
      <c r="B225" s="11"/>
      <c r="C225" s="11"/>
      <c r="D225" s="11"/>
      <c r="E225" s="11"/>
      <c r="F225" s="11"/>
      <c r="G225" s="12"/>
      <c r="H225" s="11"/>
      <c r="I225" s="12"/>
      <c r="J225" s="12"/>
      <c r="K225" s="12"/>
      <c r="L225" s="11"/>
      <c r="M225" s="11"/>
      <c r="N225" s="11"/>
      <c r="O225" s="11"/>
      <c r="P225" s="11"/>
      <c r="Q225" s="11"/>
      <c r="R225" s="11"/>
      <c r="S225" s="11"/>
      <c r="T225" s="11"/>
      <c r="U225" s="11"/>
      <c r="V225" s="11"/>
      <c r="W225" s="11"/>
      <c r="X225" s="11"/>
      <c r="Y225" s="11"/>
      <c r="Z225" s="11"/>
    </row>
    <row r="226" ht="16.5" customHeight="1">
      <c r="A226" s="11"/>
      <c r="B226" s="11"/>
      <c r="C226" s="11"/>
      <c r="D226" s="11"/>
      <c r="E226" s="11"/>
      <c r="F226" s="11"/>
      <c r="G226" s="12"/>
      <c r="H226" s="11"/>
      <c r="I226" s="12"/>
      <c r="J226" s="12"/>
      <c r="K226" s="12"/>
      <c r="L226" s="11"/>
      <c r="M226" s="11"/>
      <c r="N226" s="11"/>
      <c r="O226" s="11"/>
      <c r="P226" s="11"/>
      <c r="Q226" s="11"/>
      <c r="R226" s="11"/>
      <c r="S226" s="11"/>
      <c r="T226" s="11"/>
      <c r="U226" s="11"/>
      <c r="V226" s="11"/>
      <c r="W226" s="11"/>
      <c r="X226" s="11"/>
      <c r="Y226" s="11"/>
      <c r="Z226" s="11"/>
    </row>
    <row r="227" ht="16.5" customHeight="1">
      <c r="A227" s="11"/>
      <c r="B227" s="11"/>
      <c r="C227" s="11"/>
      <c r="D227" s="11"/>
      <c r="E227" s="11"/>
      <c r="F227" s="11"/>
      <c r="G227" s="12"/>
      <c r="H227" s="11"/>
      <c r="I227" s="12"/>
      <c r="J227" s="12"/>
      <c r="K227" s="12"/>
      <c r="L227" s="11"/>
      <c r="M227" s="11"/>
      <c r="N227" s="11"/>
      <c r="O227" s="11"/>
      <c r="P227" s="11"/>
      <c r="Q227" s="11"/>
      <c r="R227" s="11"/>
      <c r="S227" s="11"/>
      <c r="T227" s="11"/>
      <c r="U227" s="11"/>
      <c r="V227" s="11"/>
      <c r="W227" s="11"/>
      <c r="X227" s="11"/>
      <c r="Y227" s="11"/>
      <c r="Z227" s="11"/>
    </row>
    <row r="228" ht="16.5" customHeight="1">
      <c r="A228" s="11"/>
      <c r="B228" s="11"/>
      <c r="C228" s="11"/>
      <c r="D228" s="11"/>
      <c r="E228" s="11"/>
      <c r="F228" s="11"/>
      <c r="G228" s="12"/>
      <c r="H228" s="11"/>
      <c r="I228" s="12"/>
      <c r="J228" s="12"/>
      <c r="K228" s="12"/>
      <c r="L228" s="11"/>
      <c r="M228" s="11"/>
      <c r="N228" s="11"/>
      <c r="O228" s="11"/>
      <c r="P228" s="11"/>
      <c r="Q228" s="11"/>
      <c r="R228" s="11"/>
      <c r="S228" s="11"/>
      <c r="T228" s="11"/>
      <c r="U228" s="11"/>
      <c r="V228" s="11"/>
      <c r="W228" s="11"/>
      <c r="X228" s="11"/>
      <c r="Y228" s="11"/>
      <c r="Z228" s="11"/>
    </row>
    <row r="229" ht="16.5" customHeight="1">
      <c r="A229" s="11"/>
      <c r="B229" s="11"/>
      <c r="C229" s="11"/>
      <c r="D229" s="11"/>
      <c r="E229" s="11"/>
      <c r="F229" s="11"/>
      <c r="G229" s="12"/>
      <c r="H229" s="11"/>
      <c r="I229" s="12"/>
      <c r="J229" s="12"/>
      <c r="K229" s="12"/>
      <c r="L229" s="11"/>
      <c r="M229" s="11"/>
      <c r="N229" s="11"/>
      <c r="O229" s="11"/>
      <c r="P229" s="11"/>
      <c r="Q229" s="11"/>
      <c r="R229" s="11"/>
      <c r="S229" s="11"/>
      <c r="T229" s="11"/>
      <c r="U229" s="11"/>
      <c r="V229" s="11"/>
      <c r="W229" s="11"/>
      <c r="X229" s="11"/>
      <c r="Y229" s="11"/>
      <c r="Z229" s="11"/>
    </row>
    <row r="230" ht="16.5" customHeight="1">
      <c r="A230" s="11"/>
      <c r="B230" s="11"/>
      <c r="C230" s="11"/>
      <c r="D230" s="11"/>
      <c r="E230" s="11"/>
      <c r="F230" s="11"/>
      <c r="G230" s="12"/>
      <c r="H230" s="11"/>
      <c r="I230" s="12"/>
      <c r="J230" s="12"/>
      <c r="K230" s="12"/>
      <c r="L230" s="11"/>
      <c r="M230" s="11"/>
      <c r="N230" s="11"/>
      <c r="O230" s="11"/>
      <c r="P230" s="11"/>
      <c r="Q230" s="11"/>
      <c r="R230" s="11"/>
      <c r="S230" s="11"/>
      <c r="T230" s="11"/>
      <c r="U230" s="11"/>
      <c r="V230" s="11"/>
      <c r="W230" s="11"/>
      <c r="X230" s="11"/>
      <c r="Y230" s="11"/>
      <c r="Z230" s="11"/>
    </row>
    <row r="231" ht="16.5" customHeight="1">
      <c r="A231" s="11"/>
      <c r="B231" s="11"/>
      <c r="C231" s="11"/>
      <c r="D231" s="11"/>
      <c r="E231" s="11"/>
      <c r="F231" s="11"/>
      <c r="G231" s="12"/>
      <c r="H231" s="11"/>
      <c r="I231" s="12"/>
      <c r="J231" s="12"/>
      <c r="K231" s="12"/>
      <c r="L231" s="11"/>
      <c r="M231" s="11"/>
      <c r="N231" s="11"/>
      <c r="O231" s="11"/>
      <c r="P231" s="11"/>
      <c r="Q231" s="11"/>
      <c r="R231" s="11"/>
      <c r="S231" s="11"/>
      <c r="T231" s="11"/>
      <c r="U231" s="11"/>
      <c r="V231" s="11"/>
      <c r="W231" s="11"/>
      <c r="X231" s="11"/>
      <c r="Y231" s="11"/>
      <c r="Z231" s="11"/>
    </row>
    <row r="232" ht="16.5" customHeight="1">
      <c r="A232" s="11"/>
      <c r="B232" s="11"/>
      <c r="C232" s="11"/>
      <c r="D232" s="11"/>
      <c r="E232" s="11"/>
      <c r="F232" s="11"/>
      <c r="G232" s="12"/>
      <c r="H232" s="11"/>
      <c r="I232" s="12"/>
      <c r="J232" s="12"/>
      <c r="K232" s="12"/>
      <c r="L232" s="11"/>
      <c r="M232" s="11"/>
      <c r="N232" s="11"/>
      <c r="O232" s="11"/>
      <c r="P232" s="11"/>
      <c r="Q232" s="11"/>
      <c r="R232" s="11"/>
      <c r="S232" s="11"/>
      <c r="T232" s="11"/>
      <c r="U232" s="11"/>
      <c r="V232" s="11"/>
      <c r="W232" s="11"/>
      <c r="X232" s="11"/>
      <c r="Y232" s="11"/>
      <c r="Z232" s="11"/>
    </row>
    <row r="233" ht="16.5" customHeight="1">
      <c r="A233" s="11"/>
      <c r="B233" s="11"/>
      <c r="C233" s="11"/>
      <c r="D233" s="11"/>
      <c r="E233" s="11"/>
      <c r="F233" s="11"/>
      <c r="G233" s="12"/>
      <c r="H233" s="11"/>
      <c r="I233" s="12"/>
      <c r="J233" s="12"/>
      <c r="K233" s="12"/>
      <c r="L233" s="11"/>
      <c r="M233" s="11"/>
      <c r="N233" s="11"/>
      <c r="O233" s="11"/>
      <c r="P233" s="11"/>
      <c r="Q233" s="11"/>
      <c r="R233" s="11"/>
      <c r="S233" s="11"/>
      <c r="T233" s="11"/>
      <c r="U233" s="11"/>
      <c r="V233" s="11"/>
      <c r="W233" s="11"/>
      <c r="X233" s="11"/>
      <c r="Y233" s="11"/>
      <c r="Z233" s="11"/>
    </row>
    <row r="234" ht="16.5" customHeight="1">
      <c r="A234" s="11"/>
      <c r="B234" s="11"/>
      <c r="C234" s="11"/>
      <c r="D234" s="11"/>
      <c r="E234" s="11"/>
      <c r="F234" s="11"/>
      <c r="G234" s="12"/>
      <c r="H234" s="11"/>
      <c r="I234" s="12"/>
      <c r="J234" s="12"/>
      <c r="K234" s="12"/>
      <c r="L234" s="11"/>
      <c r="M234" s="11"/>
      <c r="N234" s="11"/>
      <c r="O234" s="11"/>
      <c r="P234" s="11"/>
      <c r="Q234" s="11"/>
      <c r="R234" s="11"/>
      <c r="S234" s="11"/>
      <c r="T234" s="11"/>
      <c r="U234" s="11"/>
      <c r="V234" s="11"/>
      <c r="W234" s="11"/>
      <c r="X234" s="11"/>
      <c r="Y234" s="11"/>
      <c r="Z234" s="11"/>
    </row>
    <row r="235" ht="16.5" customHeight="1">
      <c r="A235" s="11"/>
      <c r="B235" s="11"/>
      <c r="C235" s="11"/>
      <c r="D235" s="11"/>
      <c r="E235" s="11"/>
      <c r="F235" s="11"/>
      <c r="G235" s="12"/>
      <c r="H235" s="11"/>
      <c r="I235" s="12"/>
      <c r="J235" s="12"/>
      <c r="K235" s="12"/>
      <c r="L235" s="11"/>
      <c r="M235" s="11"/>
      <c r="N235" s="11"/>
      <c r="O235" s="11"/>
      <c r="P235" s="11"/>
      <c r="Q235" s="11"/>
      <c r="R235" s="11"/>
      <c r="S235" s="11"/>
      <c r="T235" s="11"/>
      <c r="U235" s="11"/>
      <c r="V235" s="11"/>
      <c r="W235" s="11"/>
      <c r="X235" s="11"/>
      <c r="Y235" s="11"/>
      <c r="Z235" s="11"/>
    </row>
    <row r="236" ht="16.5" customHeight="1">
      <c r="A236" s="11"/>
      <c r="B236" s="11"/>
      <c r="C236" s="11"/>
      <c r="D236" s="11"/>
      <c r="E236" s="11"/>
      <c r="F236" s="11"/>
      <c r="G236" s="12"/>
      <c r="H236" s="11"/>
      <c r="I236" s="12"/>
      <c r="J236" s="12"/>
      <c r="K236" s="12"/>
      <c r="L236" s="11"/>
      <c r="M236" s="11"/>
      <c r="N236" s="11"/>
      <c r="O236" s="11"/>
      <c r="P236" s="11"/>
      <c r="Q236" s="11"/>
      <c r="R236" s="11"/>
      <c r="S236" s="11"/>
      <c r="T236" s="11"/>
      <c r="U236" s="11"/>
      <c r="V236" s="11"/>
      <c r="W236" s="11"/>
      <c r="X236" s="11"/>
      <c r="Y236" s="11"/>
      <c r="Z236" s="11"/>
    </row>
    <row r="237" ht="16.5" customHeight="1">
      <c r="A237" s="11"/>
      <c r="B237" s="11"/>
      <c r="C237" s="11"/>
      <c r="D237" s="11"/>
      <c r="E237" s="11"/>
      <c r="F237" s="11"/>
      <c r="G237" s="12"/>
      <c r="H237" s="11"/>
      <c r="I237" s="12"/>
      <c r="J237" s="12"/>
      <c r="K237" s="12"/>
      <c r="L237" s="11"/>
      <c r="M237" s="11"/>
      <c r="N237" s="11"/>
      <c r="O237" s="11"/>
      <c r="P237" s="11"/>
      <c r="Q237" s="11"/>
      <c r="R237" s="11"/>
      <c r="S237" s="11"/>
      <c r="T237" s="11"/>
      <c r="U237" s="11"/>
      <c r="V237" s="11"/>
      <c r="W237" s="11"/>
      <c r="X237" s="11"/>
      <c r="Y237" s="11"/>
      <c r="Z237" s="11"/>
    </row>
    <row r="238" ht="16.5" customHeight="1">
      <c r="A238" s="11"/>
      <c r="B238" s="11"/>
      <c r="C238" s="11"/>
      <c r="D238" s="11"/>
      <c r="E238" s="11"/>
      <c r="F238" s="11"/>
      <c r="G238" s="12"/>
      <c r="H238" s="11"/>
      <c r="I238" s="12"/>
      <c r="J238" s="12"/>
      <c r="K238" s="12"/>
      <c r="L238" s="11"/>
      <c r="M238" s="11"/>
      <c r="N238" s="11"/>
      <c r="O238" s="11"/>
      <c r="P238" s="11"/>
      <c r="Q238" s="11"/>
      <c r="R238" s="11"/>
      <c r="S238" s="11"/>
      <c r="T238" s="11"/>
      <c r="U238" s="11"/>
      <c r="V238" s="11"/>
      <c r="W238" s="11"/>
      <c r="X238" s="11"/>
      <c r="Y238" s="11"/>
      <c r="Z238" s="11"/>
    </row>
    <row r="239" ht="16.5" customHeight="1">
      <c r="A239" s="11"/>
      <c r="B239" s="11"/>
      <c r="C239" s="11"/>
      <c r="D239" s="11"/>
      <c r="E239" s="11"/>
      <c r="F239" s="11"/>
      <c r="G239" s="12"/>
      <c r="H239" s="11"/>
      <c r="I239" s="12"/>
      <c r="J239" s="12"/>
      <c r="K239" s="12"/>
      <c r="L239" s="11"/>
      <c r="M239" s="11"/>
      <c r="N239" s="11"/>
      <c r="O239" s="11"/>
      <c r="P239" s="11"/>
      <c r="Q239" s="11"/>
      <c r="R239" s="11"/>
      <c r="S239" s="11"/>
      <c r="T239" s="11"/>
      <c r="U239" s="11"/>
      <c r="V239" s="11"/>
      <c r="W239" s="11"/>
      <c r="X239" s="11"/>
      <c r="Y239" s="11"/>
      <c r="Z239" s="11"/>
    </row>
    <row r="240" ht="16.5" customHeight="1">
      <c r="A240" s="11"/>
      <c r="B240" s="11"/>
      <c r="C240" s="11"/>
      <c r="D240" s="11"/>
      <c r="E240" s="11"/>
      <c r="F240" s="11"/>
      <c r="G240" s="12"/>
      <c r="H240" s="11"/>
      <c r="I240" s="12"/>
      <c r="J240" s="12"/>
      <c r="K240" s="12"/>
      <c r="L240" s="11"/>
      <c r="M240" s="11"/>
      <c r="N240" s="11"/>
      <c r="O240" s="11"/>
      <c r="P240" s="11"/>
      <c r="Q240" s="11"/>
      <c r="R240" s="11"/>
      <c r="S240" s="11"/>
      <c r="T240" s="11"/>
      <c r="U240" s="11"/>
      <c r="V240" s="11"/>
      <c r="W240" s="11"/>
      <c r="X240" s="11"/>
      <c r="Y240" s="11"/>
      <c r="Z240" s="11"/>
    </row>
    <row r="241" ht="16.5" customHeight="1">
      <c r="A241" s="11"/>
      <c r="B241" s="11"/>
      <c r="C241" s="11"/>
      <c r="D241" s="11"/>
      <c r="E241" s="11"/>
      <c r="F241" s="11"/>
      <c r="G241" s="12"/>
      <c r="H241" s="11"/>
      <c r="I241" s="12"/>
      <c r="J241" s="12"/>
      <c r="K241" s="12"/>
      <c r="L241" s="11"/>
      <c r="M241" s="11"/>
      <c r="N241" s="11"/>
      <c r="O241" s="11"/>
      <c r="P241" s="11"/>
      <c r="Q241" s="11"/>
      <c r="R241" s="11"/>
      <c r="S241" s="11"/>
      <c r="T241" s="11"/>
      <c r="U241" s="11"/>
      <c r="V241" s="11"/>
      <c r="W241" s="11"/>
      <c r="X241" s="11"/>
      <c r="Y241" s="11"/>
      <c r="Z241" s="11"/>
    </row>
    <row r="242" ht="16.5" customHeight="1">
      <c r="A242" s="11"/>
      <c r="B242" s="11"/>
      <c r="C242" s="11"/>
      <c r="D242" s="11"/>
      <c r="E242" s="11"/>
      <c r="F242" s="11"/>
      <c r="G242" s="12"/>
      <c r="H242" s="11"/>
      <c r="I242" s="12"/>
      <c r="J242" s="12"/>
      <c r="K242" s="12"/>
      <c r="L242" s="11"/>
      <c r="M242" s="11"/>
      <c r="N242" s="11"/>
      <c r="O242" s="11"/>
      <c r="P242" s="11"/>
      <c r="Q242" s="11"/>
      <c r="R242" s="11"/>
      <c r="S242" s="11"/>
      <c r="T242" s="11"/>
      <c r="U242" s="11"/>
      <c r="V242" s="11"/>
      <c r="W242" s="11"/>
      <c r="X242" s="11"/>
      <c r="Y242" s="11"/>
      <c r="Z242" s="11"/>
    </row>
    <row r="243" ht="16.5" customHeight="1">
      <c r="A243" s="11"/>
      <c r="B243" s="11"/>
      <c r="C243" s="11"/>
      <c r="D243" s="11"/>
      <c r="E243" s="11"/>
      <c r="F243" s="11"/>
      <c r="G243" s="12"/>
      <c r="H243" s="11"/>
      <c r="I243" s="12"/>
      <c r="J243" s="12"/>
      <c r="K243" s="12"/>
      <c r="L243" s="11"/>
      <c r="M243" s="11"/>
      <c r="N243" s="11"/>
      <c r="O243" s="11"/>
      <c r="P243" s="11"/>
      <c r="Q243" s="11"/>
      <c r="R243" s="11"/>
      <c r="S243" s="11"/>
      <c r="T243" s="11"/>
      <c r="U243" s="11"/>
      <c r="V243" s="11"/>
      <c r="W243" s="11"/>
      <c r="X243" s="11"/>
      <c r="Y243" s="11"/>
      <c r="Z243" s="11"/>
    </row>
    <row r="244" ht="16.5" customHeight="1">
      <c r="A244" s="11"/>
      <c r="B244" s="11"/>
      <c r="C244" s="11"/>
      <c r="D244" s="11"/>
      <c r="E244" s="11"/>
      <c r="F244" s="11"/>
      <c r="G244" s="12"/>
      <c r="H244" s="11"/>
      <c r="I244" s="12"/>
      <c r="J244" s="12"/>
      <c r="K244" s="12"/>
      <c r="L244" s="11"/>
      <c r="M244" s="11"/>
      <c r="N244" s="11"/>
      <c r="O244" s="11"/>
      <c r="P244" s="11"/>
      <c r="Q244" s="11"/>
      <c r="R244" s="11"/>
      <c r="S244" s="11"/>
      <c r="T244" s="11"/>
      <c r="U244" s="11"/>
      <c r="V244" s="11"/>
      <c r="W244" s="11"/>
      <c r="X244" s="11"/>
      <c r="Y244" s="11"/>
      <c r="Z244" s="11"/>
    </row>
    <row r="245" ht="16.5" customHeight="1">
      <c r="A245" s="11"/>
      <c r="B245" s="11"/>
      <c r="C245" s="11"/>
      <c r="D245" s="11"/>
      <c r="E245" s="11"/>
      <c r="F245" s="11"/>
      <c r="G245" s="12"/>
      <c r="H245" s="11"/>
      <c r="I245" s="12"/>
      <c r="J245" s="12"/>
      <c r="K245" s="12"/>
      <c r="L245" s="11"/>
      <c r="M245" s="11"/>
      <c r="N245" s="11"/>
      <c r="O245" s="11"/>
      <c r="P245" s="11"/>
      <c r="Q245" s="11"/>
      <c r="R245" s="11"/>
      <c r="S245" s="11"/>
      <c r="T245" s="11"/>
      <c r="U245" s="11"/>
      <c r="V245" s="11"/>
      <c r="W245" s="11"/>
      <c r="X245" s="11"/>
      <c r="Y245" s="11"/>
      <c r="Z245" s="11"/>
    </row>
    <row r="246" ht="16.5" customHeight="1">
      <c r="A246" s="11"/>
      <c r="B246" s="11"/>
      <c r="C246" s="11"/>
      <c r="D246" s="11"/>
      <c r="E246" s="11"/>
      <c r="F246" s="11"/>
      <c r="G246" s="12"/>
      <c r="H246" s="11"/>
      <c r="I246" s="12"/>
      <c r="J246" s="12"/>
      <c r="K246" s="12"/>
      <c r="L246" s="11"/>
      <c r="M246" s="11"/>
      <c r="N246" s="11"/>
      <c r="O246" s="11"/>
      <c r="P246" s="11"/>
      <c r="Q246" s="11"/>
      <c r="R246" s="11"/>
      <c r="S246" s="11"/>
      <c r="T246" s="11"/>
      <c r="U246" s="11"/>
      <c r="V246" s="11"/>
      <c r="W246" s="11"/>
      <c r="X246" s="11"/>
      <c r="Y246" s="11"/>
      <c r="Z246" s="11"/>
    </row>
    <row r="247" ht="16.5" customHeight="1">
      <c r="A247" s="11"/>
      <c r="B247" s="11"/>
      <c r="C247" s="11"/>
      <c r="D247" s="11"/>
      <c r="E247" s="11"/>
      <c r="F247" s="11"/>
      <c r="G247" s="12"/>
      <c r="H247" s="11"/>
      <c r="I247" s="12"/>
      <c r="J247" s="12"/>
      <c r="K247" s="12"/>
      <c r="L247" s="11"/>
      <c r="M247" s="11"/>
      <c r="N247" s="11"/>
      <c r="O247" s="11"/>
      <c r="P247" s="11"/>
      <c r="Q247" s="11"/>
      <c r="R247" s="11"/>
      <c r="S247" s="11"/>
      <c r="T247" s="11"/>
      <c r="U247" s="11"/>
      <c r="V247" s="11"/>
      <c r="W247" s="11"/>
      <c r="X247" s="11"/>
      <c r="Y247" s="11"/>
      <c r="Z247" s="11"/>
    </row>
    <row r="248" ht="16.5" customHeight="1">
      <c r="A248" s="11"/>
      <c r="B248" s="11"/>
      <c r="C248" s="11"/>
      <c r="D248" s="11"/>
      <c r="E248" s="11"/>
      <c r="F248" s="11"/>
      <c r="G248" s="12"/>
      <c r="H248" s="11"/>
      <c r="I248" s="12"/>
      <c r="J248" s="12"/>
      <c r="K248" s="12"/>
      <c r="L248" s="11"/>
      <c r="M248" s="11"/>
      <c r="N248" s="11"/>
      <c r="O248" s="11"/>
      <c r="P248" s="11"/>
      <c r="Q248" s="11"/>
      <c r="R248" s="11"/>
      <c r="S248" s="11"/>
      <c r="T248" s="11"/>
      <c r="U248" s="11"/>
      <c r="V248" s="11"/>
      <c r="W248" s="11"/>
      <c r="X248" s="11"/>
      <c r="Y248" s="11"/>
      <c r="Z248" s="11"/>
    </row>
    <row r="249" ht="16.5" customHeight="1">
      <c r="A249" s="11"/>
      <c r="B249" s="11"/>
      <c r="C249" s="11"/>
      <c r="D249" s="11"/>
      <c r="E249" s="11"/>
      <c r="F249" s="11"/>
      <c r="G249" s="12"/>
      <c r="H249" s="11"/>
      <c r="I249" s="12"/>
      <c r="J249" s="12"/>
      <c r="K249" s="12"/>
      <c r="L249" s="11"/>
      <c r="M249" s="11"/>
      <c r="N249" s="11"/>
      <c r="O249" s="11"/>
      <c r="P249" s="11"/>
      <c r="Q249" s="11"/>
      <c r="R249" s="11"/>
      <c r="S249" s="11"/>
      <c r="T249" s="11"/>
      <c r="U249" s="11"/>
      <c r="V249" s="11"/>
      <c r="W249" s="11"/>
      <c r="X249" s="11"/>
      <c r="Y249" s="11"/>
      <c r="Z249" s="11"/>
    </row>
    <row r="250" ht="16.5" customHeight="1">
      <c r="A250" s="11"/>
      <c r="B250" s="11"/>
      <c r="C250" s="11"/>
      <c r="D250" s="11"/>
      <c r="E250" s="11"/>
      <c r="F250" s="11"/>
      <c r="G250" s="12"/>
      <c r="H250" s="11"/>
      <c r="I250" s="12"/>
      <c r="J250" s="12"/>
      <c r="K250" s="12"/>
      <c r="L250" s="11"/>
      <c r="M250" s="11"/>
      <c r="N250" s="11"/>
      <c r="O250" s="11"/>
      <c r="P250" s="11"/>
      <c r="Q250" s="11"/>
      <c r="R250" s="11"/>
      <c r="S250" s="11"/>
      <c r="T250" s="11"/>
      <c r="U250" s="11"/>
      <c r="V250" s="11"/>
      <c r="W250" s="11"/>
      <c r="X250" s="11"/>
      <c r="Y250" s="11"/>
      <c r="Z250" s="11"/>
    </row>
    <row r="251" ht="16.5" customHeight="1">
      <c r="A251" s="11"/>
      <c r="B251" s="11"/>
      <c r="C251" s="11"/>
      <c r="D251" s="11"/>
      <c r="E251" s="11"/>
      <c r="F251" s="11"/>
      <c r="G251" s="12"/>
      <c r="H251" s="11"/>
      <c r="I251" s="12"/>
      <c r="J251" s="12"/>
      <c r="K251" s="12"/>
      <c r="L251" s="11"/>
      <c r="M251" s="11"/>
      <c r="N251" s="11"/>
      <c r="O251" s="11"/>
      <c r="P251" s="11"/>
      <c r="Q251" s="11"/>
      <c r="R251" s="11"/>
      <c r="S251" s="11"/>
      <c r="T251" s="11"/>
      <c r="U251" s="11"/>
      <c r="V251" s="11"/>
      <c r="W251" s="11"/>
      <c r="X251" s="11"/>
      <c r="Y251" s="11"/>
      <c r="Z251" s="11"/>
    </row>
    <row r="252" ht="16.5" customHeight="1">
      <c r="A252" s="11"/>
      <c r="B252" s="11"/>
      <c r="C252" s="11"/>
      <c r="D252" s="11"/>
      <c r="E252" s="11"/>
      <c r="F252" s="11"/>
      <c r="G252" s="12"/>
      <c r="H252" s="11"/>
      <c r="I252" s="12"/>
      <c r="J252" s="12"/>
      <c r="K252" s="12"/>
      <c r="L252" s="11"/>
      <c r="M252" s="11"/>
      <c r="N252" s="11"/>
      <c r="O252" s="11"/>
      <c r="P252" s="11"/>
      <c r="Q252" s="11"/>
      <c r="R252" s="11"/>
      <c r="S252" s="11"/>
      <c r="T252" s="11"/>
      <c r="U252" s="11"/>
      <c r="V252" s="11"/>
      <c r="W252" s="11"/>
      <c r="X252" s="11"/>
      <c r="Y252" s="11"/>
      <c r="Z252" s="11"/>
    </row>
    <row r="253" ht="16.5" customHeight="1">
      <c r="A253" s="11"/>
      <c r="B253" s="11"/>
      <c r="C253" s="11"/>
      <c r="D253" s="11"/>
      <c r="E253" s="11"/>
      <c r="F253" s="11"/>
      <c r="G253" s="12"/>
      <c r="H253" s="11"/>
      <c r="I253" s="12"/>
      <c r="J253" s="12"/>
      <c r="K253" s="12"/>
      <c r="L253" s="11"/>
      <c r="M253" s="11"/>
      <c r="N253" s="11"/>
      <c r="O253" s="11"/>
      <c r="P253" s="11"/>
      <c r="Q253" s="11"/>
      <c r="R253" s="11"/>
      <c r="S253" s="11"/>
      <c r="T253" s="11"/>
      <c r="U253" s="11"/>
      <c r="V253" s="11"/>
      <c r="W253" s="11"/>
      <c r="X253" s="11"/>
      <c r="Y253" s="11"/>
      <c r="Z253" s="11"/>
    </row>
    <row r="254" ht="16.5" customHeight="1">
      <c r="A254" s="11"/>
      <c r="B254" s="11"/>
      <c r="C254" s="11"/>
      <c r="D254" s="11"/>
      <c r="E254" s="11"/>
      <c r="F254" s="11"/>
      <c r="G254" s="12"/>
      <c r="H254" s="11"/>
      <c r="I254" s="12"/>
      <c r="J254" s="12"/>
      <c r="K254" s="12"/>
      <c r="L254" s="11"/>
      <c r="M254" s="11"/>
      <c r="N254" s="11"/>
      <c r="O254" s="11"/>
      <c r="P254" s="11"/>
      <c r="Q254" s="11"/>
      <c r="R254" s="11"/>
      <c r="S254" s="11"/>
      <c r="T254" s="11"/>
      <c r="U254" s="11"/>
      <c r="V254" s="11"/>
      <c r="W254" s="11"/>
      <c r="X254" s="11"/>
      <c r="Y254" s="11"/>
      <c r="Z254" s="11"/>
    </row>
    <row r="255" ht="16.5" customHeight="1">
      <c r="A255" s="11"/>
      <c r="B255" s="11"/>
      <c r="C255" s="11"/>
      <c r="D255" s="11"/>
      <c r="E255" s="11"/>
      <c r="F255" s="11"/>
      <c r="G255" s="12"/>
      <c r="H255" s="11"/>
      <c r="I255" s="12"/>
      <c r="J255" s="12"/>
      <c r="K255" s="12"/>
      <c r="L255" s="11"/>
      <c r="M255" s="11"/>
      <c r="N255" s="11"/>
      <c r="O255" s="11"/>
      <c r="P255" s="11"/>
      <c r="Q255" s="11"/>
      <c r="R255" s="11"/>
      <c r="S255" s="11"/>
      <c r="T255" s="11"/>
      <c r="U255" s="11"/>
      <c r="V255" s="11"/>
      <c r="W255" s="11"/>
      <c r="X255" s="11"/>
      <c r="Y255" s="11"/>
      <c r="Z255" s="11"/>
    </row>
    <row r="256" ht="16.5" customHeight="1">
      <c r="A256" s="11"/>
      <c r="B256" s="11"/>
      <c r="C256" s="11"/>
      <c r="D256" s="11"/>
      <c r="E256" s="11"/>
      <c r="F256" s="11"/>
      <c r="G256" s="12"/>
      <c r="H256" s="11"/>
      <c r="I256" s="12"/>
      <c r="J256" s="12"/>
      <c r="K256" s="12"/>
      <c r="L256" s="11"/>
      <c r="M256" s="11"/>
      <c r="N256" s="11"/>
      <c r="O256" s="11"/>
      <c r="P256" s="11"/>
      <c r="Q256" s="11"/>
      <c r="R256" s="11"/>
      <c r="S256" s="11"/>
      <c r="T256" s="11"/>
      <c r="U256" s="11"/>
      <c r="V256" s="11"/>
      <c r="W256" s="11"/>
      <c r="X256" s="11"/>
      <c r="Y256" s="11"/>
      <c r="Z256" s="11"/>
    </row>
    <row r="257" ht="16.5" customHeight="1">
      <c r="A257" s="11"/>
      <c r="B257" s="11"/>
      <c r="C257" s="11"/>
      <c r="D257" s="11"/>
      <c r="E257" s="11"/>
      <c r="F257" s="11"/>
      <c r="G257" s="12"/>
      <c r="H257" s="11"/>
      <c r="I257" s="12"/>
      <c r="J257" s="12"/>
      <c r="K257" s="12"/>
      <c r="L257" s="11"/>
      <c r="M257" s="11"/>
      <c r="N257" s="11"/>
      <c r="O257" s="11"/>
      <c r="P257" s="11"/>
      <c r="Q257" s="11"/>
      <c r="R257" s="11"/>
      <c r="S257" s="11"/>
      <c r="T257" s="11"/>
      <c r="U257" s="11"/>
      <c r="V257" s="11"/>
      <c r="W257" s="11"/>
      <c r="X257" s="11"/>
      <c r="Y257" s="11"/>
      <c r="Z257" s="11"/>
    </row>
    <row r="258" ht="16.5" customHeight="1">
      <c r="A258" s="11"/>
      <c r="B258" s="11"/>
      <c r="C258" s="11"/>
      <c r="D258" s="11"/>
      <c r="E258" s="11"/>
      <c r="F258" s="11"/>
      <c r="G258" s="12"/>
      <c r="H258" s="11"/>
      <c r="I258" s="12"/>
      <c r="J258" s="12"/>
      <c r="K258" s="12"/>
      <c r="L258" s="11"/>
      <c r="M258" s="11"/>
      <c r="N258" s="11"/>
      <c r="O258" s="11"/>
      <c r="P258" s="11"/>
      <c r="Q258" s="11"/>
      <c r="R258" s="11"/>
      <c r="S258" s="11"/>
      <c r="T258" s="11"/>
      <c r="U258" s="11"/>
      <c r="V258" s="11"/>
      <c r="W258" s="11"/>
      <c r="X258" s="11"/>
      <c r="Y258" s="11"/>
      <c r="Z258" s="11"/>
    </row>
    <row r="259" ht="16.5" customHeight="1">
      <c r="A259" s="11"/>
      <c r="B259" s="11"/>
      <c r="C259" s="11"/>
      <c r="D259" s="11"/>
      <c r="E259" s="11"/>
      <c r="F259" s="11"/>
      <c r="G259" s="12"/>
      <c r="H259" s="11"/>
      <c r="I259" s="12"/>
      <c r="J259" s="12"/>
      <c r="K259" s="12"/>
      <c r="L259" s="11"/>
      <c r="M259" s="11"/>
      <c r="N259" s="11"/>
      <c r="O259" s="11"/>
      <c r="P259" s="11"/>
      <c r="Q259" s="11"/>
      <c r="R259" s="11"/>
      <c r="S259" s="11"/>
      <c r="T259" s="11"/>
      <c r="U259" s="11"/>
      <c r="V259" s="11"/>
      <c r="W259" s="11"/>
      <c r="X259" s="11"/>
      <c r="Y259" s="11"/>
      <c r="Z259" s="11"/>
    </row>
    <row r="260" ht="16.5" customHeight="1">
      <c r="A260" s="11"/>
      <c r="B260" s="11"/>
      <c r="C260" s="11"/>
      <c r="D260" s="11"/>
      <c r="E260" s="11"/>
      <c r="F260" s="11"/>
      <c r="G260" s="12"/>
      <c r="H260" s="11"/>
      <c r="I260" s="12"/>
      <c r="J260" s="12"/>
      <c r="K260" s="12"/>
      <c r="L260" s="11"/>
      <c r="M260" s="11"/>
      <c r="N260" s="11"/>
      <c r="O260" s="11"/>
      <c r="P260" s="11"/>
      <c r="Q260" s="11"/>
      <c r="R260" s="11"/>
      <c r="S260" s="11"/>
      <c r="T260" s="11"/>
      <c r="U260" s="11"/>
      <c r="V260" s="11"/>
      <c r="W260" s="11"/>
      <c r="X260" s="11"/>
      <c r="Y260" s="11"/>
      <c r="Z260" s="11"/>
    </row>
    <row r="261" ht="16.5" customHeight="1">
      <c r="A261" s="11"/>
      <c r="B261" s="11"/>
      <c r="C261" s="11"/>
      <c r="D261" s="11"/>
      <c r="E261" s="11"/>
      <c r="F261" s="11"/>
      <c r="G261" s="12"/>
      <c r="H261" s="11"/>
      <c r="I261" s="12"/>
      <c r="J261" s="12"/>
      <c r="K261" s="12"/>
      <c r="L261" s="11"/>
      <c r="M261" s="11"/>
      <c r="N261" s="11"/>
      <c r="O261" s="11"/>
      <c r="P261" s="11"/>
      <c r="Q261" s="11"/>
      <c r="R261" s="11"/>
      <c r="S261" s="11"/>
      <c r="T261" s="11"/>
      <c r="U261" s="11"/>
      <c r="V261" s="11"/>
      <c r="W261" s="11"/>
      <c r="X261" s="11"/>
      <c r="Y261" s="11"/>
      <c r="Z261" s="11"/>
    </row>
    <row r="262" ht="16.5" customHeight="1">
      <c r="A262" s="11"/>
      <c r="B262" s="11"/>
      <c r="C262" s="11"/>
      <c r="D262" s="11"/>
      <c r="E262" s="11"/>
      <c r="F262" s="11"/>
      <c r="G262" s="12"/>
      <c r="H262" s="11"/>
      <c r="I262" s="12"/>
      <c r="J262" s="12"/>
      <c r="K262" s="12"/>
      <c r="L262" s="11"/>
      <c r="M262" s="11"/>
      <c r="N262" s="11"/>
      <c r="O262" s="11"/>
      <c r="P262" s="11"/>
      <c r="Q262" s="11"/>
      <c r="R262" s="11"/>
      <c r="S262" s="11"/>
      <c r="T262" s="11"/>
      <c r="U262" s="11"/>
      <c r="V262" s="11"/>
      <c r="W262" s="11"/>
      <c r="X262" s="11"/>
      <c r="Y262" s="11"/>
      <c r="Z262" s="11"/>
    </row>
    <row r="263" ht="16.5" customHeight="1">
      <c r="A263" s="11"/>
      <c r="B263" s="11"/>
      <c r="C263" s="11"/>
      <c r="D263" s="11"/>
      <c r="E263" s="11"/>
      <c r="F263" s="11"/>
      <c r="G263" s="12"/>
      <c r="H263" s="11"/>
      <c r="I263" s="12"/>
      <c r="J263" s="12"/>
      <c r="K263" s="12"/>
      <c r="L263" s="11"/>
      <c r="M263" s="11"/>
      <c r="N263" s="11"/>
      <c r="O263" s="11"/>
      <c r="P263" s="11"/>
      <c r="Q263" s="11"/>
      <c r="R263" s="11"/>
      <c r="S263" s="11"/>
      <c r="T263" s="11"/>
      <c r="U263" s="11"/>
      <c r="V263" s="11"/>
      <c r="W263" s="11"/>
      <c r="X263" s="11"/>
      <c r="Y263" s="11"/>
      <c r="Z263" s="11"/>
    </row>
    <row r="264" ht="16.5" customHeight="1">
      <c r="A264" s="11"/>
      <c r="B264" s="11"/>
      <c r="C264" s="11"/>
      <c r="D264" s="11"/>
      <c r="E264" s="11"/>
      <c r="F264" s="11"/>
      <c r="G264" s="12"/>
      <c r="H264" s="11"/>
      <c r="I264" s="12"/>
      <c r="J264" s="12"/>
      <c r="K264" s="12"/>
      <c r="L264" s="11"/>
      <c r="M264" s="11"/>
      <c r="N264" s="11"/>
      <c r="O264" s="11"/>
      <c r="P264" s="11"/>
      <c r="Q264" s="11"/>
      <c r="R264" s="11"/>
      <c r="S264" s="11"/>
      <c r="T264" s="11"/>
      <c r="U264" s="11"/>
      <c r="V264" s="11"/>
      <c r="W264" s="11"/>
      <c r="X264" s="11"/>
      <c r="Y264" s="11"/>
      <c r="Z264" s="11"/>
    </row>
    <row r="265" ht="16.5" customHeight="1">
      <c r="A265" s="11"/>
      <c r="B265" s="11"/>
      <c r="C265" s="11"/>
      <c r="D265" s="11"/>
      <c r="E265" s="11"/>
      <c r="F265" s="11"/>
      <c r="G265" s="12"/>
      <c r="H265" s="11"/>
      <c r="I265" s="12"/>
      <c r="J265" s="12"/>
      <c r="K265" s="12"/>
      <c r="L265" s="11"/>
      <c r="M265" s="11"/>
      <c r="N265" s="11"/>
      <c r="O265" s="11"/>
      <c r="P265" s="11"/>
      <c r="Q265" s="11"/>
      <c r="R265" s="11"/>
      <c r="S265" s="11"/>
      <c r="T265" s="11"/>
      <c r="U265" s="11"/>
      <c r="V265" s="11"/>
      <c r="W265" s="11"/>
      <c r="X265" s="11"/>
      <c r="Y265" s="11"/>
      <c r="Z265" s="11"/>
    </row>
    <row r="266" ht="16.5" customHeight="1">
      <c r="A266" s="11"/>
      <c r="B266" s="11"/>
      <c r="C266" s="11"/>
      <c r="D266" s="11"/>
      <c r="E266" s="11"/>
      <c r="F266" s="11"/>
      <c r="G266" s="12"/>
      <c r="H266" s="11"/>
      <c r="I266" s="12"/>
      <c r="J266" s="12"/>
      <c r="K266" s="12"/>
      <c r="L266" s="11"/>
      <c r="M266" s="11"/>
      <c r="N266" s="11"/>
      <c r="O266" s="11"/>
      <c r="P266" s="11"/>
      <c r="Q266" s="11"/>
      <c r="R266" s="11"/>
      <c r="S266" s="11"/>
      <c r="T266" s="11"/>
      <c r="U266" s="11"/>
      <c r="V266" s="11"/>
      <c r="W266" s="11"/>
      <c r="X266" s="11"/>
      <c r="Y266" s="11"/>
      <c r="Z266" s="11"/>
    </row>
    <row r="267" ht="16.5" customHeight="1">
      <c r="A267" s="11"/>
      <c r="B267" s="11"/>
      <c r="C267" s="11"/>
      <c r="D267" s="11"/>
      <c r="E267" s="11"/>
      <c r="F267" s="11"/>
      <c r="G267" s="12"/>
      <c r="H267" s="11"/>
      <c r="I267" s="12"/>
      <c r="J267" s="12"/>
      <c r="K267" s="12"/>
      <c r="L267" s="11"/>
      <c r="M267" s="11"/>
      <c r="N267" s="11"/>
      <c r="O267" s="11"/>
      <c r="P267" s="11"/>
      <c r="Q267" s="11"/>
      <c r="R267" s="11"/>
      <c r="S267" s="11"/>
      <c r="T267" s="11"/>
      <c r="U267" s="11"/>
      <c r="V267" s="11"/>
      <c r="W267" s="11"/>
      <c r="X267" s="11"/>
      <c r="Y267" s="11"/>
      <c r="Z267" s="11"/>
    </row>
    <row r="268" ht="16.5" customHeight="1">
      <c r="A268" s="11"/>
      <c r="B268" s="11"/>
      <c r="C268" s="11"/>
      <c r="D268" s="11"/>
      <c r="E268" s="11"/>
      <c r="F268" s="11"/>
      <c r="G268" s="12"/>
      <c r="H268" s="11"/>
      <c r="I268" s="12"/>
      <c r="J268" s="12"/>
      <c r="K268" s="12"/>
      <c r="L268" s="11"/>
      <c r="M268" s="11"/>
      <c r="N268" s="11"/>
      <c r="O268" s="11"/>
      <c r="P268" s="11"/>
      <c r="Q268" s="11"/>
      <c r="R268" s="11"/>
      <c r="S268" s="11"/>
      <c r="T268" s="11"/>
      <c r="U268" s="11"/>
      <c r="V268" s="11"/>
      <c r="W268" s="11"/>
      <c r="X268" s="11"/>
      <c r="Y268" s="11"/>
      <c r="Z268" s="11"/>
    </row>
    <row r="269" ht="16.5" customHeight="1">
      <c r="A269" s="11"/>
      <c r="B269" s="11"/>
      <c r="C269" s="11"/>
      <c r="D269" s="11"/>
      <c r="E269" s="11"/>
      <c r="F269" s="11"/>
      <c r="G269" s="12"/>
      <c r="H269" s="11"/>
      <c r="I269" s="12"/>
      <c r="J269" s="12"/>
      <c r="K269" s="12"/>
      <c r="L269" s="11"/>
      <c r="M269" s="11"/>
      <c r="N269" s="11"/>
      <c r="O269" s="11"/>
      <c r="P269" s="11"/>
      <c r="Q269" s="11"/>
      <c r="R269" s="11"/>
      <c r="S269" s="11"/>
      <c r="T269" s="11"/>
      <c r="U269" s="11"/>
      <c r="V269" s="11"/>
      <c r="W269" s="11"/>
      <c r="X269" s="11"/>
      <c r="Y269" s="11"/>
      <c r="Z269" s="11"/>
    </row>
    <row r="270" ht="16.5" customHeight="1">
      <c r="A270" s="11"/>
      <c r="B270" s="11"/>
      <c r="C270" s="11"/>
      <c r="D270" s="11"/>
      <c r="E270" s="11"/>
      <c r="F270" s="11"/>
      <c r="G270" s="12"/>
      <c r="H270" s="11"/>
      <c r="I270" s="12"/>
      <c r="J270" s="12"/>
      <c r="K270" s="12"/>
      <c r="L270" s="11"/>
      <c r="M270" s="11"/>
      <c r="N270" s="11"/>
      <c r="O270" s="11"/>
      <c r="P270" s="11"/>
      <c r="Q270" s="11"/>
      <c r="R270" s="11"/>
      <c r="S270" s="11"/>
      <c r="T270" s="11"/>
      <c r="U270" s="11"/>
      <c r="V270" s="11"/>
      <c r="W270" s="11"/>
      <c r="X270" s="11"/>
      <c r="Y270" s="11"/>
      <c r="Z270" s="11"/>
    </row>
    <row r="271" ht="16.5" customHeight="1">
      <c r="A271" s="11"/>
      <c r="B271" s="11"/>
      <c r="C271" s="11"/>
      <c r="D271" s="11"/>
      <c r="E271" s="11"/>
      <c r="F271" s="11"/>
      <c r="G271" s="12"/>
      <c r="H271" s="11"/>
      <c r="I271" s="12"/>
      <c r="J271" s="12"/>
      <c r="K271" s="12"/>
      <c r="L271" s="11"/>
      <c r="M271" s="11"/>
      <c r="N271" s="11"/>
      <c r="O271" s="11"/>
      <c r="P271" s="11"/>
      <c r="Q271" s="11"/>
      <c r="R271" s="11"/>
      <c r="S271" s="11"/>
      <c r="T271" s="11"/>
      <c r="U271" s="11"/>
      <c r="V271" s="11"/>
      <c r="W271" s="11"/>
      <c r="X271" s="11"/>
      <c r="Y271" s="11"/>
      <c r="Z271" s="11"/>
    </row>
    <row r="272" ht="16.5" customHeight="1">
      <c r="A272" s="11"/>
      <c r="B272" s="11"/>
      <c r="C272" s="11"/>
      <c r="D272" s="11"/>
      <c r="E272" s="11"/>
      <c r="F272" s="11"/>
      <c r="G272" s="12"/>
      <c r="H272" s="11"/>
      <c r="I272" s="12"/>
      <c r="J272" s="12"/>
      <c r="K272" s="12"/>
      <c r="L272" s="11"/>
      <c r="M272" s="11"/>
      <c r="N272" s="11"/>
      <c r="O272" s="11"/>
      <c r="P272" s="11"/>
      <c r="Q272" s="11"/>
      <c r="R272" s="11"/>
      <c r="S272" s="11"/>
      <c r="T272" s="11"/>
      <c r="U272" s="11"/>
      <c r="V272" s="11"/>
      <c r="W272" s="11"/>
      <c r="X272" s="11"/>
      <c r="Y272" s="11"/>
      <c r="Z272" s="11"/>
    </row>
    <row r="273" ht="16.5" customHeight="1">
      <c r="A273" s="11"/>
      <c r="B273" s="11"/>
      <c r="C273" s="11"/>
      <c r="D273" s="11"/>
      <c r="E273" s="11"/>
      <c r="F273" s="11"/>
      <c r="G273" s="12"/>
      <c r="H273" s="11"/>
      <c r="I273" s="12"/>
      <c r="J273" s="12"/>
      <c r="K273" s="12"/>
      <c r="L273" s="11"/>
      <c r="M273" s="11"/>
      <c r="N273" s="11"/>
      <c r="O273" s="11"/>
      <c r="P273" s="11"/>
      <c r="Q273" s="11"/>
      <c r="R273" s="11"/>
      <c r="S273" s="11"/>
      <c r="T273" s="11"/>
      <c r="U273" s="11"/>
      <c r="V273" s="11"/>
      <c r="W273" s="11"/>
      <c r="X273" s="11"/>
      <c r="Y273" s="11"/>
      <c r="Z273" s="11"/>
    </row>
    <row r="274" ht="16.5" customHeight="1">
      <c r="A274" s="11"/>
      <c r="B274" s="11"/>
      <c r="C274" s="11"/>
      <c r="D274" s="11"/>
      <c r="E274" s="11"/>
      <c r="F274" s="11"/>
      <c r="G274" s="12"/>
      <c r="H274" s="11"/>
      <c r="I274" s="12"/>
      <c r="J274" s="12"/>
      <c r="K274" s="12"/>
      <c r="L274" s="11"/>
      <c r="M274" s="11"/>
      <c r="N274" s="11"/>
      <c r="O274" s="11"/>
      <c r="P274" s="11"/>
      <c r="Q274" s="11"/>
      <c r="R274" s="11"/>
      <c r="S274" s="11"/>
      <c r="T274" s="11"/>
      <c r="U274" s="11"/>
      <c r="V274" s="11"/>
      <c r="W274" s="11"/>
      <c r="X274" s="11"/>
      <c r="Y274" s="11"/>
      <c r="Z274" s="11"/>
    </row>
    <row r="275" ht="16.5" customHeight="1">
      <c r="A275" s="11"/>
      <c r="B275" s="11"/>
      <c r="C275" s="11"/>
      <c r="D275" s="11"/>
      <c r="E275" s="11"/>
      <c r="F275" s="11"/>
      <c r="G275" s="12"/>
      <c r="H275" s="11"/>
      <c r="I275" s="12"/>
      <c r="J275" s="12"/>
      <c r="K275" s="12"/>
      <c r="L275" s="11"/>
      <c r="M275" s="11"/>
      <c r="N275" s="11"/>
      <c r="O275" s="11"/>
      <c r="P275" s="11"/>
      <c r="Q275" s="11"/>
      <c r="R275" s="11"/>
      <c r="S275" s="11"/>
      <c r="T275" s="11"/>
      <c r="U275" s="11"/>
      <c r="V275" s="11"/>
      <c r="W275" s="11"/>
      <c r="X275" s="11"/>
      <c r="Y275" s="11"/>
      <c r="Z275" s="11"/>
    </row>
    <row r="276" ht="16.5" customHeight="1">
      <c r="A276" s="11"/>
      <c r="B276" s="11"/>
      <c r="C276" s="11"/>
      <c r="D276" s="11"/>
      <c r="E276" s="11"/>
      <c r="F276" s="11"/>
      <c r="G276" s="12"/>
      <c r="H276" s="11"/>
      <c r="I276" s="12"/>
      <c r="J276" s="12"/>
      <c r="K276" s="12"/>
      <c r="L276" s="11"/>
      <c r="M276" s="11"/>
      <c r="N276" s="11"/>
      <c r="O276" s="11"/>
      <c r="P276" s="11"/>
      <c r="Q276" s="11"/>
      <c r="R276" s="11"/>
      <c r="S276" s="11"/>
      <c r="T276" s="11"/>
      <c r="U276" s="11"/>
      <c r="V276" s="11"/>
      <c r="W276" s="11"/>
      <c r="X276" s="11"/>
      <c r="Y276" s="11"/>
      <c r="Z276" s="11"/>
    </row>
    <row r="277" ht="16.5" customHeight="1">
      <c r="A277" s="11"/>
      <c r="B277" s="11"/>
      <c r="C277" s="11"/>
      <c r="D277" s="11"/>
      <c r="E277" s="11"/>
      <c r="F277" s="11"/>
      <c r="G277" s="12"/>
      <c r="H277" s="11"/>
      <c r="I277" s="12"/>
      <c r="J277" s="12"/>
      <c r="K277" s="12"/>
      <c r="L277" s="11"/>
      <c r="M277" s="11"/>
      <c r="N277" s="11"/>
      <c r="O277" s="11"/>
      <c r="P277" s="11"/>
      <c r="Q277" s="11"/>
      <c r="R277" s="11"/>
      <c r="S277" s="11"/>
      <c r="T277" s="11"/>
      <c r="U277" s="11"/>
      <c r="V277" s="11"/>
      <c r="W277" s="11"/>
      <c r="X277" s="11"/>
      <c r="Y277" s="11"/>
      <c r="Z277" s="11"/>
    </row>
    <row r="278" ht="16.5" customHeight="1">
      <c r="A278" s="11"/>
      <c r="B278" s="11"/>
      <c r="C278" s="11"/>
      <c r="D278" s="11"/>
      <c r="E278" s="11"/>
      <c r="F278" s="11"/>
      <c r="G278" s="12"/>
      <c r="H278" s="11"/>
      <c r="I278" s="12"/>
      <c r="J278" s="12"/>
      <c r="K278" s="12"/>
      <c r="L278" s="11"/>
      <c r="M278" s="11"/>
      <c r="N278" s="11"/>
      <c r="O278" s="11"/>
      <c r="P278" s="11"/>
      <c r="Q278" s="11"/>
      <c r="R278" s="11"/>
      <c r="S278" s="11"/>
      <c r="T278" s="11"/>
      <c r="U278" s="11"/>
      <c r="V278" s="11"/>
      <c r="W278" s="11"/>
      <c r="X278" s="11"/>
      <c r="Y278" s="11"/>
      <c r="Z278" s="11"/>
    </row>
    <row r="279" ht="16.5" customHeight="1">
      <c r="A279" s="11"/>
      <c r="B279" s="11"/>
      <c r="C279" s="11"/>
      <c r="D279" s="11"/>
      <c r="E279" s="11"/>
      <c r="F279" s="11"/>
      <c r="G279" s="12"/>
      <c r="H279" s="11"/>
      <c r="I279" s="12"/>
      <c r="J279" s="12"/>
      <c r="K279" s="12"/>
      <c r="L279" s="11"/>
      <c r="M279" s="11"/>
      <c r="N279" s="11"/>
      <c r="O279" s="11"/>
      <c r="P279" s="11"/>
      <c r="Q279" s="11"/>
      <c r="R279" s="11"/>
      <c r="S279" s="11"/>
      <c r="T279" s="11"/>
      <c r="U279" s="11"/>
      <c r="V279" s="11"/>
      <c r="W279" s="11"/>
      <c r="X279" s="11"/>
      <c r="Y279" s="11"/>
      <c r="Z279" s="11"/>
    </row>
    <row r="280" ht="16.5" customHeight="1">
      <c r="A280" s="11"/>
      <c r="B280" s="11"/>
      <c r="C280" s="11"/>
      <c r="D280" s="11"/>
      <c r="E280" s="11"/>
      <c r="F280" s="11"/>
      <c r="G280" s="12"/>
      <c r="H280" s="11"/>
      <c r="I280" s="12"/>
      <c r="J280" s="12"/>
      <c r="K280" s="12"/>
      <c r="L280" s="11"/>
      <c r="M280" s="11"/>
      <c r="N280" s="11"/>
      <c r="O280" s="11"/>
      <c r="P280" s="11"/>
      <c r="Q280" s="11"/>
      <c r="R280" s="11"/>
      <c r="S280" s="11"/>
      <c r="T280" s="11"/>
      <c r="U280" s="11"/>
      <c r="V280" s="11"/>
      <c r="W280" s="11"/>
      <c r="X280" s="11"/>
      <c r="Y280" s="11"/>
      <c r="Z280" s="11"/>
    </row>
    <row r="281" ht="16.5" customHeight="1">
      <c r="A281" s="11"/>
      <c r="B281" s="11"/>
      <c r="C281" s="11"/>
      <c r="D281" s="11"/>
      <c r="E281" s="11"/>
      <c r="F281" s="11"/>
      <c r="G281" s="12"/>
      <c r="H281" s="11"/>
      <c r="I281" s="12"/>
      <c r="J281" s="12"/>
      <c r="K281" s="12"/>
      <c r="L281" s="11"/>
      <c r="M281" s="11"/>
      <c r="N281" s="11"/>
      <c r="O281" s="11"/>
      <c r="P281" s="11"/>
      <c r="Q281" s="11"/>
      <c r="R281" s="11"/>
      <c r="S281" s="11"/>
      <c r="T281" s="11"/>
      <c r="U281" s="11"/>
      <c r="V281" s="11"/>
      <c r="W281" s="11"/>
      <c r="X281" s="11"/>
      <c r="Y281" s="11"/>
      <c r="Z281" s="11"/>
    </row>
    <row r="282" ht="16.5" customHeight="1">
      <c r="A282" s="11"/>
      <c r="B282" s="11"/>
      <c r="C282" s="11"/>
      <c r="D282" s="11"/>
      <c r="E282" s="11"/>
      <c r="F282" s="11"/>
      <c r="G282" s="12"/>
      <c r="H282" s="11"/>
      <c r="I282" s="12"/>
      <c r="J282" s="12"/>
      <c r="K282" s="12"/>
      <c r="L282" s="11"/>
      <c r="M282" s="11"/>
      <c r="N282" s="11"/>
      <c r="O282" s="11"/>
      <c r="P282" s="11"/>
      <c r="Q282" s="11"/>
      <c r="R282" s="11"/>
      <c r="S282" s="11"/>
      <c r="T282" s="11"/>
      <c r="U282" s="11"/>
      <c r="V282" s="11"/>
      <c r="W282" s="11"/>
      <c r="X282" s="11"/>
      <c r="Y282" s="11"/>
      <c r="Z282" s="11"/>
    </row>
    <row r="283" ht="16.5" customHeight="1">
      <c r="A283" s="11"/>
      <c r="B283" s="11"/>
      <c r="C283" s="11"/>
      <c r="D283" s="11"/>
      <c r="E283" s="11"/>
      <c r="F283" s="11"/>
      <c r="G283" s="12"/>
      <c r="H283" s="11"/>
      <c r="I283" s="12"/>
      <c r="J283" s="12"/>
      <c r="K283" s="12"/>
      <c r="L283" s="11"/>
      <c r="M283" s="11"/>
      <c r="N283" s="11"/>
      <c r="O283" s="11"/>
      <c r="P283" s="11"/>
      <c r="Q283" s="11"/>
      <c r="R283" s="11"/>
      <c r="S283" s="11"/>
      <c r="T283" s="11"/>
      <c r="U283" s="11"/>
      <c r="V283" s="11"/>
      <c r="W283" s="11"/>
      <c r="X283" s="11"/>
      <c r="Y283" s="11"/>
      <c r="Z283" s="11"/>
    </row>
    <row r="284" ht="16.5" customHeight="1">
      <c r="A284" s="11"/>
      <c r="B284" s="11"/>
      <c r="C284" s="11"/>
      <c r="D284" s="11"/>
      <c r="E284" s="11"/>
      <c r="F284" s="11"/>
      <c r="G284" s="12"/>
      <c r="H284" s="11"/>
      <c r="I284" s="12"/>
      <c r="J284" s="12"/>
      <c r="K284" s="12"/>
      <c r="L284" s="11"/>
      <c r="M284" s="11"/>
      <c r="N284" s="11"/>
      <c r="O284" s="11"/>
      <c r="P284" s="11"/>
      <c r="Q284" s="11"/>
      <c r="R284" s="11"/>
      <c r="S284" s="11"/>
      <c r="T284" s="11"/>
      <c r="U284" s="11"/>
      <c r="V284" s="11"/>
      <c r="W284" s="11"/>
      <c r="X284" s="11"/>
      <c r="Y284" s="11"/>
      <c r="Z284" s="11"/>
    </row>
    <row r="285" ht="16.5" customHeight="1">
      <c r="A285" s="11"/>
      <c r="B285" s="11"/>
      <c r="C285" s="11"/>
      <c r="D285" s="11"/>
      <c r="E285" s="11"/>
      <c r="F285" s="11"/>
      <c r="G285" s="12"/>
      <c r="H285" s="11"/>
      <c r="I285" s="12"/>
      <c r="J285" s="12"/>
      <c r="K285" s="12"/>
      <c r="L285" s="11"/>
      <c r="M285" s="11"/>
      <c r="N285" s="11"/>
      <c r="O285" s="11"/>
      <c r="P285" s="11"/>
      <c r="Q285" s="11"/>
      <c r="R285" s="11"/>
      <c r="S285" s="11"/>
      <c r="T285" s="11"/>
      <c r="U285" s="11"/>
      <c r="V285" s="11"/>
      <c r="W285" s="11"/>
      <c r="X285" s="11"/>
      <c r="Y285" s="11"/>
      <c r="Z285" s="11"/>
    </row>
    <row r="286" ht="16.5" customHeight="1">
      <c r="A286" s="11"/>
      <c r="B286" s="11"/>
      <c r="C286" s="11"/>
      <c r="D286" s="11"/>
      <c r="E286" s="11"/>
      <c r="F286" s="11"/>
      <c r="G286" s="12"/>
      <c r="H286" s="11"/>
      <c r="I286" s="12"/>
      <c r="J286" s="12"/>
      <c r="K286" s="12"/>
      <c r="L286" s="11"/>
      <c r="M286" s="11"/>
      <c r="N286" s="11"/>
      <c r="O286" s="11"/>
      <c r="P286" s="11"/>
      <c r="Q286" s="11"/>
      <c r="R286" s="11"/>
      <c r="S286" s="11"/>
      <c r="T286" s="11"/>
      <c r="U286" s="11"/>
      <c r="V286" s="11"/>
      <c r="W286" s="11"/>
      <c r="X286" s="11"/>
      <c r="Y286" s="11"/>
      <c r="Z286" s="11"/>
    </row>
    <row r="287" ht="16.5" customHeight="1">
      <c r="A287" s="11"/>
      <c r="B287" s="11"/>
      <c r="C287" s="11"/>
      <c r="D287" s="11"/>
      <c r="E287" s="11"/>
      <c r="F287" s="11"/>
      <c r="G287" s="12"/>
      <c r="H287" s="11"/>
      <c r="I287" s="12"/>
      <c r="J287" s="12"/>
      <c r="K287" s="12"/>
      <c r="L287" s="11"/>
      <c r="M287" s="11"/>
      <c r="N287" s="11"/>
      <c r="O287" s="11"/>
      <c r="P287" s="11"/>
      <c r="Q287" s="11"/>
      <c r="R287" s="11"/>
      <c r="S287" s="11"/>
      <c r="T287" s="11"/>
      <c r="U287" s="11"/>
      <c r="V287" s="11"/>
      <c r="W287" s="11"/>
      <c r="X287" s="11"/>
      <c r="Y287" s="11"/>
      <c r="Z287" s="11"/>
    </row>
    <row r="288" ht="16.5" customHeight="1">
      <c r="A288" s="11"/>
      <c r="B288" s="11"/>
      <c r="C288" s="11"/>
      <c r="D288" s="11"/>
      <c r="E288" s="11"/>
      <c r="F288" s="11"/>
      <c r="G288" s="12"/>
      <c r="H288" s="11"/>
      <c r="I288" s="12"/>
      <c r="J288" s="12"/>
      <c r="K288" s="12"/>
      <c r="L288" s="11"/>
      <c r="M288" s="11"/>
      <c r="N288" s="11"/>
      <c r="O288" s="11"/>
      <c r="P288" s="11"/>
      <c r="Q288" s="11"/>
      <c r="R288" s="11"/>
      <c r="S288" s="11"/>
      <c r="T288" s="11"/>
      <c r="U288" s="11"/>
      <c r="V288" s="11"/>
      <c r="W288" s="11"/>
      <c r="X288" s="11"/>
      <c r="Y288" s="11"/>
      <c r="Z288" s="11"/>
    </row>
    <row r="289" ht="16.5" customHeight="1">
      <c r="A289" s="11"/>
      <c r="B289" s="11"/>
      <c r="C289" s="11"/>
      <c r="D289" s="11"/>
      <c r="E289" s="11"/>
      <c r="F289" s="11"/>
      <c r="G289" s="12"/>
      <c r="H289" s="11"/>
      <c r="I289" s="12"/>
      <c r="J289" s="12"/>
      <c r="K289" s="12"/>
      <c r="L289" s="11"/>
      <c r="M289" s="11"/>
      <c r="N289" s="11"/>
      <c r="O289" s="11"/>
      <c r="P289" s="11"/>
      <c r="Q289" s="11"/>
      <c r="R289" s="11"/>
      <c r="S289" s="11"/>
      <c r="T289" s="11"/>
      <c r="U289" s="11"/>
      <c r="V289" s="11"/>
      <c r="W289" s="11"/>
      <c r="X289" s="11"/>
      <c r="Y289" s="11"/>
      <c r="Z289" s="11"/>
    </row>
    <row r="290" ht="16.5" customHeight="1">
      <c r="A290" s="11"/>
      <c r="B290" s="11"/>
      <c r="C290" s="11"/>
      <c r="D290" s="11"/>
      <c r="E290" s="11"/>
      <c r="F290" s="11"/>
      <c r="G290" s="12"/>
      <c r="H290" s="11"/>
      <c r="I290" s="12"/>
      <c r="J290" s="12"/>
      <c r="K290" s="12"/>
      <c r="L290" s="11"/>
      <c r="M290" s="11"/>
      <c r="N290" s="11"/>
      <c r="O290" s="11"/>
      <c r="P290" s="11"/>
      <c r="Q290" s="11"/>
      <c r="R290" s="11"/>
      <c r="S290" s="11"/>
      <c r="T290" s="11"/>
      <c r="U290" s="11"/>
      <c r="V290" s="11"/>
      <c r="W290" s="11"/>
      <c r="X290" s="11"/>
      <c r="Y290" s="11"/>
      <c r="Z290" s="11"/>
    </row>
    <row r="291" ht="16.5" customHeight="1">
      <c r="A291" s="11"/>
      <c r="B291" s="11"/>
      <c r="C291" s="11"/>
      <c r="D291" s="11"/>
      <c r="E291" s="11"/>
      <c r="F291" s="11"/>
      <c r="G291" s="12"/>
      <c r="H291" s="11"/>
      <c r="I291" s="12"/>
      <c r="J291" s="12"/>
      <c r="K291" s="12"/>
      <c r="L291" s="11"/>
      <c r="M291" s="11"/>
      <c r="N291" s="11"/>
      <c r="O291" s="11"/>
      <c r="P291" s="11"/>
      <c r="Q291" s="11"/>
      <c r="R291" s="11"/>
      <c r="S291" s="11"/>
      <c r="T291" s="11"/>
      <c r="U291" s="11"/>
      <c r="V291" s="11"/>
      <c r="W291" s="11"/>
      <c r="X291" s="11"/>
      <c r="Y291" s="11"/>
      <c r="Z291" s="11"/>
    </row>
    <row r="292" ht="16.5" customHeight="1">
      <c r="A292" s="11"/>
      <c r="B292" s="11"/>
      <c r="C292" s="11"/>
      <c r="D292" s="11"/>
      <c r="E292" s="11"/>
      <c r="F292" s="11"/>
      <c r="G292" s="12"/>
      <c r="H292" s="11"/>
      <c r="I292" s="12"/>
      <c r="J292" s="12"/>
      <c r="K292" s="12"/>
      <c r="L292" s="11"/>
      <c r="M292" s="11"/>
      <c r="N292" s="11"/>
      <c r="O292" s="11"/>
      <c r="P292" s="11"/>
      <c r="Q292" s="11"/>
      <c r="R292" s="11"/>
      <c r="S292" s="11"/>
      <c r="T292" s="11"/>
      <c r="U292" s="11"/>
      <c r="V292" s="11"/>
      <c r="W292" s="11"/>
      <c r="X292" s="11"/>
      <c r="Y292" s="11"/>
      <c r="Z292" s="11"/>
    </row>
    <row r="293" ht="16.5" customHeight="1">
      <c r="A293" s="11"/>
      <c r="B293" s="11"/>
      <c r="C293" s="11"/>
      <c r="D293" s="11"/>
      <c r="E293" s="11"/>
      <c r="F293" s="11"/>
      <c r="G293" s="12"/>
      <c r="H293" s="11"/>
      <c r="I293" s="12"/>
      <c r="J293" s="12"/>
      <c r="K293" s="12"/>
      <c r="L293" s="11"/>
      <c r="M293" s="11"/>
      <c r="N293" s="11"/>
      <c r="O293" s="11"/>
      <c r="P293" s="11"/>
      <c r="Q293" s="11"/>
      <c r="R293" s="11"/>
      <c r="S293" s="11"/>
      <c r="T293" s="11"/>
      <c r="U293" s="11"/>
      <c r="V293" s="11"/>
      <c r="W293" s="11"/>
      <c r="X293" s="11"/>
      <c r="Y293" s="11"/>
      <c r="Z293" s="11"/>
    </row>
    <row r="294" ht="16.5" customHeight="1">
      <c r="A294" s="11"/>
      <c r="B294" s="11"/>
      <c r="C294" s="11"/>
      <c r="D294" s="11"/>
      <c r="E294" s="11"/>
      <c r="F294" s="11"/>
      <c r="G294" s="12"/>
      <c r="H294" s="11"/>
      <c r="I294" s="12"/>
      <c r="J294" s="12"/>
      <c r="K294" s="12"/>
      <c r="L294" s="11"/>
      <c r="M294" s="11"/>
      <c r="N294" s="11"/>
      <c r="O294" s="11"/>
      <c r="P294" s="11"/>
      <c r="Q294" s="11"/>
      <c r="R294" s="11"/>
      <c r="S294" s="11"/>
      <c r="T294" s="11"/>
      <c r="U294" s="11"/>
      <c r="V294" s="11"/>
      <c r="W294" s="11"/>
      <c r="X294" s="11"/>
      <c r="Y294" s="11"/>
      <c r="Z294" s="11"/>
    </row>
    <row r="295" ht="16.5" customHeight="1">
      <c r="A295" s="11"/>
      <c r="B295" s="11"/>
      <c r="C295" s="11"/>
      <c r="D295" s="11"/>
      <c r="E295" s="11"/>
      <c r="F295" s="11"/>
      <c r="G295" s="12"/>
      <c r="H295" s="11"/>
      <c r="I295" s="12"/>
      <c r="J295" s="12"/>
      <c r="K295" s="12"/>
      <c r="L295" s="11"/>
      <c r="M295" s="11"/>
      <c r="N295" s="11"/>
      <c r="O295" s="11"/>
      <c r="P295" s="11"/>
      <c r="Q295" s="11"/>
      <c r="R295" s="11"/>
      <c r="S295" s="11"/>
      <c r="T295" s="11"/>
      <c r="U295" s="11"/>
      <c r="V295" s="11"/>
      <c r="W295" s="11"/>
      <c r="X295" s="11"/>
      <c r="Y295" s="11"/>
      <c r="Z295" s="11"/>
    </row>
    <row r="296" ht="16.5" customHeight="1">
      <c r="A296" s="11"/>
      <c r="B296" s="11"/>
      <c r="C296" s="11"/>
      <c r="D296" s="11"/>
      <c r="E296" s="11"/>
      <c r="F296" s="11"/>
      <c r="G296" s="12"/>
      <c r="H296" s="11"/>
      <c r="I296" s="12"/>
      <c r="J296" s="12"/>
      <c r="K296" s="12"/>
      <c r="L296" s="11"/>
      <c r="M296" s="11"/>
      <c r="N296" s="11"/>
      <c r="O296" s="11"/>
      <c r="P296" s="11"/>
      <c r="Q296" s="11"/>
      <c r="R296" s="11"/>
      <c r="S296" s="11"/>
      <c r="T296" s="11"/>
      <c r="U296" s="11"/>
      <c r="V296" s="11"/>
      <c r="W296" s="11"/>
      <c r="X296" s="11"/>
      <c r="Y296" s="11"/>
      <c r="Z296" s="11"/>
    </row>
    <row r="297" ht="16.5" customHeight="1">
      <c r="A297" s="11"/>
      <c r="B297" s="11"/>
      <c r="C297" s="11"/>
      <c r="D297" s="11"/>
      <c r="E297" s="11"/>
      <c r="F297" s="11"/>
      <c r="G297" s="12"/>
      <c r="H297" s="11"/>
      <c r="I297" s="12"/>
      <c r="J297" s="12"/>
      <c r="K297" s="12"/>
      <c r="L297" s="11"/>
      <c r="M297" s="11"/>
      <c r="N297" s="11"/>
      <c r="O297" s="11"/>
      <c r="P297" s="11"/>
      <c r="Q297" s="11"/>
      <c r="R297" s="11"/>
      <c r="S297" s="11"/>
      <c r="T297" s="11"/>
      <c r="U297" s="11"/>
      <c r="V297" s="11"/>
      <c r="W297" s="11"/>
      <c r="X297" s="11"/>
      <c r="Y297" s="11"/>
      <c r="Z297" s="11"/>
    </row>
    <row r="298" ht="16.5" customHeight="1">
      <c r="A298" s="11"/>
      <c r="B298" s="11"/>
      <c r="C298" s="11"/>
      <c r="D298" s="11"/>
      <c r="E298" s="11"/>
      <c r="F298" s="11"/>
      <c r="G298" s="12"/>
      <c r="H298" s="11"/>
      <c r="I298" s="12"/>
      <c r="J298" s="12"/>
      <c r="K298" s="12"/>
      <c r="L298" s="11"/>
      <c r="M298" s="11"/>
      <c r="N298" s="11"/>
      <c r="O298" s="11"/>
      <c r="P298" s="11"/>
      <c r="Q298" s="11"/>
      <c r="R298" s="11"/>
      <c r="S298" s="11"/>
      <c r="T298" s="11"/>
      <c r="U298" s="11"/>
      <c r="V298" s="11"/>
      <c r="W298" s="11"/>
      <c r="X298" s="11"/>
      <c r="Y298" s="11"/>
      <c r="Z298" s="11"/>
    </row>
    <row r="299" ht="16.5" customHeight="1">
      <c r="A299" s="11"/>
      <c r="B299" s="11"/>
      <c r="C299" s="11"/>
      <c r="D299" s="11"/>
      <c r="E299" s="11"/>
      <c r="F299" s="11"/>
      <c r="G299" s="12"/>
      <c r="H299" s="11"/>
      <c r="I299" s="12"/>
      <c r="J299" s="12"/>
      <c r="K299" s="12"/>
      <c r="L299" s="11"/>
      <c r="M299" s="11"/>
      <c r="N299" s="11"/>
      <c r="O299" s="11"/>
      <c r="P299" s="11"/>
      <c r="Q299" s="11"/>
      <c r="R299" s="11"/>
      <c r="S299" s="11"/>
      <c r="T299" s="11"/>
      <c r="U299" s="11"/>
      <c r="V299" s="11"/>
      <c r="W299" s="11"/>
      <c r="X299" s="11"/>
      <c r="Y299" s="11"/>
      <c r="Z299" s="11"/>
    </row>
    <row r="300" ht="16.5" customHeight="1">
      <c r="A300" s="11"/>
      <c r="B300" s="11"/>
      <c r="C300" s="11"/>
      <c r="D300" s="11"/>
      <c r="E300" s="11"/>
      <c r="F300" s="11"/>
      <c r="G300" s="12"/>
      <c r="H300" s="11"/>
      <c r="I300" s="12"/>
      <c r="J300" s="12"/>
      <c r="K300" s="12"/>
      <c r="L300" s="11"/>
      <c r="M300" s="11"/>
      <c r="N300" s="11"/>
      <c r="O300" s="11"/>
      <c r="P300" s="11"/>
      <c r="Q300" s="11"/>
      <c r="R300" s="11"/>
      <c r="S300" s="11"/>
      <c r="T300" s="11"/>
      <c r="U300" s="11"/>
      <c r="V300" s="11"/>
      <c r="W300" s="11"/>
      <c r="X300" s="11"/>
      <c r="Y300" s="11"/>
      <c r="Z300" s="11"/>
    </row>
    <row r="301" ht="16.5" customHeight="1">
      <c r="A301" s="11"/>
      <c r="B301" s="11"/>
      <c r="C301" s="11"/>
      <c r="D301" s="11"/>
      <c r="E301" s="11"/>
      <c r="F301" s="11"/>
      <c r="G301" s="12"/>
      <c r="H301" s="11"/>
      <c r="I301" s="12"/>
      <c r="J301" s="12"/>
      <c r="K301" s="12"/>
      <c r="L301" s="11"/>
      <c r="M301" s="11"/>
      <c r="N301" s="11"/>
      <c r="O301" s="11"/>
      <c r="P301" s="11"/>
      <c r="Q301" s="11"/>
      <c r="R301" s="11"/>
      <c r="S301" s="11"/>
      <c r="T301" s="11"/>
      <c r="U301" s="11"/>
      <c r="V301" s="11"/>
      <c r="W301" s="11"/>
      <c r="X301" s="11"/>
      <c r="Y301" s="11"/>
      <c r="Z301" s="11"/>
    </row>
    <row r="302" ht="16.5" customHeight="1">
      <c r="A302" s="11"/>
      <c r="B302" s="11"/>
      <c r="C302" s="11"/>
      <c r="D302" s="11"/>
      <c r="E302" s="11"/>
      <c r="F302" s="11"/>
      <c r="G302" s="12"/>
      <c r="H302" s="11"/>
      <c r="I302" s="12"/>
      <c r="J302" s="12"/>
      <c r="K302" s="12"/>
      <c r="L302" s="11"/>
      <c r="M302" s="11"/>
      <c r="N302" s="11"/>
      <c r="O302" s="11"/>
      <c r="P302" s="11"/>
      <c r="Q302" s="11"/>
      <c r="R302" s="11"/>
      <c r="S302" s="11"/>
      <c r="T302" s="11"/>
      <c r="U302" s="11"/>
      <c r="V302" s="11"/>
      <c r="W302" s="11"/>
      <c r="X302" s="11"/>
      <c r="Y302" s="11"/>
      <c r="Z302" s="11"/>
    </row>
    <row r="303" ht="16.5" customHeight="1">
      <c r="A303" s="11"/>
      <c r="B303" s="11"/>
      <c r="C303" s="11"/>
      <c r="D303" s="11"/>
      <c r="E303" s="11"/>
      <c r="F303" s="11"/>
      <c r="G303" s="12"/>
      <c r="H303" s="11"/>
      <c r="I303" s="12"/>
      <c r="J303" s="12"/>
      <c r="K303" s="12"/>
      <c r="L303" s="11"/>
      <c r="M303" s="11"/>
      <c r="N303" s="11"/>
      <c r="O303" s="11"/>
      <c r="P303" s="11"/>
      <c r="Q303" s="11"/>
      <c r="R303" s="11"/>
      <c r="S303" s="11"/>
      <c r="T303" s="11"/>
      <c r="U303" s="11"/>
      <c r="V303" s="11"/>
      <c r="W303" s="11"/>
      <c r="X303" s="11"/>
      <c r="Y303" s="11"/>
      <c r="Z303" s="11"/>
    </row>
    <row r="304" ht="16.5" customHeight="1">
      <c r="A304" s="11"/>
      <c r="B304" s="11"/>
      <c r="C304" s="11"/>
      <c r="D304" s="11"/>
      <c r="E304" s="11"/>
      <c r="F304" s="11"/>
      <c r="G304" s="12"/>
      <c r="H304" s="11"/>
      <c r="I304" s="12"/>
      <c r="J304" s="12"/>
      <c r="K304" s="12"/>
      <c r="L304" s="11"/>
      <c r="M304" s="11"/>
      <c r="N304" s="11"/>
      <c r="O304" s="11"/>
      <c r="P304" s="11"/>
      <c r="Q304" s="11"/>
      <c r="R304" s="11"/>
      <c r="S304" s="11"/>
      <c r="T304" s="11"/>
      <c r="U304" s="11"/>
      <c r="V304" s="11"/>
      <c r="W304" s="11"/>
      <c r="X304" s="11"/>
      <c r="Y304" s="11"/>
      <c r="Z304" s="11"/>
    </row>
    <row r="305" ht="16.5" customHeight="1">
      <c r="A305" s="11"/>
      <c r="B305" s="11"/>
      <c r="C305" s="11"/>
      <c r="D305" s="11"/>
      <c r="E305" s="11"/>
      <c r="F305" s="11"/>
      <c r="G305" s="12"/>
      <c r="H305" s="11"/>
      <c r="I305" s="12"/>
      <c r="J305" s="12"/>
      <c r="K305" s="12"/>
      <c r="L305" s="11"/>
      <c r="M305" s="11"/>
      <c r="N305" s="11"/>
      <c r="O305" s="11"/>
      <c r="P305" s="11"/>
      <c r="Q305" s="11"/>
      <c r="R305" s="11"/>
      <c r="S305" s="11"/>
      <c r="T305" s="11"/>
      <c r="U305" s="11"/>
      <c r="V305" s="11"/>
      <c r="W305" s="11"/>
      <c r="X305" s="11"/>
      <c r="Y305" s="11"/>
      <c r="Z305" s="11"/>
    </row>
    <row r="306" ht="16.5" customHeight="1">
      <c r="A306" s="11"/>
      <c r="B306" s="11"/>
      <c r="C306" s="11"/>
      <c r="D306" s="11"/>
      <c r="E306" s="11"/>
      <c r="F306" s="11"/>
      <c r="G306" s="12"/>
      <c r="H306" s="11"/>
      <c r="I306" s="12"/>
      <c r="J306" s="12"/>
      <c r="K306" s="12"/>
      <c r="L306" s="11"/>
      <c r="M306" s="11"/>
      <c r="N306" s="11"/>
      <c r="O306" s="11"/>
      <c r="P306" s="11"/>
      <c r="Q306" s="11"/>
      <c r="R306" s="11"/>
      <c r="S306" s="11"/>
      <c r="T306" s="11"/>
      <c r="U306" s="11"/>
      <c r="V306" s="11"/>
      <c r="W306" s="11"/>
      <c r="X306" s="11"/>
      <c r="Y306" s="11"/>
      <c r="Z306" s="11"/>
    </row>
    <row r="307" ht="16.5" customHeight="1">
      <c r="A307" s="11"/>
      <c r="B307" s="11"/>
      <c r="C307" s="11"/>
      <c r="D307" s="11"/>
      <c r="E307" s="11"/>
      <c r="F307" s="11"/>
      <c r="G307" s="12"/>
      <c r="H307" s="11"/>
      <c r="I307" s="12"/>
      <c r="J307" s="12"/>
      <c r="K307" s="12"/>
      <c r="L307" s="11"/>
      <c r="M307" s="11"/>
      <c r="N307" s="11"/>
      <c r="O307" s="11"/>
      <c r="P307" s="11"/>
      <c r="Q307" s="11"/>
      <c r="R307" s="11"/>
      <c r="S307" s="11"/>
      <c r="T307" s="11"/>
      <c r="U307" s="11"/>
      <c r="V307" s="11"/>
      <c r="W307" s="11"/>
      <c r="X307" s="11"/>
      <c r="Y307" s="11"/>
      <c r="Z307" s="11"/>
    </row>
    <row r="308" ht="16.5" customHeight="1">
      <c r="A308" s="11"/>
      <c r="B308" s="11"/>
      <c r="C308" s="11"/>
      <c r="D308" s="11"/>
      <c r="E308" s="11"/>
      <c r="F308" s="11"/>
      <c r="G308" s="12"/>
      <c r="H308" s="11"/>
      <c r="I308" s="12"/>
      <c r="J308" s="12"/>
      <c r="K308" s="12"/>
      <c r="L308" s="11"/>
      <c r="M308" s="11"/>
      <c r="N308" s="11"/>
      <c r="O308" s="11"/>
      <c r="P308" s="11"/>
      <c r="Q308" s="11"/>
      <c r="R308" s="11"/>
      <c r="S308" s="11"/>
      <c r="T308" s="11"/>
      <c r="U308" s="11"/>
      <c r="V308" s="11"/>
      <c r="W308" s="11"/>
      <c r="X308" s="11"/>
      <c r="Y308" s="11"/>
      <c r="Z308" s="11"/>
    </row>
    <row r="309" ht="16.5" customHeight="1">
      <c r="A309" s="11"/>
      <c r="B309" s="11"/>
      <c r="C309" s="11"/>
      <c r="D309" s="11"/>
      <c r="E309" s="11"/>
      <c r="F309" s="11"/>
      <c r="G309" s="12"/>
      <c r="H309" s="11"/>
      <c r="I309" s="12"/>
      <c r="J309" s="12"/>
      <c r="K309" s="12"/>
      <c r="L309" s="11"/>
      <c r="M309" s="11"/>
      <c r="N309" s="11"/>
      <c r="O309" s="11"/>
      <c r="P309" s="11"/>
      <c r="Q309" s="11"/>
      <c r="R309" s="11"/>
      <c r="S309" s="11"/>
      <c r="T309" s="11"/>
      <c r="U309" s="11"/>
      <c r="V309" s="11"/>
      <c r="W309" s="11"/>
      <c r="X309" s="11"/>
      <c r="Y309" s="11"/>
      <c r="Z309" s="11"/>
    </row>
    <row r="310" ht="16.5" customHeight="1">
      <c r="A310" s="11"/>
      <c r="B310" s="11"/>
      <c r="C310" s="11"/>
      <c r="D310" s="11"/>
      <c r="E310" s="11"/>
      <c r="F310" s="11"/>
      <c r="G310" s="12"/>
      <c r="H310" s="11"/>
      <c r="I310" s="12"/>
      <c r="J310" s="12"/>
      <c r="K310" s="12"/>
      <c r="L310" s="11"/>
      <c r="M310" s="11"/>
      <c r="N310" s="11"/>
      <c r="O310" s="11"/>
      <c r="P310" s="11"/>
      <c r="Q310" s="11"/>
      <c r="R310" s="11"/>
      <c r="S310" s="11"/>
      <c r="T310" s="11"/>
      <c r="U310" s="11"/>
      <c r="V310" s="11"/>
      <c r="W310" s="11"/>
      <c r="X310" s="11"/>
      <c r="Y310" s="11"/>
      <c r="Z310" s="11"/>
    </row>
    <row r="311" ht="16.5" customHeight="1">
      <c r="A311" s="11"/>
      <c r="B311" s="11"/>
      <c r="C311" s="11"/>
      <c r="D311" s="11"/>
      <c r="E311" s="11"/>
      <c r="F311" s="11"/>
      <c r="G311" s="12"/>
      <c r="H311" s="11"/>
      <c r="I311" s="12"/>
      <c r="J311" s="12"/>
      <c r="K311" s="12"/>
      <c r="L311" s="11"/>
      <c r="M311" s="11"/>
      <c r="N311" s="11"/>
      <c r="O311" s="11"/>
      <c r="P311" s="11"/>
      <c r="Q311" s="11"/>
      <c r="R311" s="11"/>
      <c r="S311" s="11"/>
      <c r="T311" s="11"/>
      <c r="U311" s="11"/>
      <c r="V311" s="11"/>
      <c r="W311" s="11"/>
      <c r="X311" s="11"/>
      <c r="Y311" s="11"/>
      <c r="Z311" s="11"/>
    </row>
    <row r="312" ht="16.5" customHeight="1">
      <c r="A312" s="11"/>
      <c r="B312" s="11"/>
      <c r="C312" s="11"/>
      <c r="D312" s="11"/>
      <c r="E312" s="11"/>
      <c r="F312" s="11"/>
      <c r="G312" s="12"/>
      <c r="H312" s="11"/>
      <c r="I312" s="12"/>
      <c r="J312" s="12"/>
      <c r="K312" s="12"/>
      <c r="L312" s="11"/>
      <c r="M312" s="11"/>
      <c r="N312" s="11"/>
      <c r="O312" s="11"/>
      <c r="P312" s="11"/>
      <c r="Q312" s="11"/>
      <c r="R312" s="11"/>
      <c r="S312" s="11"/>
      <c r="T312" s="11"/>
      <c r="U312" s="11"/>
      <c r="V312" s="11"/>
      <c r="W312" s="11"/>
      <c r="X312" s="11"/>
      <c r="Y312" s="11"/>
      <c r="Z312" s="11"/>
    </row>
    <row r="313" ht="16.5" customHeight="1">
      <c r="A313" s="11"/>
      <c r="B313" s="11"/>
      <c r="C313" s="11"/>
      <c r="D313" s="11"/>
      <c r="E313" s="11"/>
      <c r="F313" s="11"/>
      <c r="G313" s="12"/>
      <c r="H313" s="11"/>
      <c r="I313" s="12"/>
      <c r="J313" s="12"/>
      <c r="K313" s="12"/>
      <c r="L313" s="11"/>
      <c r="M313" s="11"/>
      <c r="N313" s="11"/>
      <c r="O313" s="11"/>
      <c r="P313" s="11"/>
      <c r="Q313" s="11"/>
      <c r="R313" s="11"/>
      <c r="S313" s="11"/>
      <c r="T313" s="11"/>
      <c r="U313" s="11"/>
      <c r="V313" s="11"/>
      <c r="W313" s="11"/>
      <c r="X313" s="11"/>
      <c r="Y313" s="11"/>
      <c r="Z313" s="11"/>
    </row>
    <row r="314" ht="16.5" customHeight="1">
      <c r="A314" s="11"/>
      <c r="B314" s="11"/>
      <c r="C314" s="11"/>
      <c r="D314" s="11"/>
      <c r="E314" s="11"/>
      <c r="F314" s="11"/>
      <c r="G314" s="12"/>
      <c r="H314" s="11"/>
      <c r="I314" s="12"/>
      <c r="J314" s="12"/>
      <c r="K314" s="12"/>
      <c r="L314" s="11"/>
      <c r="M314" s="11"/>
      <c r="N314" s="11"/>
      <c r="O314" s="11"/>
      <c r="P314" s="11"/>
      <c r="Q314" s="11"/>
      <c r="R314" s="11"/>
      <c r="S314" s="11"/>
      <c r="T314" s="11"/>
      <c r="U314" s="11"/>
      <c r="V314" s="11"/>
      <c r="W314" s="11"/>
      <c r="X314" s="11"/>
      <c r="Y314" s="11"/>
      <c r="Z314" s="11"/>
    </row>
    <row r="315" ht="16.5" customHeight="1">
      <c r="A315" s="11"/>
      <c r="B315" s="11"/>
      <c r="C315" s="11"/>
      <c r="D315" s="11"/>
      <c r="E315" s="11"/>
      <c r="F315" s="11"/>
      <c r="G315" s="12"/>
      <c r="H315" s="11"/>
      <c r="I315" s="12"/>
      <c r="J315" s="12"/>
      <c r="K315" s="12"/>
      <c r="L315" s="11"/>
      <c r="M315" s="11"/>
      <c r="N315" s="11"/>
      <c r="O315" s="11"/>
      <c r="P315" s="11"/>
      <c r="Q315" s="11"/>
      <c r="R315" s="11"/>
      <c r="S315" s="11"/>
      <c r="T315" s="11"/>
      <c r="U315" s="11"/>
      <c r="V315" s="11"/>
      <c r="W315" s="11"/>
      <c r="X315" s="11"/>
      <c r="Y315" s="11"/>
      <c r="Z315" s="11"/>
    </row>
    <row r="316" ht="16.5" customHeight="1">
      <c r="A316" s="11"/>
      <c r="B316" s="11"/>
      <c r="C316" s="11"/>
      <c r="D316" s="11"/>
      <c r="E316" s="11"/>
      <c r="F316" s="11"/>
      <c r="G316" s="12"/>
      <c r="H316" s="11"/>
      <c r="I316" s="12"/>
      <c r="J316" s="12"/>
      <c r="K316" s="12"/>
      <c r="L316" s="11"/>
      <c r="M316" s="11"/>
      <c r="N316" s="11"/>
      <c r="O316" s="11"/>
      <c r="P316" s="11"/>
      <c r="Q316" s="11"/>
      <c r="R316" s="11"/>
      <c r="S316" s="11"/>
      <c r="T316" s="11"/>
      <c r="U316" s="11"/>
      <c r="V316" s="11"/>
      <c r="W316" s="11"/>
      <c r="X316" s="11"/>
      <c r="Y316" s="11"/>
      <c r="Z316" s="11"/>
    </row>
    <row r="317" ht="16.5" customHeight="1">
      <c r="A317" s="11"/>
      <c r="B317" s="11"/>
      <c r="C317" s="11"/>
      <c r="D317" s="11"/>
      <c r="E317" s="11"/>
      <c r="F317" s="11"/>
      <c r="G317" s="12"/>
      <c r="H317" s="11"/>
      <c r="I317" s="12"/>
      <c r="J317" s="12"/>
      <c r="K317" s="12"/>
      <c r="L317" s="11"/>
      <c r="M317" s="11"/>
      <c r="N317" s="11"/>
      <c r="O317" s="11"/>
      <c r="P317" s="11"/>
      <c r="Q317" s="11"/>
      <c r="R317" s="11"/>
      <c r="S317" s="11"/>
      <c r="T317" s="11"/>
      <c r="U317" s="11"/>
      <c r="V317" s="11"/>
      <c r="W317" s="11"/>
      <c r="X317" s="11"/>
      <c r="Y317" s="11"/>
      <c r="Z317" s="11"/>
    </row>
    <row r="318" ht="16.5" customHeight="1">
      <c r="A318" s="11"/>
      <c r="B318" s="11"/>
      <c r="C318" s="11"/>
      <c r="D318" s="11"/>
      <c r="E318" s="11"/>
      <c r="F318" s="11"/>
      <c r="G318" s="12"/>
      <c r="H318" s="11"/>
      <c r="I318" s="12"/>
      <c r="J318" s="12"/>
      <c r="K318" s="12"/>
      <c r="L318" s="11"/>
      <c r="M318" s="11"/>
      <c r="N318" s="11"/>
      <c r="O318" s="11"/>
      <c r="P318" s="11"/>
      <c r="Q318" s="11"/>
      <c r="R318" s="11"/>
      <c r="S318" s="11"/>
      <c r="T318" s="11"/>
      <c r="U318" s="11"/>
      <c r="V318" s="11"/>
      <c r="W318" s="11"/>
      <c r="X318" s="11"/>
      <c r="Y318" s="11"/>
      <c r="Z318" s="11"/>
    </row>
    <row r="319" ht="16.5" customHeight="1">
      <c r="A319" s="11"/>
      <c r="B319" s="11"/>
      <c r="C319" s="11"/>
      <c r="D319" s="11"/>
      <c r="E319" s="11"/>
      <c r="F319" s="11"/>
      <c r="G319" s="12"/>
      <c r="H319" s="11"/>
      <c r="I319" s="12"/>
      <c r="J319" s="12"/>
      <c r="K319" s="12"/>
      <c r="L319" s="11"/>
      <c r="M319" s="11"/>
      <c r="N319" s="11"/>
      <c r="O319" s="11"/>
      <c r="P319" s="11"/>
      <c r="Q319" s="11"/>
      <c r="R319" s="11"/>
      <c r="S319" s="11"/>
      <c r="T319" s="11"/>
      <c r="U319" s="11"/>
      <c r="V319" s="11"/>
      <c r="W319" s="11"/>
      <c r="X319" s="11"/>
      <c r="Y319" s="11"/>
      <c r="Z319" s="11"/>
    </row>
    <row r="320" ht="16.5" customHeight="1">
      <c r="A320" s="11"/>
      <c r="B320" s="11"/>
      <c r="C320" s="11"/>
      <c r="D320" s="11"/>
      <c r="E320" s="11"/>
      <c r="F320" s="11"/>
      <c r="G320" s="12"/>
      <c r="H320" s="11"/>
      <c r="I320" s="12"/>
      <c r="J320" s="12"/>
      <c r="K320" s="12"/>
      <c r="L320" s="11"/>
      <c r="M320" s="11"/>
      <c r="N320" s="11"/>
      <c r="O320" s="11"/>
      <c r="P320" s="11"/>
      <c r="Q320" s="11"/>
      <c r="R320" s="11"/>
      <c r="S320" s="11"/>
      <c r="T320" s="11"/>
      <c r="U320" s="11"/>
      <c r="V320" s="11"/>
      <c r="W320" s="11"/>
      <c r="X320" s="11"/>
      <c r="Y320" s="11"/>
      <c r="Z320" s="11"/>
    </row>
    <row r="321" ht="16.5" customHeight="1">
      <c r="A321" s="11"/>
      <c r="B321" s="11"/>
      <c r="C321" s="11"/>
      <c r="D321" s="11"/>
      <c r="E321" s="11"/>
      <c r="F321" s="11"/>
      <c r="G321" s="12"/>
      <c r="H321" s="11"/>
      <c r="I321" s="12"/>
      <c r="J321" s="12"/>
      <c r="K321" s="12"/>
      <c r="L321" s="11"/>
      <c r="M321" s="11"/>
      <c r="N321" s="11"/>
      <c r="O321" s="11"/>
      <c r="P321" s="11"/>
      <c r="Q321" s="11"/>
      <c r="R321" s="11"/>
      <c r="S321" s="11"/>
      <c r="T321" s="11"/>
      <c r="U321" s="11"/>
      <c r="V321" s="11"/>
      <c r="W321" s="11"/>
      <c r="X321" s="11"/>
      <c r="Y321" s="11"/>
      <c r="Z321" s="11"/>
    </row>
    <row r="322" ht="16.5" customHeight="1">
      <c r="A322" s="11"/>
      <c r="B322" s="11"/>
      <c r="C322" s="11"/>
      <c r="D322" s="11"/>
      <c r="E322" s="11"/>
      <c r="F322" s="11"/>
      <c r="G322" s="12"/>
      <c r="H322" s="11"/>
      <c r="I322" s="12"/>
      <c r="J322" s="12"/>
      <c r="K322" s="12"/>
      <c r="L322" s="11"/>
      <c r="M322" s="11"/>
      <c r="N322" s="11"/>
      <c r="O322" s="11"/>
      <c r="P322" s="11"/>
      <c r="Q322" s="11"/>
      <c r="R322" s="11"/>
      <c r="S322" s="11"/>
      <c r="T322" s="11"/>
      <c r="U322" s="11"/>
      <c r="V322" s="11"/>
      <c r="W322" s="11"/>
      <c r="X322" s="11"/>
      <c r="Y322" s="11"/>
      <c r="Z322" s="11"/>
    </row>
    <row r="323" ht="16.5" customHeight="1">
      <c r="A323" s="11"/>
      <c r="B323" s="11"/>
      <c r="C323" s="11"/>
      <c r="D323" s="11"/>
      <c r="E323" s="11"/>
      <c r="F323" s="11"/>
      <c r="G323" s="12"/>
      <c r="H323" s="11"/>
      <c r="I323" s="12"/>
      <c r="J323" s="12"/>
      <c r="K323" s="12"/>
      <c r="L323" s="11"/>
      <c r="M323" s="11"/>
      <c r="N323" s="11"/>
      <c r="O323" s="11"/>
      <c r="P323" s="11"/>
      <c r="Q323" s="11"/>
      <c r="R323" s="11"/>
      <c r="S323" s="11"/>
      <c r="T323" s="11"/>
      <c r="U323" s="11"/>
      <c r="V323" s="11"/>
      <c r="W323" s="11"/>
      <c r="X323" s="11"/>
      <c r="Y323" s="11"/>
      <c r="Z323" s="11"/>
    </row>
    <row r="324" ht="16.5" customHeight="1">
      <c r="A324" s="11"/>
      <c r="B324" s="11"/>
      <c r="C324" s="11"/>
      <c r="D324" s="11"/>
      <c r="E324" s="11"/>
      <c r="F324" s="11"/>
      <c r="G324" s="12"/>
      <c r="H324" s="11"/>
      <c r="I324" s="12"/>
      <c r="J324" s="12"/>
      <c r="K324" s="12"/>
      <c r="L324" s="11"/>
      <c r="M324" s="11"/>
      <c r="N324" s="11"/>
      <c r="O324" s="11"/>
      <c r="P324" s="11"/>
      <c r="Q324" s="11"/>
      <c r="R324" s="11"/>
      <c r="S324" s="11"/>
      <c r="T324" s="11"/>
      <c r="U324" s="11"/>
      <c r="V324" s="11"/>
      <c r="W324" s="11"/>
      <c r="X324" s="11"/>
      <c r="Y324" s="11"/>
      <c r="Z324" s="11"/>
    </row>
    <row r="325" ht="16.5" customHeight="1">
      <c r="A325" s="11"/>
      <c r="B325" s="11"/>
      <c r="C325" s="11"/>
      <c r="D325" s="11"/>
      <c r="E325" s="11"/>
      <c r="F325" s="11"/>
      <c r="G325" s="12"/>
      <c r="H325" s="11"/>
      <c r="I325" s="12"/>
      <c r="J325" s="12"/>
      <c r="K325" s="12"/>
      <c r="L325" s="11"/>
      <c r="M325" s="11"/>
      <c r="N325" s="11"/>
      <c r="O325" s="11"/>
      <c r="P325" s="11"/>
      <c r="Q325" s="11"/>
      <c r="R325" s="11"/>
      <c r="S325" s="11"/>
      <c r="T325" s="11"/>
      <c r="U325" s="11"/>
      <c r="V325" s="11"/>
      <c r="W325" s="11"/>
      <c r="X325" s="11"/>
      <c r="Y325" s="11"/>
      <c r="Z325" s="11"/>
    </row>
    <row r="326" ht="16.5" customHeight="1">
      <c r="A326" s="11"/>
      <c r="B326" s="11"/>
      <c r="C326" s="11"/>
      <c r="D326" s="11"/>
      <c r="E326" s="11"/>
      <c r="F326" s="11"/>
      <c r="G326" s="12"/>
      <c r="H326" s="11"/>
      <c r="I326" s="12"/>
      <c r="J326" s="12"/>
      <c r="K326" s="12"/>
      <c r="L326" s="11"/>
      <c r="M326" s="11"/>
      <c r="N326" s="11"/>
      <c r="O326" s="11"/>
      <c r="P326" s="11"/>
      <c r="Q326" s="11"/>
      <c r="R326" s="11"/>
      <c r="S326" s="11"/>
      <c r="T326" s="11"/>
      <c r="U326" s="11"/>
      <c r="V326" s="11"/>
      <c r="W326" s="11"/>
      <c r="X326" s="11"/>
      <c r="Y326" s="11"/>
      <c r="Z326" s="11"/>
    </row>
    <row r="327" ht="16.5" customHeight="1">
      <c r="A327" s="11"/>
      <c r="B327" s="11"/>
      <c r="C327" s="11"/>
      <c r="D327" s="11"/>
      <c r="E327" s="11"/>
      <c r="F327" s="11"/>
      <c r="G327" s="12"/>
      <c r="H327" s="11"/>
      <c r="I327" s="12"/>
      <c r="J327" s="12"/>
      <c r="K327" s="12"/>
      <c r="L327" s="11"/>
      <c r="M327" s="11"/>
      <c r="N327" s="11"/>
      <c r="O327" s="11"/>
      <c r="P327" s="11"/>
      <c r="Q327" s="11"/>
      <c r="R327" s="11"/>
      <c r="S327" s="11"/>
      <c r="T327" s="11"/>
      <c r="U327" s="11"/>
      <c r="V327" s="11"/>
      <c r="W327" s="11"/>
      <c r="X327" s="11"/>
      <c r="Y327" s="11"/>
      <c r="Z327" s="11"/>
    </row>
    <row r="328" ht="16.5" customHeight="1">
      <c r="A328" s="11"/>
      <c r="B328" s="11"/>
      <c r="C328" s="11"/>
      <c r="D328" s="11"/>
      <c r="E328" s="11"/>
      <c r="F328" s="11"/>
      <c r="G328" s="12"/>
      <c r="H328" s="11"/>
      <c r="I328" s="12"/>
      <c r="J328" s="12"/>
      <c r="K328" s="12"/>
      <c r="L328" s="11"/>
      <c r="M328" s="11"/>
      <c r="N328" s="11"/>
      <c r="O328" s="11"/>
      <c r="P328" s="11"/>
      <c r="Q328" s="11"/>
      <c r="R328" s="11"/>
      <c r="S328" s="11"/>
      <c r="T328" s="11"/>
      <c r="U328" s="11"/>
      <c r="V328" s="11"/>
      <c r="W328" s="11"/>
      <c r="X328" s="11"/>
      <c r="Y328" s="11"/>
      <c r="Z328" s="11"/>
    </row>
    <row r="329" ht="16.5" customHeight="1">
      <c r="A329" s="11"/>
      <c r="B329" s="11"/>
      <c r="C329" s="11"/>
      <c r="D329" s="11"/>
      <c r="E329" s="11"/>
      <c r="F329" s="11"/>
      <c r="G329" s="12"/>
      <c r="H329" s="11"/>
      <c r="I329" s="12"/>
      <c r="J329" s="12"/>
      <c r="K329" s="12"/>
      <c r="L329" s="11"/>
      <c r="M329" s="11"/>
      <c r="N329" s="11"/>
      <c r="O329" s="11"/>
      <c r="P329" s="11"/>
      <c r="Q329" s="11"/>
      <c r="R329" s="11"/>
      <c r="S329" s="11"/>
      <c r="T329" s="11"/>
      <c r="U329" s="11"/>
      <c r="V329" s="11"/>
      <c r="W329" s="11"/>
      <c r="X329" s="11"/>
      <c r="Y329" s="11"/>
      <c r="Z329" s="11"/>
    </row>
    <row r="330" ht="16.5" customHeight="1">
      <c r="A330" s="11"/>
      <c r="B330" s="11"/>
      <c r="C330" s="11"/>
      <c r="D330" s="11"/>
      <c r="E330" s="11"/>
      <c r="F330" s="11"/>
      <c r="G330" s="12"/>
      <c r="H330" s="11"/>
      <c r="I330" s="12"/>
      <c r="J330" s="12"/>
      <c r="K330" s="12"/>
      <c r="L330" s="11"/>
      <c r="M330" s="11"/>
      <c r="N330" s="11"/>
      <c r="O330" s="11"/>
      <c r="P330" s="11"/>
      <c r="Q330" s="11"/>
      <c r="R330" s="11"/>
      <c r="S330" s="11"/>
      <c r="T330" s="11"/>
      <c r="U330" s="11"/>
      <c r="V330" s="11"/>
      <c r="W330" s="11"/>
      <c r="X330" s="11"/>
      <c r="Y330" s="11"/>
      <c r="Z330" s="11"/>
    </row>
    <row r="331" ht="16.5" customHeight="1">
      <c r="A331" s="11"/>
      <c r="B331" s="11"/>
      <c r="C331" s="11"/>
      <c r="D331" s="11"/>
      <c r="E331" s="11"/>
      <c r="F331" s="11"/>
      <c r="G331" s="12"/>
      <c r="H331" s="11"/>
      <c r="I331" s="12"/>
      <c r="J331" s="12"/>
      <c r="K331" s="12"/>
      <c r="L331" s="11"/>
      <c r="M331" s="11"/>
      <c r="N331" s="11"/>
      <c r="O331" s="11"/>
      <c r="P331" s="11"/>
      <c r="Q331" s="11"/>
      <c r="R331" s="11"/>
      <c r="S331" s="11"/>
      <c r="T331" s="11"/>
      <c r="U331" s="11"/>
      <c r="V331" s="11"/>
      <c r="W331" s="11"/>
      <c r="X331" s="11"/>
      <c r="Y331" s="11"/>
      <c r="Z331" s="11"/>
    </row>
    <row r="332" ht="16.5" customHeight="1">
      <c r="A332" s="11"/>
      <c r="B332" s="11"/>
      <c r="C332" s="11"/>
      <c r="D332" s="11"/>
      <c r="E332" s="11"/>
      <c r="F332" s="11"/>
      <c r="G332" s="12"/>
      <c r="H332" s="11"/>
      <c r="I332" s="12"/>
      <c r="J332" s="12"/>
      <c r="K332" s="12"/>
      <c r="L332" s="11"/>
      <c r="M332" s="11"/>
      <c r="N332" s="11"/>
      <c r="O332" s="11"/>
      <c r="P332" s="11"/>
      <c r="Q332" s="11"/>
      <c r="R332" s="11"/>
      <c r="S332" s="11"/>
      <c r="T332" s="11"/>
      <c r="U332" s="11"/>
      <c r="V332" s="11"/>
      <c r="W332" s="11"/>
      <c r="X332" s="11"/>
      <c r="Y332" s="11"/>
      <c r="Z332" s="11"/>
    </row>
    <row r="333" ht="16.5" customHeight="1">
      <c r="A333" s="11"/>
      <c r="B333" s="11"/>
      <c r="C333" s="11"/>
      <c r="D333" s="11"/>
      <c r="E333" s="11"/>
      <c r="F333" s="11"/>
      <c r="G333" s="12"/>
      <c r="H333" s="11"/>
      <c r="I333" s="12"/>
      <c r="J333" s="12"/>
      <c r="K333" s="12"/>
      <c r="L333" s="11"/>
      <c r="M333" s="11"/>
      <c r="N333" s="11"/>
      <c r="O333" s="11"/>
      <c r="P333" s="11"/>
      <c r="Q333" s="11"/>
      <c r="R333" s="11"/>
      <c r="S333" s="11"/>
      <c r="T333" s="11"/>
      <c r="U333" s="11"/>
      <c r="V333" s="11"/>
      <c r="W333" s="11"/>
      <c r="X333" s="11"/>
      <c r="Y333" s="11"/>
      <c r="Z333" s="11"/>
    </row>
    <row r="334" ht="16.5" customHeight="1">
      <c r="A334" s="11"/>
      <c r="B334" s="11"/>
      <c r="C334" s="11"/>
      <c r="D334" s="11"/>
      <c r="E334" s="11"/>
      <c r="F334" s="11"/>
      <c r="G334" s="12"/>
      <c r="H334" s="11"/>
      <c r="I334" s="12"/>
      <c r="J334" s="12"/>
      <c r="K334" s="12"/>
      <c r="L334" s="11"/>
      <c r="M334" s="11"/>
      <c r="N334" s="11"/>
      <c r="O334" s="11"/>
      <c r="P334" s="11"/>
      <c r="Q334" s="11"/>
      <c r="R334" s="11"/>
      <c r="S334" s="11"/>
      <c r="T334" s="11"/>
      <c r="U334" s="11"/>
      <c r="V334" s="11"/>
      <c r="W334" s="11"/>
      <c r="X334" s="11"/>
      <c r="Y334" s="11"/>
      <c r="Z334" s="11"/>
    </row>
    <row r="335" ht="16.5" customHeight="1">
      <c r="A335" s="11"/>
      <c r="B335" s="11"/>
      <c r="C335" s="11"/>
      <c r="D335" s="11"/>
      <c r="E335" s="11"/>
      <c r="F335" s="11"/>
      <c r="G335" s="12"/>
      <c r="H335" s="11"/>
      <c r="I335" s="12"/>
      <c r="J335" s="12"/>
      <c r="K335" s="12"/>
      <c r="L335" s="11"/>
      <c r="M335" s="11"/>
      <c r="N335" s="11"/>
      <c r="O335" s="11"/>
      <c r="P335" s="11"/>
      <c r="Q335" s="11"/>
      <c r="R335" s="11"/>
      <c r="S335" s="11"/>
      <c r="T335" s="11"/>
      <c r="U335" s="11"/>
      <c r="V335" s="11"/>
      <c r="W335" s="11"/>
      <c r="X335" s="11"/>
      <c r="Y335" s="11"/>
      <c r="Z335" s="11"/>
    </row>
    <row r="336" ht="16.5" customHeight="1">
      <c r="A336" s="11"/>
      <c r="B336" s="11"/>
      <c r="C336" s="11"/>
      <c r="D336" s="11"/>
      <c r="E336" s="11"/>
      <c r="F336" s="11"/>
      <c r="G336" s="12"/>
      <c r="H336" s="11"/>
      <c r="I336" s="12"/>
      <c r="J336" s="12"/>
      <c r="K336" s="12"/>
      <c r="L336" s="11"/>
      <c r="M336" s="11"/>
      <c r="N336" s="11"/>
      <c r="O336" s="11"/>
      <c r="P336" s="11"/>
      <c r="Q336" s="11"/>
      <c r="R336" s="11"/>
      <c r="S336" s="11"/>
      <c r="T336" s="11"/>
      <c r="U336" s="11"/>
      <c r="V336" s="11"/>
      <c r="W336" s="11"/>
      <c r="X336" s="11"/>
      <c r="Y336" s="11"/>
      <c r="Z336" s="11"/>
    </row>
    <row r="337" ht="16.5" customHeight="1">
      <c r="A337" s="11"/>
      <c r="B337" s="11"/>
      <c r="C337" s="11"/>
      <c r="D337" s="11"/>
      <c r="E337" s="11"/>
      <c r="F337" s="11"/>
      <c r="G337" s="12"/>
      <c r="H337" s="11"/>
      <c r="I337" s="12"/>
      <c r="J337" s="12"/>
      <c r="K337" s="12"/>
      <c r="L337" s="11"/>
      <c r="M337" s="11"/>
      <c r="N337" s="11"/>
      <c r="O337" s="11"/>
      <c r="P337" s="11"/>
      <c r="Q337" s="11"/>
      <c r="R337" s="11"/>
      <c r="S337" s="11"/>
      <c r="T337" s="11"/>
      <c r="U337" s="11"/>
      <c r="V337" s="11"/>
      <c r="W337" s="11"/>
      <c r="X337" s="11"/>
      <c r="Y337" s="11"/>
      <c r="Z337" s="11"/>
    </row>
    <row r="338" ht="16.5" customHeight="1">
      <c r="A338" s="11"/>
      <c r="B338" s="11"/>
      <c r="C338" s="11"/>
      <c r="D338" s="11"/>
      <c r="E338" s="11"/>
      <c r="F338" s="11"/>
      <c r="G338" s="12"/>
      <c r="H338" s="11"/>
      <c r="I338" s="12"/>
      <c r="J338" s="12"/>
      <c r="K338" s="12"/>
      <c r="L338" s="11"/>
      <c r="M338" s="11"/>
      <c r="N338" s="11"/>
      <c r="O338" s="11"/>
      <c r="P338" s="11"/>
      <c r="Q338" s="11"/>
      <c r="R338" s="11"/>
      <c r="S338" s="11"/>
      <c r="T338" s="11"/>
      <c r="U338" s="11"/>
      <c r="V338" s="11"/>
      <c r="W338" s="11"/>
      <c r="X338" s="11"/>
      <c r="Y338" s="11"/>
      <c r="Z338" s="11"/>
    </row>
    <row r="339" ht="16.5" customHeight="1">
      <c r="A339" s="11"/>
      <c r="B339" s="11"/>
      <c r="C339" s="11"/>
      <c r="D339" s="11"/>
      <c r="E339" s="11"/>
      <c r="F339" s="11"/>
      <c r="G339" s="12"/>
      <c r="H339" s="11"/>
      <c r="I339" s="12"/>
      <c r="J339" s="12"/>
      <c r="K339" s="12"/>
      <c r="L339" s="11"/>
      <c r="M339" s="11"/>
      <c r="N339" s="11"/>
      <c r="O339" s="11"/>
      <c r="P339" s="11"/>
      <c r="Q339" s="11"/>
      <c r="R339" s="11"/>
      <c r="S339" s="11"/>
      <c r="T339" s="11"/>
      <c r="U339" s="11"/>
      <c r="V339" s="11"/>
      <c r="W339" s="11"/>
      <c r="X339" s="11"/>
      <c r="Y339" s="11"/>
      <c r="Z339" s="11"/>
    </row>
    <row r="340" ht="16.5" customHeight="1">
      <c r="A340" s="11"/>
      <c r="B340" s="11"/>
      <c r="C340" s="11"/>
      <c r="D340" s="11"/>
      <c r="E340" s="11"/>
      <c r="F340" s="11"/>
      <c r="G340" s="12"/>
      <c r="H340" s="11"/>
      <c r="I340" s="12"/>
      <c r="J340" s="12"/>
      <c r="K340" s="12"/>
      <c r="L340" s="11"/>
      <c r="M340" s="11"/>
      <c r="N340" s="11"/>
      <c r="O340" s="11"/>
      <c r="P340" s="11"/>
      <c r="Q340" s="11"/>
      <c r="R340" s="11"/>
      <c r="S340" s="11"/>
      <c r="T340" s="11"/>
      <c r="U340" s="11"/>
      <c r="V340" s="11"/>
      <c r="W340" s="11"/>
      <c r="X340" s="11"/>
      <c r="Y340" s="11"/>
      <c r="Z340" s="11"/>
    </row>
    <row r="341" ht="16.5" customHeight="1">
      <c r="A341" s="11"/>
      <c r="B341" s="11"/>
      <c r="C341" s="11"/>
      <c r="D341" s="11"/>
      <c r="E341" s="11"/>
      <c r="F341" s="11"/>
      <c r="G341" s="12"/>
      <c r="H341" s="11"/>
      <c r="I341" s="12"/>
      <c r="J341" s="12"/>
      <c r="K341" s="12"/>
      <c r="L341" s="11"/>
      <c r="M341" s="11"/>
      <c r="N341" s="11"/>
      <c r="O341" s="11"/>
      <c r="P341" s="11"/>
      <c r="Q341" s="11"/>
      <c r="R341" s="11"/>
      <c r="S341" s="11"/>
      <c r="T341" s="11"/>
      <c r="U341" s="11"/>
      <c r="V341" s="11"/>
      <c r="W341" s="11"/>
      <c r="X341" s="11"/>
      <c r="Y341" s="11"/>
      <c r="Z341" s="11"/>
    </row>
    <row r="342" ht="16.5" customHeight="1">
      <c r="A342" s="11"/>
      <c r="B342" s="11"/>
      <c r="C342" s="11"/>
      <c r="D342" s="11"/>
      <c r="E342" s="11"/>
      <c r="F342" s="11"/>
      <c r="G342" s="12"/>
      <c r="H342" s="11"/>
      <c r="I342" s="12"/>
      <c r="J342" s="12"/>
      <c r="K342" s="12"/>
      <c r="L342" s="11"/>
      <c r="M342" s="11"/>
      <c r="N342" s="11"/>
      <c r="O342" s="11"/>
      <c r="P342" s="11"/>
      <c r="Q342" s="11"/>
      <c r="R342" s="11"/>
      <c r="S342" s="11"/>
      <c r="T342" s="11"/>
      <c r="U342" s="11"/>
      <c r="V342" s="11"/>
      <c r="W342" s="11"/>
      <c r="X342" s="11"/>
      <c r="Y342" s="11"/>
      <c r="Z342" s="11"/>
    </row>
    <row r="343" ht="16.5" customHeight="1">
      <c r="A343" s="11"/>
      <c r="B343" s="11"/>
      <c r="C343" s="11"/>
      <c r="D343" s="11"/>
      <c r="E343" s="11"/>
      <c r="F343" s="11"/>
      <c r="G343" s="12"/>
      <c r="H343" s="11"/>
      <c r="I343" s="12"/>
      <c r="J343" s="12"/>
      <c r="K343" s="12"/>
      <c r="L343" s="11"/>
      <c r="M343" s="11"/>
      <c r="N343" s="11"/>
      <c r="O343" s="11"/>
      <c r="P343" s="11"/>
      <c r="Q343" s="11"/>
      <c r="R343" s="11"/>
      <c r="S343" s="11"/>
      <c r="T343" s="11"/>
      <c r="U343" s="11"/>
      <c r="V343" s="11"/>
      <c r="W343" s="11"/>
      <c r="X343" s="11"/>
      <c r="Y343" s="11"/>
      <c r="Z343" s="11"/>
    </row>
    <row r="344" ht="16.5" customHeight="1">
      <c r="A344" s="11"/>
      <c r="B344" s="11"/>
      <c r="C344" s="11"/>
      <c r="D344" s="11"/>
      <c r="E344" s="11"/>
      <c r="F344" s="11"/>
      <c r="G344" s="12"/>
      <c r="H344" s="11"/>
      <c r="I344" s="12"/>
      <c r="J344" s="12"/>
      <c r="K344" s="12"/>
      <c r="L344" s="11"/>
      <c r="M344" s="11"/>
      <c r="N344" s="11"/>
      <c r="O344" s="11"/>
      <c r="P344" s="11"/>
      <c r="Q344" s="11"/>
      <c r="R344" s="11"/>
      <c r="S344" s="11"/>
      <c r="T344" s="11"/>
      <c r="U344" s="11"/>
      <c r="V344" s="11"/>
      <c r="W344" s="11"/>
      <c r="X344" s="11"/>
      <c r="Y344" s="11"/>
      <c r="Z344" s="11"/>
    </row>
    <row r="345" ht="16.5" customHeight="1">
      <c r="A345" s="11"/>
      <c r="B345" s="11"/>
      <c r="C345" s="11"/>
      <c r="D345" s="11"/>
      <c r="E345" s="11"/>
      <c r="F345" s="11"/>
      <c r="G345" s="12"/>
      <c r="H345" s="11"/>
      <c r="I345" s="12"/>
      <c r="J345" s="12"/>
      <c r="K345" s="12"/>
      <c r="L345" s="11"/>
      <c r="M345" s="11"/>
      <c r="N345" s="11"/>
      <c r="O345" s="11"/>
      <c r="P345" s="11"/>
      <c r="Q345" s="11"/>
      <c r="R345" s="11"/>
      <c r="S345" s="11"/>
      <c r="T345" s="11"/>
      <c r="U345" s="11"/>
      <c r="V345" s="11"/>
      <c r="W345" s="11"/>
      <c r="X345" s="11"/>
      <c r="Y345" s="11"/>
      <c r="Z345" s="11"/>
    </row>
    <row r="346" ht="16.5" customHeight="1">
      <c r="A346" s="11"/>
      <c r="B346" s="11"/>
      <c r="C346" s="11"/>
      <c r="D346" s="11"/>
      <c r="E346" s="11"/>
      <c r="F346" s="11"/>
      <c r="G346" s="12"/>
      <c r="H346" s="11"/>
      <c r="I346" s="12"/>
      <c r="J346" s="12"/>
      <c r="K346" s="12"/>
      <c r="L346" s="11"/>
      <c r="M346" s="11"/>
      <c r="N346" s="11"/>
      <c r="O346" s="11"/>
      <c r="P346" s="11"/>
      <c r="Q346" s="11"/>
      <c r="R346" s="11"/>
      <c r="S346" s="11"/>
      <c r="T346" s="11"/>
      <c r="U346" s="11"/>
      <c r="V346" s="11"/>
      <c r="W346" s="11"/>
      <c r="X346" s="11"/>
      <c r="Y346" s="11"/>
      <c r="Z346" s="11"/>
    </row>
    <row r="347" ht="16.5" customHeight="1">
      <c r="A347" s="11"/>
      <c r="B347" s="11"/>
      <c r="C347" s="11"/>
      <c r="D347" s="11"/>
      <c r="E347" s="11"/>
      <c r="F347" s="11"/>
      <c r="G347" s="12"/>
      <c r="H347" s="11"/>
      <c r="I347" s="12"/>
      <c r="J347" s="12"/>
      <c r="K347" s="12"/>
      <c r="L347" s="11"/>
      <c r="M347" s="11"/>
      <c r="N347" s="11"/>
      <c r="O347" s="11"/>
      <c r="P347" s="11"/>
      <c r="Q347" s="11"/>
      <c r="R347" s="11"/>
      <c r="S347" s="11"/>
      <c r="T347" s="11"/>
      <c r="U347" s="11"/>
      <c r="V347" s="11"/>
      <c r="W347" s="11"/>
      <c r="X347" s="11"/>
      <c r="Y347" s="11"/>
      <c r="Z347" s="11"/>
    </row>
    <row r="348" ht="16.5" customHeight="1">
      <c r="A348" s="11"/>
      <c r="B348" s="11"/>
      <c r="C348" s="11"/>
      <c r="D348" s="11"/>
      <c r="E348" s="11"/>
      <c r="F348" s="11"/>
      <c r="G348" s="12"/>
      <c r="H348" s="11"/>
      <c r="I348" s="12"/>
      <c r="J348" s="12"/>
      <c r="K348" s="12"/>
      <c r="L348" s="11"/>
      <c r="M348" s="11"/>
      <c r="N348" s="11"/>
      <c r="O348" s="11"/>
      <c r="P348" s="11"/>
      <c r="Q348" s="11"/>
      <c r="R348" s="11"/>
      <c r="S348" s="11"/>
      <c r="T348" s="11"/>
      <c r="U348" s="11"/>
      <c r="V348" s="11"/>
      <c r="W348" s="11"/>
      <c r="X348" s="11"/>
      <c r="Y348" s="11"/>
      <c r="Z348" s="11"/>
    </row>
    <row r="349" ht="16.5" customHeight="1">
      <c r="A349" s="11"/>
      <c r="B349" s="11"/>
      <c r="C349" s="11"/>
      <c r="D349" s="11"/>
      <c r="E349" s="11"/>
      <c r="F349" s="11"/>
      <c r="G349" s="12"/>
      <c r="H349" s="11"/>
      <c r="I349" s="12"/>
      <c r="J349" s="12"/>
      <c r="K349" s="12"/>
      <c r="L349" s="11"/>
      <c r="M349" s="11"/>
      <c r="N349" s="11"/>
      <c r="O349" s="11"/>
      <c r="P349" s="11"/>
      <c r="Q349" s="11"/>
      <c r="R349" s="11"/>
      <c r="S349" s="11"/>
      <c r="T349" s="11"/>
      <c r="U349" s="11"/>
      <c r="V349" s="11"/>
      <c r="W349" s="11"/>
      <c r="X349" s="11"/>
      <c r="Y349" s="11"/>
      <c r="Z349" s="11"/>
    </row>
    <row r="350" ht="16.5" customHeight="1">
      <c r="A350" s="11"/>
      <c r="B350" s="11"/>
      <c r="C350" s="11"/>
      <c r="D350" s="11"/>
      <c r="E350" s="11"/>
      <c r="F350" s="11"/>
      <c r="G350" s="12"/>
      <c r="H350" s="11"/>
      <c r="I350" s="12"/>
      <c r="J350" s="12"/>
      <c r="K350" s="12"/>
      <c r="L350" s="11"/>
      <c r="M350" s="11"/>
      <c r="N350" s="11"/>
      <c r="O350" s="11"/>
      <c r="P350" s="11"/>
      <c r="Q350" s="11"/>
      <c r="R350" s="11"/>
      <c r="S350" s="11"/>
      <c r="T350" s="11"/>
      <c r="U350" s="11"/>
      <c r="V350" s="11"/>
      <c r="W350" s="11"/>
      <c r="X350" s="11"/>
      <c r="Y350" s="11"/>
      <c r="Z350" s="11"/>
    </row>
    <row r="351" ht="16.5" customHeight="1">
      <c r="A351" s="11"/>
      <c r="B351" s="11"/>
      <c r="C351" s="11"/>
      <c r="D351" s="11"/>
      <c r="E351" s="11"/>
      <c r="F351" s="11"/>
      <c r="G351" s="12"/>
      <c r="H351" s="11"/>
      <c r="I351" s="12"/>
      <c r="J351" s="12"/>
      <c r="K351" s="12"/>
      <c r="L351" s="11"/>
      <c r="M351" s="11"/>
      <c r="N351" s="11"/>
      <c r="O351" s="11"/>
      <c r="P351" s="11"/>
      <c r="Q351" s="11"/>
      <c r="R351" s="11"/>
      <c r="S351" s="11"/>
      <c r="T351" s="11"/>
      <c r="U351" s="11"/>
      <c r="V351" s="11"/>
      <c r="W351" s="11"/>
      <c r="X351" s="11"/>
      <c r="Y351" s="11"/>
      <c r="Z351" s="11"/>
    </row>
    <row r="352" ht="16.5" customHeight="1">
      <c r="A352" s="11"/>
      <c r="B352" s="11"/>
      <c r="C352" s="11"/>
      <c r="D352" s="11"/>
      <c r="E352" s="11"/>
      <c r="F352" s="11"/>
      <c r="G352" s="12"/>
      <c r="H352" s="11"/>
      <c r="I352" s="12"/>
      <c r="J352" s="12"/>
      <c r="K352" s="12"/>
      <c r="L352" s="11"/>
      <c r="M352" s="11"/>
      <c r="N352" s="11"/>
      <c r="O352" s="11"/>
      <c r="P352" s="11"/>
      <c r="Q352" s="11"/>
      <c r="R352" s="11"/>
      <c r="S352" s="11"/>
      <c r="T352" s="11"/>
      <c r="U352" s="11"/>
      <c r="V352" s="11"/>
      <c r="W352" s="11"/>
      <c r="X352" s="11"/>
      <c r="Y352" s="11"/>
      <c r="Z352" s="11"/>
    </row>
    <row r="353" ht="16.5" customHeight="1">
      <c r="A353" s="11"/>
      <c r="B353" s="11"/>
      <c r="C353" s="11"/>
      <c r="D353" s="11"/>
      <c r="E353" s="11"/>
      <c r="F353" s="11"/>
      <c r="G353" s="12"/>
      <c r="H353" s="11"/>
      <c r="I353" s="12"/>
      <c r="J353" s="12"/>
      <c r="K353" s="12"/>
      <c r="L353" s="11"/>
      <c r="M353" s="11"/>
      <c r="N353" s="11"/>
      <c r="O353" s="11"/>
      <c r="P353" s="11"/>
      <c r="Q353" s="11"/>
      <c r="R353" s="11"/>
      <c r="S353" s="11"/>
      <c r="T353" s="11"/>
      <c r="U353" s="11"/>
      <c r="V353" s="11"/>
      <c r="W353" s="11"/>
      <c r="X353" s="11"/>
      <c r="Y353" s="11"/>
      <c r="Z353" s="11"/>
    </row>
    <row r="354" ht="16.5" customHeight="1">
      <c r="A354" s="11"/>
      <c r="B354" s="11"/>
      <c r="C354" s="11"/>
      <c r="D354" s="11"/>
      <c r="E354" s="11"/>
      <c r="F354" s="11"/>
      <c r="G354" s="12"/>
      <c r="H354" s="11"/>
      <c r="I354" s="12"/>
      <c r="J354" s="12"/>
      <c r="K354" s="12"/>
      <c r="L354" s="11"/>
      <c r="M354" s="11"/>
      <c r="N354" s="11"/>
      <c r="O354" s="11"/>
      <c r="P354" s="11"/>
      <c r="Q354" s="11"/>
      <c r="R354" s="11"/>
      <c r="S354" s="11"/>
      <c r="T354" s="11"/>
      <c r="U354" s="11"/>
      <c r="V354" s="11"/>
      <c r="W354" s="11"/>
      <c r="X354" s="11"/>
      <c r="Y354" s="11"/>
      <c r="Z354" s="11"/>
    </row>
    <row r="355" ht="16.5" customHeight="1">
      <c r="A355" s="11"/>
      <c r="B355" s="11"/>
      <c r="C355" s="11"/>
      <c r="D355" s="11"/>
      <c r="E355" s="11"/>
      <c r="F355" s="11"/>
      <c r="G355" s="12"/>
      <c r="H355" s="11"/>
      <c r="I355" s="12"/>
      <c r="J355" s="12"/>
      <c r="K355" s="12"/>
      <c r="L355" s="11"/>
      <c r="M355" s="11"/>
      <c r="N355" s="11"/>
      <c r="O355" s="11"/>
      <c r="P355" s="11"/>
      <c r="Q355" s="11"/>
      <c r="R355" s="11"/>
      <c r="S355" s="11"/>
      <c r="T355" s="11"/>
      <c r="U355" s="11"/>
      <c r="V355" s="11"/>
      <c r="W355" s="11"/>
      <c r="X355" s="11"/>
      <c r="Y355" s="11"/>
      <c r="Z355" s="11"/>
    </row>
    <row r="356" ht="16.5" customHeight="1">
      <c r="A356" s="11"/>
      <c r="B356" s="11"/>
      <c r="C356" s="11"/>
      <c r="D356" s="11"/>
      <c r="E356" s="11"/>
      <c r="F356" s="11"/>
      <c r="G356" s="12"/>
      <c r="H356" s="11"/>
      <c r="I356" s="12"/>
      <c r="J356" s="12"/>
      <c r="K356" s="12"/>
      <c r="L356" s="11"/>
      <c r="M356" s="11"/>
      <c r="N356" s="11"/>
      <c r="O356" s="11"/>
      <c r="P356" s="11"/>
      <c r="Q356" s="11"/>
      <c r="R356" s="11"/>
      <c r="S356" s="11"/>
      <c r="T356" s="11"/>
      <c r="U356" s="11"/>
      <c r="V356" s="11"/>
      <c r="W356" s="11"/>
      <c r="X356" s="11"/>
      <c r="Y356" s="11"/>
      <c r="Z356" s="11"/>
    </row>
    <row r="357" ht="16.5" customHeight="1">
      <c r="A357" s="11"/>
      <c r="B357" s="11"/>
      <c r="C357" s="11"/>
      <c r="D357" s="11"/>
      <c r="E357" s="11"/>
      <c r="F357" s="11"/>
      <c r="G357" s="12"/>
      <c r="H357" s="11"/>
      <c r="I357" s="12"/>
      <c r="J357" s="12"/>
      <c r="K357" s="12"/>
      <c r="L357" s="11"/>
      <c r="M357" s="11"/>
      <c r="N357" s="11"/>
      <c r="O357" s="11"/>
      <c r="P357" s="11"/>
      <c r="Q357" s="11"/>
      <c r="R357" s="11"/>
      <c r="S357" s="11"/>
      <c r="T357" s="11"/>
      <c r="U357" s="11"/>
      <c r="V357" s="11"/>
      <c r="W357" s="11"/>
      <c r="X357" s="11"/>
      <c r="Y357" s="11"/>
      <c r="Z357" s="11"/>
    </row>
    <row r="358" ht="16.5" customHeight="1">
      <c r="A358" s="11"/>
      <c r="B358" s="11"/>
      <c r="C358" s="11"/>
      <c r="D358" s="11"/>
      <c r="E358" s="11"/>
      <c r="F358" s="11"/>
      <c r="G358" s="12"/>
      <c r="H358" s="11"/>
      <c r="I358" s="12"/>
      <c r="J358" s="12"/>
      <c r="K358" s="12"/>
      <c r="L358" s="11"/>
      <c r="M358" s="11"/>
      <c r="N358" s="11"/>
      <c r="O358" s="11"/>
      <c r="P358" s="11"/>
      <c r="Q358" s="11"/>
      <c r="R358" s="11"/>
      <c r="S358" s="11"/>
      <c r="T358" s="11"/>
      <c r="U358" s="11"/>
      <c r="V358" s="11"/>
      <c r="W358" s="11"/>
      <c r="X358" s="11"/>
      <c r="Y358" s="11"/>
      <c r="Z358" s="11"/>
    </row>
    <row r="359" ht="16.5" customHeight="1">
      <c r="A359" s="11"/>
      <c r="B359" s="11"/>
      <c r="C359" s="11"/>
      <c r="D359" s="11"/>
      <c r="E359" s="11"/>
      <c r="F359" s="11"/>
      <c r="G359" s="12"/>
      <c r="H359" s="11"/>
      <c r="I359" s="12"/>
      <c r="J359" s="12"/>
      <c r="K359" s="12"/>
      <c r="L359" s="11"/>
      <c r="M359" s="11"/>
      <c r="N359" s="11"/>
      <c r="O359" s="11"/>
      <c r="P359" s="11"/>
      <c r="Q359" s="11"/>
      <c r="R359" s="11"/>
      <c r="S359" s="11"/>
      <c r="T359" s="11"/>
      <c r="U359" s="11"/>
      <c r="V359" s="11"/>
      <c r="W359" s="11"/>
      <c r="X359" s="11"/>
      <c r="Y359" s="11"/>
      <c r="Z359" s="11"/>
    </row>
    <row r="360" ht="16.5" customHeight="1">
      <c r="A360" s="11"/>
      <c r="B360" s="11"/>
      <c r="C360" s="11"/>
      <c r="D360" s="11"/>
      <c r="E360" s="11"/>
      <c r="F360" s="11"/>
      <c r="G360" s="12"/>
      <c r="H360" s="11"/>
      <c r="I360" s="12"/>
      <c r="J360" s="12"/>
      <c r="K360" s="12"/>
      <c r="L360" s="11"/>
      <c r="M360" s="11"/>
      <c r="N360" s="11"/>
      <c r="O360" s="11"/>
      <c r="P360" s="11"/>
      <c r="Q360" s="11"/>
      <c r="R360" s="11"/>
      <c r="S360" s="11"/>
      <c r="T360" s="11"/>
      <c r="U360" s="11"/>
      <c r="V360" s="11"/>
      <c r="W360" s="11"/>
      <c r="X360" s="11"/>
      <c r="Y360" s="11"/>
      <c r="Z360" s="11"/>
    </row>
    <row r="361" ht="16.5" customHeight="1">
      <c r="A361" s="11"/>
      <c r="B361" s="11"/>
      <c r="C361" s="11"/>
      <c r="D361" s="11"/>
      <c r="E361" s="11"/>
      <c r="F361" s="11"/>
      <c r="G361" s="12"/>
      <c r="H361" s="11"/>
      <c r="I361" s="12"/>
      <c r="J361" s="12"/>
      <c r="K361" s="12"/>
      <c r="L361" s="11"/>
      <c r="M361" s="11"/>
      <c r="N361" s="11"/>
      <c r="O361" s="11"/>
      <c r="P361" s="11"/>
      <c r="Q361" s="11"/>
      <c r="R361" s="11"/>
      <c r="S361" s="11"/>
      <c r="T361" s="11"/>
      <c r="U361" s="11"/>
      <c r="V361" s="11"/>
      <c r="W361" s="11"/>
      <c r="X361" s="11"/>
      <c r="Y361" s="11"/>
      <c r="Z361" s="11"/>
    </row>
    <row r="362" ht="16.5" customHeight="1">
      <c r="A362" s="11"/>
      <c r="B362" s="11"/>
      <c r="C362" s="11"/>
      <c r="D362" s="11"/>
      <c r="E362" s="11"/>
      <c r="F362" s="11"/>
      <c r="G362" s="12"/>
      <c r="H362" s="11"/>
      <c r="I362" s="12"/>
      <c r="J362" s="12"/>
      <c r="K362" s="12"/>
      <c r="L362" s="11"/>
      <c r="M362" s="11"/>
      <c r="N362" s="11"/>
      <c r="O362" s="11"/>
      <c r="P362" s="11"/>
      <c r="Q362" s="11"/>
      <c r="R362" s="11"/>
      <c r="S362" s="11"/>
      <c r="T362" s="11"/>
      <c r="U362" s="11"/>
      <c r="V362" s="11"/>
      <c r="W362" s="11"/>
      <c r="X362" s="11"/>
      <c r="Y362" s="11"/>
      <c r="Z362" s="11"/>
    </row>
    <row r="363" ht="16.5" customHeight="1">
      <c r="A363" s="11"/>
      <c r="B363" s="11"/>
      <c r="C363" s="11"/>
      <c r="D363" s="11"/>
      <c r="E363" s="11"/>
      <c r="F363" s="11"/>
      <c r="G363" s="12"/>
      <c r="H363" s="11"/>
      <c r="I363" s="12"/>
      <c r="J363" s="12"/>
      <c r="K363" s="12"/>
      <c r="L363" s="11"/>
      <c r="M363" s="11"/>
      <c r="N363" s="11"/>
      <c r="O363" s="11"/>
      <c r="P363" s="11"/>
      <c r="Q363" s="11"/>
      <c r="R363" s="11"/>
      <c r="S363" s="11"/>
      <c r="T363" s="11"/>
      <c r="U363" s="11"/>
      <c r="V363" s="11"/>
      <c r="W363" s="11"/>
      <c r="X363" s="11"/>
      <c r="Y363" s="11"/>
      <c r="Z363" s="11"/>
    </row>
    <row r="364" ht="16.5" customHeight="1">
      <c r="A364" s="11"/>
      <c r="B364" s="11"/>
      <c r="C364" s="11"/>
      <c r="D364" s="11"/>
      <c r="E364" s="11"/>
      <c r="F364" s="11"/>
      <c r="G364" s="12"/>
      <c r="H364" s="11"/>
      <c r="I364" s="12"/>
      <c r="J364" s="12"/>
      <c r="K364" s="12"/>
      <c r="L364" s="11"/>
      <c r="M364" s="11"/>
      <c r="N364" s="11"/>
      <c r="O364" s="11"/>
      <c r="P364" s="11"/>
      <c r="Q364" s="11"/>
      <c r="R364" s="11"/>
      <c r="S364" s="11"/>
      <c r="T364" s="11"/>
      <c r="U364" s="11"/>
      <c r="V364" s="11"/>
      <c r="W364" s="11"/>
      <c r="X364" s="11"/>
      <c r="Y364" s="11"/>
      <c r="Z364" s="11"/>
    </row>
    <row r="365" ht="16.5" customHeight="1">
      <c r="A365" s="11"/>
      <c r="B365" s="11"/>
      <c r="C365" s="11"/>
      <c r="D365" s="11"/>
      <c r="E365" s="11"/>
      <c r="F365" s="11"/>
      <c r="G365" s="12"/>
      <c r="H365" s="11"/>
      <c r="I365" s="12"/>
      <c r="J365" s="12"/>
      <c r="K365" s="12"/>
      <c r="L365" s="11"/>
      <c r="M365" s="11"/>
      <c r="N365" s="11"/>
      <c r="O365" s="11"/>
      <c r="P365" s="11"/>
      <c r="Q365" s="11"/>
      <c r="R365" s="11"/>
      <c r="S365" s="11"/>
      <c r="T365" s="11"/>
      <c r="U365" s="11"/>
      <c r="V365" s="11"/>
      <c r="W365" s="11"/>
      <c r="X365" s="11"/>
      <c r="Y365" s="11"/>
      <c r="Z365" s="11"/>
    </row>
    <row r="366" ht="16.5" customHeight="1">
      <c r="A366" s="11"/>
      <c r="B366" s="11"/>
      <c r="C366" s="11"/>
      <c r="D366" s="11"/>
      <c r="E366" s="11"/>
      <c r="F366" s="11"/>
      <c r="G366" s="12"/>
      <c r="H366" s="11"/>
      <c r="I366" s="12"/>
      <c r="J366" s="12"/>
      <c r="K366" s="12"/>
      <c r="L366" s="11"/>
      <c r="M366" s="11"/>
      <c r="N366" s="11"/>
      <c r="O366" s="11"/>
      <c r="P366" s="11"/>
      <c r="Q366" s="11"/>
      <c r="R366" s="11"/>
      <c r="S366" s="11"/>
      <c r="T366" s="11"/>
      <c r="U366" s="11"/>
      <c r="V366" s="11"/>
      <c r="W366" s="11"/>
      <c r="X366" s="11"/>
      <c r="Y366" s="11"/>
      <c r="Z366" s="11"/>
    </row>
    <row r="367" ht="16.5" customHeight="1">
      <c r="A367" s="11"/>
      <c r="B367" s="11"/>
      <c r="C367" s="11"/>
      <c r="D367" s="11"/>
      <c r="E367" s="11"/>
      <c r="F367" s="11"/>
      <c r="G367" s="12"/>
      <c r="H367" s="11"/>
      <c r="I367" s="12"/>
      <c r="J367" s="12"/>
      <c r="K367" s="12"/>
      <c r="L367" s="11"/>
      <c r="M367" s="11"/>
      <c r="N367" s="11"/>
      <c r="O367" s="11"/>
      <c r="P367" s="11"/>
      <c r="Q367" s="11"/>
      <c r="R367" s="11"/>
      <c r="S367" s="11"/>
      <c r="T367" s="11"/>
      <c r="U367" s="11"/>
      <c r="V367" s="11"/>
      <c r="W367" s="11"/>
      <c r="X367" s="11"/>
      <c r="Y367" s="11"/>
      <c r="Z367" s="11"/>
    </row>
    <row r="368" ht="16.5" customHeight="1">
      <c r="A368" s="11"/>
      <c r="B368" s="11"/>
      <c r="C368" s="11"/>
      <c r="D368" s="11"/>
      <c r="E368" s="11"/>
      <c r="F368" s="11"/>
      <c r="G368" s="12"/>
      <c r="H368" s="11"/>
      <c r="I368" s="12"/>
      <c r="J368" s="12"/>
      <c r="K368" s="12"/>
      <c r="L368" s="11"/>
      <c r="M368" s="11"/>
      <c r="N368" s="11"/>
      <c r="O368" s="11"/>
      <c r="P368" s="11"/>
      <c r="Q368" s="11"/>
      <c r="R368" s="11"/>
      <c r="S368" s="11"/>
      <c r="T368" s="11"/>
      <c r="U368" s="11"/>
      <c r="V368" s="11"/>
      <c r="W368" s="11"/>
      <c r="X368" s="11"/>
      <c r="Y368" s="11"/>
      <c r="Z368" s="11"/>
    </row>
    <row r="369" ht="16.5" customHeight="1">
      <c r="A369" s="11"/>
      <c r="B369" s="11"/>
      <c r="C369" s="11"/>
      <c r="D369" s="11"/>
      <c r="E369" s="11"/>
      <c r="F369" s="11"/>
      <c r="G369" s="12"/>
      <c r="H369" s="11"/>
      <c r="I369" s="12"/>
      <c r="J369" s="12"/>
      <c r="K369" s="12"/>
      <c r="L369" s="11"/>
      <c r="M369" s="11"/>
      <c r="N369" s="11"/>
      <c r="O369" s="11"/>
      <c r="P369" s="11"/>
      <c r="Q369" s="11"/>
      <c r="R369" s="11"/>
      <c r="S369" s="11"/>
      <c r="T369" s="11"/>
      <c r="U369" s="11"/>
      <c r="V369" s="11"/>
      <c r="W369" s="11"/>
      <c r="X369" s="11"/>
      <c r="Y369" s="11"/>
      <c r="Z369" s="11"/>
    </row>
    <row r="370" ht="16.5" customHeight="1">
      <c r="A370" s="11"/>
      <c r="B370" s="11"/>
      <c r="C370" s="11"/>
      <c r="D370" s="11"/>
      <c r="E370" s="11"/>
      <c r="F370" s="11"/>
      <c r="G370" s="12"/>
      <c r="H370" s="11"/>
      <c r="I370" s="12"/>
      <c r="J370" s="12"/>
      <c r="K370" s="12"/>
      <c r="L370" s="11"/>
      <c r="M370" s="11"/>
      <c r="N370" s="11"/>
      <c r="O370" s="11"/>
      <c r="P370" s="11"/>
      <c r="Q370" s="11"/>
      <c r="R370" s="11"/>
      <c r="S370" s="11"/>
      <c r="T370" s="11"/>
      <c r="U370" s="11"/>
      <c r="V370" s="11"/>
      <c r="W370" s="11"/>
      <c r="X370" s="11"/>
      <c r="Y370" s="11"/>
      <c r="Z370" s="11"/>
    </row>
    <row r="371" ht="16.5" customHeight="1">
      <c r="A371" s="11"/>
      <c r="B371" s="11"/>
      <c r="C371" s="11"/>
      <c r="D371" s="11"/>
      <c r="E371" s="11"/>
      <c r="F371" s="11"/>
      <c r="G371" s="12"/>
      <c r="H371" s="11"/>
      <c r="I371" s="12"/>
      <c r="J371" s="12"/>
      <c r="K371" s="12"/>
      <c r="L371" s="11"/>
      <c r="M371" s="11"/>
      <c r="N371" s="11"/>
      <c r="O371" s="11"/>
      <c r="P371" s="11"/>
      <c r="Q371" s="11"/>
      <c r="R371" s="11"/>
      <c r="S371" s="11"/>
      <c r="T371" s="11"/>
      <c r="U371" s="11"/>
      <c r="V371" s="11"/>
      <c r="W371" s="11"/>
      <c r="X371" s="11"/>
      <c r="Y371" s="11"/>
      <c r="Z371" s="11"/>
    </row>
    <row r="372" ht="16.5" customHeight="1">
      <c r="A372" s="11"/>
      <c r="B372" s="11"/>
      <c r="C372" s="11"/>
      <c r="D372" s="11"/>
      <c r="E372" s="11"/>
      <c r="F372" s="11"/>
      <c r="G372" s="12"/>
      <c r="H372" s="11"/>
      <c r="I372" s="12"/>
      <c r="J372" s="12"/>
      <c r="K372" s="12"/>
      <c r="L372" s="11"/>
      <c r="M372" s="11"/>
      <c r="N372" s="11"/>
      <c r="O372" s="11"/>
      <c r="P372" s="11"/>
      <c r="Q372" s="11"/>
      <c r="R372" s="11"/>
      <c r="S372" s="11"/>
      <c r="T372" s="11"/>
      <c r="U372" s="11"/>
      <c r="V372" s="11"/>
      <c r="W372" s="11"/>
      <c r="X372" s="11"/>
      <c r="Y372" s="11"/>
      <c r="Z372" s="11"/>
    </row>
    <row r="373" ht="16.5" customHeight="1">
      <c r="A373" s="11"/>
      <c r="B373" s="11"/>
      <c r="C373" s="11"/>
      <c r="D373" s="11"/>
      <c r="E373" s="11"/>
      <c r="F373" s="11"/>
      <c r="G373" s="12"/>
      <c r="H373" s="11"/>
      <c r="I373" s="12"/>
      <c r="J373" s="12"/>
      <c r="K373" s="12"/>
      <c r="L373" s="11"/>
      <c r="M373" s="11"/>
      <c r="N373" s="11"/>
      <c r="O373" s="11"/>
      <c r="P373" s="11"/>
      <c r="Q373" s="11"/>
      <c r="R373" s="11"/>
      <c r="S373" s="11"/>
      <c r="T373" s="11"/>
      <c r="U373" s="11"/>
      <c r="V373" s="11"/>
      <c r="W373" s="11"/>
      <c r="X373" s="11"/>
      <c r="Y373" s="11"/>
      <c r="Z373" s="11"/>
    </row>
    <row r="374" ht="16.5" customHeight="1">
      <c r="A374" s="11"/>
      <c r="B374" s="11"/>
      <c r="C374" s="11"/>
      <c r="D374" s="11"/>
      <c r="E374" s="11"/>
      <c r="F374" s="11"/>
      <c r="G374" s="12"/>
      <c r="H374" s="11"/>
      <c r="I374" s="12"/>
      <c r="J374" s="12"/>
      <c r="K374" s="12"/>
      <c r="L374" s="11"/>
      <c r="M374" s="11"/>
      <c r="N374" s="11"/>
      <c r="O374" s="11"/>
      <c r="P374" s="11"/>
      <c r="Q374" s="11"/>
      <c r="R374" s="11"/>
      <c r="S374" s="11"/>
      <c r="T374" s="11"/>
      <c r="U374" s="11"/>
      <c r="V374" s="11"/>
      <c r="W374" s="11"/>
      <c r="X374" s="11"/>
      <c r="Y374" s="11"/>
      <c r="Z374" s="11"/>
    </row>
    <row r="375" ht="16.5" customHeight="1">
      <c r="A375" s="11"/>
      <c r="B375" s="11"/>
      <c r="C375" s="11"/>
      <c r="D375" s="11"/>
      <c r="E375" s="11"/>
      <c r="F375" s="11"/>
      <c r="G375" s="12"/>
      <c r="H375" s="11"/>
      <c r="I375" s="12"/>
      <c r="J375" s="12"/>
      <c r="K375" s="12"/>
      <c r="L375" s="11"/>
      <c r="M375" s="11"/>
      <c r="N375" s="11"/>
      <c r="O375" s="11"/>
      <c r="P375" s="11"/>
      <c r="Q375" s="11"/>
      <c r="R375" s="11"/>
      <c r="S375" s="11"/>
      <c r="T375" s="11"/>
      <c r="U375" s="11"/>
      <c r="V375" s="11"/>
      <c r="W375" s="11"/>
      <c r="X375" s="11"/>
      <c r="Y375" s="11"/>
      <c r="Z375" s="11"/>
    </row>
    <row r="376" ht="16.5" customHeight="1">
      <c r="A376" s="11"/>
      <c r="B376" s="11"/>
      <c r="C376" s="11"/>
      <c r="D376" s="11"/>
      <c r="E376" s="11"/>
      <c r="F376" s="11"/>
      <c r="G376" s="12"/>
      <c r="H376" s="11"/>
      <c r="I376" s="12"/>
      <c r="J376" s="12"/>
      <c r="K376" s="12"/>
      <c r="L376" s="11"/>
      <c r="M376" s="11"/>
      <c r="N376" s="11"/>
      <c r="O376" s="11"/>
      <c r="P376" s="11"/>
      <c r="Q376" s="11"/>
      <c r="R376" s="11"/>
      <c r="S376" s="11"/>
      <c r="T376" s="11"/>
      <c r="U376" s="11"/>
      <c r="V376" s="11"/>
      <c r="W376" s="11"/>
      <c r="X376" s="11"/>
      <c r="Y376" s="11"/>
      <c r="Z376" s="11"/>
    </row>
    <row r="377" ht="16.5" customHeight="1">
      <c r="A377" s="11"/>
      <c r="B377" s="11"/>
      <c r="C377" s="11"/>
      <c r="D377" s="11"/>
      <c r="E377" s="11"/>
      <c r="F377" s="11"/>
      <c r="G377" s="12"/>
      <c r="H377" s="11"/>
      <c r="I377" s="12"/>
      <c r="J377" s="12"/>
      <c r="K377" s="12"/>
      <c r="L377" s="11"/>
      <c r="M377" s="11"/>
      <c r="N377" s="11"/>
      <c r="O377" s="11"/>
      <c r="P377" s="11"/>
      <c r="Q377" s="11"/>
      <c r="R377" s="11"/>
      <c r="S377" s="11"/>
      <c r="T377" s="11"/>
      <c r="U377" s="11"/>
      <c r="V377" s="11"/>
      <c r="W377" s="11"/>
      <c r="X377" s="11"/>
      <c r="Y377" s="11"/>
      <c r="Z377" s="11"/>
    </row>
    <row r="378" ht="16.5" customHeight="1">
      <c r="A378" s="11"/>
      <c r="B378" s="11"/>
      <c r="C378" s="11"/>
      <c r="D378" s="11"/>
      <c r="E378" s="11"/>
      <c r="F378" s="11"/>
      <c r="G378" s="12"/>
      <c r="H378" s="11"/>
      <c r="I378" s="12"/>
      <c r="J378" s="12"/>
      <c r="K378" s="12"/>
      <c r="L378" s="11"/>
      <c r="M378" s="11"/>
      <c r="N378" s="11"/>
      <c r="O378" s="11"/>
      <c r="P378" s="11"/>
      <c r="Q378" s="11"/>
      <c r="R378" s="11"/>
      <c r="S378" s="11"/>
      <c r="T378" s="11"/>
      <c r="U378" s="11"/>
      <c r="V378" s="11"/>
      <c r="W378" s="11"/>
      <c r="X378" s="11"/>
      <c r="Y378" s="11"/>
      <c r="Z378" s="11"/>
    </row>
    <row r="379" ht="16.5" customHeight="1">
      <c r="A379" s="11"/>
      <c r="B379" s="11"/>
      <c r="C379" s="11"/>
      <c r="D379" s="11"/>
      <c r="E379" s="11"/>
      <c r="F379" s="11"/>
      <c r="G379" s="12"/>
      <c r="H379" s="11"/>
      <c r="I379" s="12"/>
      <c r="J379" s="12"/>
      <c r="K379" s="12"/>
      <c r="L379" s="11"/>
      <c r="M379" s="11"/>
      <c r="N379" s="11"/>
      <c r="O379" s="11"/>
      <c r="P379" s="11"/>
      <c r="Q379" s="11"/>
      <c r="R379" s="11"/>
      <c r="S379" s="11"/>
      <c r="T379" s="11"/>
      <c r="U379" s="11"/>
      <c r="V379" s="11"/>
      <c r="W379" s="11"/>
      <c r="X379" s="11"/>
      <c r="Y379" s="11"/>
      <c r="Z379" s="11"/>
    </row>
    <row r="380" ht="16.5" customHeight="1">
      <c r="A380" s="11"/>
      <c r="B380" s="11"/>
      <c r="C380" s="11"/>
      <c r="D380" s="11"/>
      <c r="E380" s="11"/>
      <c r="F380" s="11"/>
      <c r="G380" s="12"/>
      <c r="H380" s="11"/>
      <c r="I380" s="12"/>
      <c r="J380" s="12"/>
      <c r="K380" s="12"/>
      <c r="L380" s="11"/>
      <c r="M380" s="11"/>
      <c r="N380" s="11"/>
      <c r="O380" s="11"/>
      <c r="P380" s="11"/>
      <c r="Q380" s="11"/>
      <c r="R380" s="11"/>
      <c r="S380" s="11"/>
      <c r="T380" s="11"/>
      <c r="U380" s="11"/>
      <c r="V380" s="11"/>
      <c r="W380" s="11"/>
      <c r="X380" s="11"/>
      <c r="Y380" s="11"/>
      <c r="Z380" s="11"/>
    </row>
    <row r="381" ht="16.5" customHeight="1">
      <c r="A381" s="11"/>
      <c r="B381" s="11"/>
      <c r="C381" s="11"/>
      <c r="D381" s="11"/>
      <c r="E381" s="11"/>
      <c r="F381" s="11"/>
      <c r="G381" s="12"/>
      <c r="H381" s="11"/>
      <c r="I381" s="12"/>
      <c r="J381" s="12"/>
      <c r="K381" s="12"/>
      <c r="L381" s="11"/>
      <c r="M381" s="11"/>
      <c r="N381" s="11"/>
      <c r="O381" s="11"/>
      <c r="P381" s="11"/>
      <c r="Q381" s="11"/>
      <c r="R381" s="11"/>
      <c r="S381" s="11"/>
      <c r="T381" s="11"/>
      <c r="U381" s="11"/>
      <c r="V381" s="11"/>
      <c r="W381" s="11"/>
      <c r="X381" s="11"/>
      <c r="Y381" s="11"/>
      <c r="Z381" s="11"/>
    </row>
    <row r="382" ht="16.5" customHeight="1">
      <c r="A382" s="11"/>
      <c r="B382" s="11"/>
      <c r="C382" s="11"/>
      <c r="D382" s="11"/>
      <c r="E382" s="11"/>
      <c r="F382" s="11"/>
      <c r="G382" s="12"/>
      <c r="H382" s="11"/>
      <c r="I382" s="12"/>
      <c r="J382" s="12"/>
      <c r="K382" s="12"/>
      <c r="L382" s="11"/>
      <c r="M382" s="11"/>
      <c r="N382" s="11"/>
      <c r="O382" s="11"/>
      <c r="P382" s="11"/>
      <c r="Q382" s="11"/>
      <c r="R382" s="11"/>
      <c r="S382" s="11"/>
      <c r="T382" s="11"/>
      <c r="U382" s="11"/>
      <c r="V382" s="11"/>
      <c r="W382" s="11"/>
      <c r="X382" s="11"/>
      <c r="Y382" s="11"/>
      <c r="Z382" s="11"/>
    </row>
    <row r="383" ht="16.5" customHeight="1">
      <c r="A383" s="11"/>
      <c r="B383" s="11"/>
      <c r="C383" s="11"/>
      <c r="D383" s="11"/>
      <c r="E383" s="11"/>
      <c r="F383" s="11"/>
      <c r="G383" s="12"/>
      <c r="H383" s="11"/>
      <c r="I383" s="12"/>
      <c r="J383" s="12"/>
      <c r="K383" s="12"/>
      <c r="L383" s="11"/>
      <c r="M383" s="11"/>
      <c r="N383" s="11"/>
      <c r="O383" s="11"/>
      <c r="P383" s="11"/>
      <c r="Q383" s="11"/>
      <c r="R383" s="11"/>
      <c r="S383" s="11"/>
      <c r="T383" s="11"/>
      <c r="U383" s="11"/>
      <c r="V383" s="11"/>
      <c r="W383" s="11"/>
      <c r="X383" s="11"/>
      <c r="Y383" s="11"/>
      <c r="Z383" s="11"/>
    </row>
    <row r="384" ht="16.5" customHeight="1">
      <c r="A384" s="11"/>
      <c r="B384" s="11"/>
      <c r="C384" s="11"/>
      <c r="D384" s="11"/>
      <c r="E384" s="11"/>
      <c r="F384" s="11"/>
      <c r="G384" s="12"/>
      <c r="H384" s="11"/>
      <c r="I384" s="12"/>
      <c r="J384" s="12"/>
      <c r="K384" s="12"/>
      <c r="L384" s="11"/>
      <c r="M384" s="11"/>
      <c r="N384" s="11"/>
      <c r="O384" s="11"/>
      <c r="P384" s="11"/>
      <c r="Q384" s="11"/>
      <c r="R384" s="11"/>
      <c r="S384" s="11"/>
      <c r="T384" s="11"/>
      <c r="U384" s="11"/>
      <c r="V384" s="11"/>
      <c r="W384" s="11"/>
      <c r="X384" s="11"/>
      <c r="Y384" s="11"/>
      <c r="Z384" s="11"/>
    </row>
    <row r="385" ht="16.5" customHeight="1">
      <c r="A385" s="11"/>
      <c r="B385" s="11"/>
      <c r="C385" s="11"/>
      <c r="D385" s="11"/>
      <c r="E385" s="11"/>
      <c r="F385" s="11"/>
      <c r="G385" s="12"/>
      <c r="H385" s="11"/>
      <c r="I385" s="12"/>
      <c r="J385" s="12"/>
      <c r="K385" s="12"/>
      <c r="L385" s="11"/>
      <c r="M385" s="11"/>
      <c r="N385" s="11"/>
      <c r="O385" s="11"/>
      <c r="P385" s="11"/>
      <c r="Q385" s="11"/>
      <c r="R385" s="11"/>
      <c r="S385" s="11"/>
      <c r="T385" s="11"/>
      <c r="U385" s="11"/>
      <c r="V385" s="11"/>
      <c r="W385" s="11"/>
      <c r="X385" s="11"/>
      <c r="Y385" s="11"/>
      <c r="Z385" s="11"/>
    </row>
    <row r="386" ht="16.5" customHeight="1">
      <c r="A386" s="11"/>
      <c r="B386" s="11"/>
      <c r="C386" s="11"/>
      <c r="D386" s="11"/>
      <c r="E386" s="11"/>
      <c r="F386" s="11"/>
      <c r="G386" s="12"/>
      <c r="H386" s="11"/>
      <c r="I386" s="12"/>
      <c r="J386" s="12"/>
      <c r="K386" s="12"/>
      <c r="L386" s="11"/>
      <c r="M386" s="11"/>
      <c r="N386" s="11"/>
      <c r="O386" s="11"/>
      <c r="P386" s="11"/>
      <c r="Q386" s="11"/>
      <c r="R386" s="11"/>
      <c r="S386" s="11"/>
      <c r="T386" s="11"/>
      <c r="U386" s="11"/>
      <c r="V386" s="11"/>
      <c r="W386" s="11"/>
      <c r="X386" s="11"/>
      <c r="Y386" s="11"/>
      <c r="Z386" s="11"/>
    </row>
    <row r="387" ht="16.5" customHeight="1">
      <c r="A387" s="11"/>
      <c r="B387" s="11"/>
      <c r="C387" s="11"/>
      <c r="D387" s="11"/>
      <c r="E387" s="11"/>
      <c r="F387" s="11"/>
      <c r="G387" s="12"/>
      <c r="H387" s="11"/>
      <c r="I387" s="12"/>
      <c r="J387" s="12"/>
      <c r="K387" s="12"/>
      <c r="L387" s="11"/>
      <c r="M387" s="11"/>
      <c r="N387" s="11"/>
      <c r="O387" s="11"/>
      <c r="P387" s="11"/>
      <c r="Q387" s="11"/>
      <c r="R387" s="11"/>
      <c r="S387" s="11"/>
      <c r="T387" s="11"/>
      <c r="U387" s="11"/>
      <c r="V387" s="11"/>
      <c r="W387" s="11"/>
      <c r="X387" s="11"/>
      <c r="Y387" s="11"/>
      <c r="Z387" s="11"/>
    </row>
    <row r="388" ht="16.5" customHeight="1">
      <c r="A388" s="11"/>
      <c r="B388" s="11"/>
      <c r="C388" s="11"/>
      <c r="D388" s="11"/>
      <c r="E388" s="11"/>
      <c r="F388" s="11"/>
      <c r="G388" s="12"/>
      <c r="H388" s="11"/>
      <c r="I388" s="12"/>
      <c r="J388" s="12"/>
      <c r="K388" s="12"/>
      <c r="L388" s="11"/>
      <c r="M388" s="11"/>
      <c r="N388" s="11"/>
      <c r="O388" s="11"/>
      <c r="P388" s="11"/>
      <c r="Q388" s="11"/>
      <c r="R388" s="11"/>
      <c r="S388" s="11"/>
      <c r="T388" s="11"/>
      <c r="U388" s="11"/>
      <c r="V388" s="11"/>
      <c r="W388" s="11"/>
      <c r="X388" s="11"/>
      <c r="Y388" s="11"/>
      <c r="Z388" s="11"/>
    </row>
    <row r="389" ht="16.5" customHeight="1">
      <c r="A389" s="11"/>
      <c r="B389" s="11"/>
      <c r="C389" s="11"/>
      <c r="D389" s="11"/>
      <c r="E389" s="11"/>
      <c r="F389" s="11"/>
      <c r="G389" s="12"/>
      <c r="H389" s="11"/>
      <c r="I389" s="12"/>
      <c r="J389" s="12"/>
      <c r="K389" s="12"/>
      <c r="L389" s="11"/>
      <c r="M389" s="11"/>
      <c r="N389" s="11"/>
      <c r="O389" s="11"/>
      <c r="P389" s="11"/>
      <c r="Q389" s="11"/>
      <c r="R389" s="11"/>
      <c r="S389" s="11"/>
      <c r="T389" s="11"/>
      <c r="U389" s="11"/>
      <c r="V389" s="11"/>
      <c r="W389" s="11"/>
      <c r="X389" s="11"/>
      <c r="Y389" s="11"/>
      <c r="Z389" s="11"/>
    </row>
    <row r="390" ht="16.5" customHeight="1">
      <c r="A390" s="11"/>
      <c r="B390" s="11"/>
      <c r="C390" s="11"/>
      <c r="D390" s="11"/>
      <c r="E390" s="11"/>
      <c r="F390" s="11"/>
      <c r="G390" s="12"/>
      <c r="H390" s="11"/>
      <c r="I390" s="12"/>
      <c r="J390" s="12"/>
      <c r="K390" s="12"/>
      <c r="L390" s="11"/>
      <c r="M390" s="11"/>
      <c r="N390" s="11"/>
      <c r="O390" s="11"/>
      <c r="P390" s="11"/>
      <c r="Q390" s="11"/>
      <c r="R390" s="11"/>
      <c r="S390" s="11"/>
      <c r="T390" s="11"/>
      <c r="U390" s="11"/>
      <c r="V390" s="11"/>
      <c r="W390" s="11"/>
      <c r="X390" s="11"/>
      <c r="Y390" s="11"/>
      <c r="Z390" s="11"/>
    </row>
    <row r="391" ht="16.5" customHeight="1">
      <c r="A391" s="11"/>
      <c r="B391" s="11"/>
      <c r="C391" s="11"/>
      <c r="D391" s="11"/>
      <c r="E391" s="11"/>
      <c r="F391" s="11"/>
      <c r="G391" s="12"/>
      <c r="H391" s="11"/>
      <c r="I391" s="12"/>
      <c r="J391" s="12"/>
      <c r="K391" s="12"/>
      <c r="L391" s="11"/>
      <c r="M391" s="11"/>
      <c r="N391" s="11"/>
      <c r="O391" s="11"/>
      <c r="P391" s="11"/>
      <c r="Q391" s="11"/>
      <c r="R391" s="11"/>
      <c r="S391" s="11"/>
      <c r="T391" s="11"/>
      <c r="U391" s="11"/>
      <c r="V391" s="11"/>
      <c r="W391" s="11"/>
      <c r="X391" s="11"/>
      <c r="Y391" s="11"/>
      <c r="Z391" s="11"/>
    </row>
    <row r="392" ht="16.5" customHeight="1">
      <c r="A392" s="11"/>
      <c r="B392" s="11"/>
      <c r="C392" s="11"/>
      <c r="D392" s="11"/>
      <c r="E392" s="11"/>
      <c r="F392" s="11"/>
      <c r="G392" s="12"/>
      <c r="H392" s="11"/>
      <c r="I392" s="12"/>
      <c r="J392" s="12"/>
      <c r="K392" s="12"/>
      <c r="L392" s="11"/>
      <c r="M392" s="11"/>
      <c r="N392" s="11"/>
      <c r="O392" s="11"/>
      <c r="P392" s="11"/>
      <c r="Q392" s="11"/>
      <c r="R392" s="11"/>
      <c r="S392" s="11"/>
      <c r="T392" s="11"/>
      <c r="U392" s="11"/>
      <c r="V392" s="11"/>
      <c r="W392" s="11"/>
      <c r="X392" s="11"/>
      <c r="Y392" s="11"/>
      <c r="Z392" s="11"/>
    </row>
    <row r="393" ht="16.5" customHeight="1">
      <c r="A393" s="11"/>
      <c r="B393" s="11"/>
      <c r="C393" s="11"/>
      <c r="D393" s="11"/>
      <c r="E393" s="11"/>
      <c r="F393" s="11"/>
      <c r="G393" s="12"/>
      <c r="H393" s="11"/>
      <c r="I393" s="12"/>
      <c r="J393" s="12"/>
      <c r="K393" s="12"/>
      <c r="L393" s="11"/>
      <c r="M393" s="11"/>
      <c r="N393" s="11"/>
      <c r="O393" s="11"/>
      <c r="P393" s="11"/>
      <c r="Q393" s="11"/>
      <c r="R393" s="11"/>
      <c r="S393" s="11"/>
      <c r="T393" s="11"/>
      <c r="U393" s="11"/>
      <c r="V393" s="11"/>
      <c r="W393" s="11"/>
      <c r="X393" s="11"/>
      <c r="Y393" s="11"/>
      <c r="Z393" s="11"/>
    </row>
    <row r="394" ht="16.5" customHeight="1">
      <c r="A394" s="11"/>
      <c r="B394" s="11"/>
      <c r="C394" s="11"/>
      <c r="D394" s="11"/>
      <c r="E394" s="11"/>
      <c r="F394" s="11"/>
      <c r="G394" s="12"/>
      <c r="H394" s="11"/>
      <c r="I394" s="12"/>
      <c r="J394" s="12"/>
      <c r="K394" s="12"/>
      <c r="L394" s="11"/>
      <c r="M394" s="11"/>
      <c r="N394" s="11"/>
      <c r="O394" s="11"/>
      <c r="P394" s="11"/>
      <c r="Q394" s="11"/>
      <c r="R394" s="11"/>
      <c r="S394" s="11"/>
      <c r="T394" s="11"/>
      <c r="U394" s="11"/>
      <c r="V394" s="11"/>
      <c r="W394" s="11"/>
      <c r="X394" s="11"/>
      <c r="Y394" s="11"/>
      <c r="Z394" s="11"/>
    </row>
    <row r="395" ht="16.5" customHeight="1">
      <c r="A395" s="11"/>
      <c r="B395" s="11"/>
      <c r="C395" s="11"/>
      <c r="D395" s="11"/>
      <c r="E395" s="11"/>
      <c r="F395" s="11"/>
      <c r="G395" s="12"/>
      <c r="H395" s="11"/>
      <c r="I395" s="12"/>
      <c r="J395" s="12"/>
      <c r="K395" s="12"/>
      <c r="L395" s="11"/>
      <c r="M395" s="11"/>
      <c r="N395" s="11"/>
      <c r="O395" s="11"/>
      <c r="P395" s="11"/>
      <c r="Q395" s="11"/>
      <c r="R395" s="11"/>
      <c r="S395" s="11"/>
      <c r="T395" s="11"/>
      <c r="U395" s="11"/>
      <c r="V395" s="11"/>
      <c r="W395" s="11"/>
      <c r="X395" s="11"/>
      <c r="Y395" s="11"/>
      <c r="Z395" s="11"/>
    </row>
    <row r="396" ht="16.5" customHeight="1">
      <c r="A396" s="11"/>
      <c r="B396" s="11"/>
      <c r="C396" s="11"/>
      <c r="D396" s="11"/>
      <c r="E396" s="11"/>
      <c r="F396" s="11"/>
      <c r="G396" s="12"/>
      <c r="H396" s="11"/>
      <c r="I396" s="12"/>
      <c r="J396" s="12"/>
      <c r="K396" s="12"/>
      <c r="L396" s="11"/>
      <c r="M396" s="11"/>
      <c r="N396" s="11"/>
      <c r="O396" s="11"/>
      <c r="P396" s="11"/>
      <c r="Q396" s="11"/>
      <c r="R396" s="11"/>
      <c r="S396" s="11"/>
      <c r="T396" s="11"/>
      <c r="U396" s="11"/>
      <c r="V396" s="11"/>
      <c r="W396" s="11"/>
      <c r="X396" s="11"/>
      <c r="Y396" s="11"/>
      <c r="Z396" s="11"/>
    </row>
    <row r="397" ht="16.5" customHeight="1">
      <c r="A397" s="11"/>
      <c r="B397" s="11"/>
      <c r="C397" s="11"/>
      <c r="D397" s="11"/>
      <c r="E397" s="11"/>
      <c r="F397" s="11"/>
      <c r="G397" s="12"/>
      <c r="H397" s="11"/>
      <c r="I397" s="12"/>
      <c r="J397" s="12"/>
      <c r="K397" s="12"/>
      <c r="L397" s="11"/>
      <c r="M397" s="11"/>
      <c r="N397" s="11"/>
      <c r="O397" s="11"/>
      <c r="P397" s="11"/>
      <c r="Q397" s="11"/>
      <c r="R397" s="11"/>
      <c r="S397" s="11"/>
      <c r="T397" s="11"/>
      <c r="U397" s="11"/>
      <c r="V397" s="11"/>
      <c r="W397" s="11"/>
      <c r="X397" s="11"/>
      <c r="Y397" s="11"/>
      <c r="Z397" s="11"/>
    </row>
    <row r="398" ht="16.5" customHeight="1">
      <c r="A398" s="11"/>
      <c r="B398" s="11"/>
      <c r="C398" s="11"/>
      <c r="D398" s="11"/>
      <c r="E398" s="11"/>
      <c r="F398" s="11"/>
      <c r="G398" s="12"/>
      <c r="H398" s="11"/>
      <c r="I398" s="12"/>
      <c r="J398" s="12"/>
      <c r="K398" s="12"/>
      <c r="L398" s="11"/>
      <c r="M398" s="11"/>
      <c r="N398" s="11"/>
      <c r="O398" s="11"/>
      <c r="P398" s="11"/>
      <c r="Q398" s="11"/>
      <c r="R398" s="11"/>
      <c r="S398" s="11"/>
      <c r="T398" s="11"/>
      <c r="U398" s="11"/>
      <c r="V398" s="11"/>
      <c r="W398" s="11"/>
      <c r="X398" s="11"/>
      <c r="Y398" s="11"/>
      <c r="Z398" s="11"/>
    </row>
    <row r="399" ht="16.5" customHeight="1">
      <c r="A399" s="11"/>
      <c r="B399" s="11"/>
      <c r="C399" s="11"/>
      <c r="D399" s="11"/>
      <c r="E399" s="11"/>
      <c r="F399" s="11"/>
      <c r="G399" s="12"/>
      <c r="H399" s="11"/>
      <c r="I399" s="12"/>
      <c r="J399" s="12"/>
      <c r="K399" s="12"/>
      <c r="L399" s="11"/>
      <c r="M399" s="11"/>
      <c r="N399" s="11"/>
      <c r="O399" s="11"/>
      <c r="P399" s="11"/>
      <c r="Q399" s="11"/>
      <c r="R399" s="11"/>
      <c r="S399" s="11"/>
      <c r="T399" s="11"/>
      <c r="U399" s="11"/>
      <c r="V399" s="11"/>
      <c r="W399" s="11"/>
      <c r="X399" s="11"/>
      <c r="Y399" s="11"/>
      <c r="Z399" s="11"/>
    </row>
    <row r="400" ht="16.5" customHeight="1">
      <c r="A400" s="11"/>
      <c r="B400" s="11"/>
      <c r="C400" s="11"/>
      <c r="D400" s="11"/>
      <c r="E400" s="11"/>
      <c r="F400" s="11"/>
      <c r="G400" s="12"/>
      <c r="H400" s="11"/>
      <c r="I400" s="12"/>
      <c r="J400" s="12"/>
      <c r="K400" s="12"/>
      <c r="L400" s="11"/>
      <c r="M400" s="11"/>
      <c r="N400" s="11"/>
      <c r="O400" s="11"/>
      <c r="P400" s="11"/>
      <c r="Q400" s="11"/>
      <c r="R400" s="11"/>
      <c r="S400" s="11"/>
      <c r="T400" s="11"/>
      <c r="U400" s="11"/>
      <c r="V400" s="11"/>
      <c r="W400" s="11"/>
      <c r="X400" s="11"/>
      <c r="Y400" s="11"/>
      <c r="Z400" s="11"/>
    </row>
    <row r="401" ht="16.5" customHeight="1">
      <c r="A401" s="11"/>
      <c r="B401" s="11"/>
      <c r="C401" s="11"/>
      <c r="D401" s="11"/>
      <c r="E401" s="11"/>
      <c r="F401" s="11"/>
      <c r="G401" s="12"/>
      <c r="H401" s="11"/>
      <c r="I401" s="12"/>
      <c r="J401" s="12"/>
      <c r="K401" s="12"/>
      <c r="L401" s="11"/>
      <c r="M401" s="11"/>
      <c r="N401" s="11"/>
      <c r="O401" s="11"/>
      <c r="P401" s="11"/>
      <c r="Q401" s="11"/>
      <c r="R401" s="11"/>
      <c r="S401" s="11"/>
      <c r="T401" s="11"/>
      <c r="U401" s="11"/>
      <c r="V401" s="11"/>
      <c r="W401" s="11"/>
      <c r="X401" s="11"/>
      <c r="Y401" s="11"/>
      <c r="Z401" s="11"/>
    </row>
    <row r="402" ht="16.5" customHeight="1">
      <c r="A402" s="11"/>
      <c r="B402" s="11"/>
      <c r="C402" s="11"/>
      <c r="D402" s="11"/>
      <c r="E402" s="11"/>
      <c r="F402" s="11"/>
      <c r="G402" s="12"/>
      <c r="H402" s="11"/>
      <c r="I402" s="12"/>
      <c r="J402" s="12"/>
      <c r="K402" s="12"/>
      <c r="L402" s="11"/>
      <c r="M402" s="11"/>
      <c r="N402" s="11"/>
      <c r="O402" s="11"/>
      <c r="P402" s="11"/>
      <c r="Q402" s="11"/>
      <c r="R402" s="11"/>
      <c r="S402" s="11"/>
      <c r="T402" s="11"/>
      <c r="U402" s="11"/>
      <c r="V402" s="11"/>
      <c r="W402" s="11"/>
      <c r="X402" s="11"/>
      <c r="Y402" s="11"/>
      <c r="Z402" s="11"/>
    </row>
    <row r="403" ht="16.5" customHeight="1">
      <c r="A403" s="11"/>
      <c r="B403" s="11"/>
      <c r="C403" s="11"/>
      <c r="D403" s="11"/>
      <c r="E403" s="11"/>
      <c r="F403" s="11"/>
      <c r="G403" s="12"/>
      <c r="H403" s="11"/>
      <c r="I403" s="12"/>
      <c r="J403" s="12"/>
      <c r="K403" s="12"/>
      <c r="L403" s="11"/>
      <c r="M403" s="11"/>
      <c r="N403" s="11"/>
      <c r="O403" s="11"/>
      <c r="P403" s="11"/>
      <c r="Q403" s="11"/>
      <c r="R403" s="11"/>
      <c r="S403" s="11"/>
      <c r="T403" s="11"/>
      <c r="U403" s="11"/>
      <c r="V403" s="11"/>
      <c r="W403" s="11"/>
      <c r="X403" s="11"/>
      <c r="Y403" s="11"/>
      <c r="Z403" s="11"/>
    </row>
    <row r="404" ht="16.5" customHeight="1">
      <c r="A404" s="11"/>
      <c r="B404" s="11"/>
      <c r="C404" s="11"/>
      <c r="D404" s="11"/>
      <c r="E404" s="11"/>
      <c r="F404" s="11"/>
      <c r="G404" s="12"/>
      <c r="H404" s="11"/>
      <c r="I404" s="12"/>
      <c r="J404" s="12"/>
      <c r="K404" s="12"/>
      <c r="L404" s="11"/>
      <c r="M404" s="11"/>
      <c r="N404" s="11"/>
      <c r="O404" s="11"/>
      <c r="P404" s="11"/>
      <c r="Q404" s="11"/>
      <c r="R404" s="11"/>
      <c r="S404" s="11"/>
      <c r="T404" s="11"/>
      <c r="U404" s="11"/>
      <c r="V404" s="11"/>
      <c r="W404" s="11"/>
      <c r="X404" s="11"/>
      <c r="Y404" s="11"/>
      <c r="Z404" s="11"/>
    </row>
    <row r="405" ht="16.5" customHeight="1">
      <c r="A405" s="11"/>
      <c r="B405" s="11"/>
      <c r="C405" s="11"/>
      <c r="D405" s="11"/>
      <c r="E405" s="11"/>
      <c r="F405" s="11"/>
      <c r="G405" s="12"/>
      <c r="H405" s="11"/>
      <c r="I405" s="12"/>
      <c r="J405" s="12"/>
      <c r="K405" s="12"/>
      <c r="L405" s="11"/>
      <c r="M405" s="11"/>
      <c r="N405" s="11"/>
      <c r="O405" s="11"/>
      <c r="P405" s="11"/>
      <c r="Q405" s="11"/>
      <c r="R405" s="11"/>
      <c r="S405" s="11"/>
      <c r="T405" s="11"/>
      <c r="U405" s="11"/>
      <c r="V405" s="11"/>
      <c r="W405" s="11"/>
      <c r="X405" s="11"/>
      <c r="Y405" s="11"/>
      <c r="Z405" s="11"/>
    </row>
    <row r="406" ht="16.5" customHeight="1">
      <c r="A406" s="11"/>
      <c r="B406" s="11"/>
      <c r="C406" s="11"/>
      <c r="D406" s="11"/>
      <c r="E406" s="11"/>
      <c r="F406" s="11"/>
      <c r="G406" s="12"/>
      <c r="H406" s="11"/>
      <c r="I406" s="12"/>
      <c r="J406" s="12"/>
      <c r="K406" s="12"/>
      <c r="L406" s="11"/>
      <c r="M406" s="11"/>
      <c r="N406" s="11"/>
      <c r="O406" s="11"/>
      <c r="P406" s="11"/>
      <c r="Q406" s="11"/>
      <c r="R406" s="11"/>
      <c r="S406" s="11"/>
      <c r="T406" s="11"/>
      <c r="U406" s="11"/>
      <c r="V406" s="11"/>
      <c r="W406" s="11"/>
      <c r="X406" s="11"/>
      <c r="Y406" s="11"/>
      <c r="Z406" s="11"/>
    </row>
    <row r="407" ht="16.5" customHeight="1">
      <c r="A407" s="11"/>
      <c r="B407" s="11"/>
      <c r="C407" s="11"/>
      <c r="D407" s="11"/>
      <c r="E407" s="11"/>
      <c r="F407" s="11"/>
      <c r="G407" s="12"/>
      <c r="H407" s="11"/>
      <c r="I407" s="12"/>
      <c r="J407" s="12"/>
      <c r="K407" s="12"/>
      <c r="L407" s="11"/>
      <c r="M407" s="11"/>
      <c r="N407" s="11"/>
      <c r="O407" s="11"/>
      <c r="P407" s="11"/>
      <c r="Q407" s="11"/>
      <c r="R407" s="11"/>
      <c r="S407" s="11"/>
      <c r="T407" s="11"/>
      <c r="U407" s="11"/>
      <c r="V407" s="11"/>
      <c r="W407" s="11"/>
      <c r="X407" s="11"/>
      <c r="Y407" s="11"/>
      <c r="Z407" s="11"/>
    </row>
    <row r="408" ht="16.5" customHeight="1">
      <c r="A408" s="11"/>
      <c r="B408" s="11"/>
      <c r="C408" s="11"/>
      <c r="D408" s="11"/>
      <c r="E408" s="11"/>
      <c r="F408" s="11"/>
      <c r="G408" s="12"/>
      <c r="H408" s="11"/>
      <c r="I408" s="12"/>
      <c r="J408" s="12"/>
      <c r="K408" s="12"/>
      <c r="L408" s="11"/>
      <c r="M408" s="11"/>
      <c r="N408" s="11"/>
      <c r="O408" s="11"/>
      <c r="P408" s="11"/>
      <c r="Q408" s="11"/>
      <c r="R408" s="11"/>
      <c r="S408" s="11"/>
      <c r="T408" s="11"/>
      <c r="U408" s="11"/>
      <c r="V408" s="11"/>
      <c r="W408" s="11"/>
      <c r="X408" s="11"/>
      <c r="Y408" s="11"/>
      <c r="Z408" s="11"/>
    </row>
    <row r="409" ht="16.5" customHeight="1">
      <c r="A409" s="11"/>
      <c r="B409" s="11"/>
      <c r="C409" s="11"/>
      <c r="D409" s="11"/>
      <c r="E409" s="11"/>
      <c r="F409" s="11"/>
      <c r="G409" s="12"/>
      <c r="H409" s="11"/>
      <c r="I409" s="12"/>
      <c r="J409" s="12"/>
      <c r="K409" s="12"/>
      <c r="L409" s="11"/>
      <c r="M409" s="11"/>
      <c r="N409" s="11"/>
      <c r="O409" s="11"/>
      <c r="P409" s="11"/>
      <c r="Q409" s="11"/>
      <c r="R409" s="11"/>
      <c r="S409" s="11"/>
      <c r="T409" s="11"/>
      <c r="U409" s="11"/>
      <c r="V409" s="11"/>
      <c r="W409" s="11"/>
      <c r="X409" s="11"/>
      <c r="Y409" s="11"/>
      <c r="Z409" s="11"/>
    </row>
    <row r="410" ht="16.5" customHeight="1">
      <c r="A410" s="11"/>
      <c r="B410" s="11"/>
      <c r="C410" s="11"/>
      <c r="D410" s="11"/>
      <c r="E410" s="11"/>
      <c r="F410" s="11"/>
      <c r="G410" s="12"/>
      <c r="H410" s="11"/>
      <c r="I410" s="12"/>
      <c r="J410" s="12"/>
      <c r="K410" s="12"/>
      <c r="L410" s="11"/>
      <c r="M410" s="11"/>
      <c r="N410" s="11"/>
      <c r="O410" s="11"/>
      <c r="P410" s="11"/>
      <c r="Q410" s="11"/>
      <c r="R410" s="11"/>
      <c r="S410" s="11"/>
      <c r="T410" s="11"/>
      <c r="U410" s="11"/>
      <c r="V410" s="11"/>
      <c r="W410" s="11"/>
      <c r="X410" s="11"/>
      <c r="Y410" s="11"/>
      <c r="Z410" s="11"/>
    </row>
    <row r="411" ht="16.5" customHeight="1">
      <c r="A411" s="11"/>
      <c r="B411" s="11"/>
      <c r="C411" s="11"/>
      <c r="D411" s="11"/>
      <c r="E411" s="11"/>
      <c r="F411" s="11"/>
      <c r="G411" s="12"/>
      <c r="H411" s="11"/>
      <c r="I411" s="12"/>
      <c r="J411" s="12"/>
      <c r="K411" s="12"/>
      <c r="L411" s="11"/>
      <c r="M411" s="11"/>
      <c r="N411" s="11"/>
      <c r="O411" s="11"/>
      <c r="P411" s="11"/>
      <c r="Q411" s="11"/>
      <c r="R411" s="11"/>
      <c r="S411" s="11"/>
      <c r="T411" s="11"/>
      <c r="U411" s="11"/>
      <c r="V411" s="11"/>
      <c r="W411" s="11"/>
      <c r="X411" s="11"/>
      <c r="Y411" s="11"/>
      <c r="Z411" s="11"/>
    </row>
    <row r="412" ht="16.5" customHeight="1">
      <c r="A412" s="11"/>
      <c r="B412" s="11"/>
      <c r="C412" s="11"/>
      <c r="D412" s="11"/>
      <c r="E412" s="11"/>
      <c r="F412" s="11"/>
      <c r="G412" s="12"/>
      <c r="H412" s="11"/>
      <c r="I412" s="12"/>
      <c r="J412" s="12"/>
      <c r="K412" s="12"/>
      <c r="L412" s="11"/>
      <c r="M412" s="11"/>
      <c r="N412" s="11"/>
      <c r="O412" s="11"/>
      <c r="P412" s="11"/>
      <c r="Q412" s="11"/>
      <c r="R412" s="11"/>
      <c r="S412" s="11"/>
      <c r="T412" s="11"/>
      <c r="U412" s="11"/>
      <c r="V412" s="11"/>
      <c r="W412" s="11"/>
      <c r="X412" s="11"/>
      <c r="Y412" s="11"/>
      <c r="Z412" s="11"/>
    </row>
    <row r="413" ht="16.5" customHeight="1">
      <c r="A413" s="11"/>
      <c r="B413" s="11"/>
      <c r="C413" s="11"/>
      <c r="D413" s="11"/>
      <c r="E413" s="11"/>
      <c r="F413" s="11"/>
      <c r="G413" s="12"/>
      <c r="H413" s="11"/>
      <c r="I413" s="12"/>
      <c r="J413" s="12"/>
      <c r="K413" s="12"/>
      <c r="L413" s="11"/>
      <c r="M413" s="11"/>
      <c r="N413" s="11"/>
      <c r="O413" s="11"/>
      <c r="P413" s="11"/>
      <c r="Q413" s="11"/>
      <c r="R413" s="11"/>
      <c r="S413" s="11"/>
      <c r="T413" s="11"/>
      <c r="U413" s="11"/>
      <c r="V413" s="11"/>
      <c r="W413" s="11"/>
      <c r="X413" s="11"/>
      <c r="Y413" s="11"/>
      <c r="Z413" s="11"/>
    </row>
    <row r="414" ht="16.5" customHeight="1">
      <c r="A414" s="11"/>
      <c r="B414" s="11"/>
      <c r="C414" s="11"/>
      <c r="D414" s="11"/>
      <c r="E414" s="11"/>
      <c r="F414" s="11"/>
      <c r="G414" s="12"/>
      <c r="H414" s="11"/>
      <c r="I414" s="12"/>
      <c r="J414" s="12"/>
      <c r="K414" s="12"/>
      <c r="L414" s="11"/>
      <c r="M414" s="11"/>
      <c r="N414" s="11"/>
      <c r="O414" s="11"/>
      <c r="P414" s="11"/>
      <c r="Q414" s="11"/>
      <c r="R414" s="11"/>
      <c r="S414" s="11"/>
      <c r="T414" s="11"/>
      <c r="U414" s="11"/>
      <c r="V414" s="11"/>
      <c r="W414" s="11"/>
      <c r="X414" s="11"/>
      <c r="Y414" s="11"/>
      <c r="Z414" s="11"/>
    </row>
    <row r="415" ht="16.5" customHeight="1">
      <c r="A415" s="11"/>
      <c r="B415" s="11"/>
      <c r="C415" s="11"/>
      <c r="D415" s="11"/>
      <c r="E415" s="11"/>
      <c r="F415" s="11"/>
      <c r="G415" s="12"/>
      <c r="H415" s="11"/>
      <c r="I415" s="12"/>
      <c r="J415" s="12"/>
      <c r="K415" s="12"/>
      <c r="L415" s="11"/>
      <c r="M415" s="11"/>
      <c r="N415" s="11"/>
      <c r="O415" s="11"/>
      <c r="P415" s="11"/>
      <c r="Q415" s="11"/>
      <c r="R415" s="11"/>
      <c r="S415" s="11"/>
      <c r="T415" s="11"/>
      <c r="U415" s="11"/>
      <c r="V415" s="11"/>
      <c r="W415" s="11"/>
      <c r="X415" s="11"/>
      <c r="Y415" s="11"/>
      <c r="Z415" s="11"/>
    </row>
    <row r="416" ht="16.5" customHeight="1">
      <c r="A416" s="11"/>
      <c r="B416" s="11"/>
      <c r="C416" s="11"/>
      <c r="D416" s="11"/>
      <c r="E416" s="11"/>
      <c r="F416" s="11"/>
      <c r="G416" s="12"/>
      <c r="H416" s="11"/>
      <c r="I416" s="12"/>
      <c r="J416" s="12"/>
      <c r="K416" s="12"/>
      <c r="L416" s="11"/>
      <c r="M416" s="11"/>
      <c r="N416" s="11"/>
      <c r="O416" s="11"/>
      <c r="P416" s="11"/>
      <c r="Q416" s="11"/>
      <c r="R416" s="11"/>
      <c r="S416" s="11"/>
      <c r="T416" s="11"/>
      <c r="U416" s="11"/>
      <c r="V416" s="11"/>
      <c r="W416" s="11"/>
      <c r="X416" s="11"/>
      <c r="Y416" s="11"/>
      <c r="Z416" s="11"/>
    </row>
    <row r="417" ht="16.5" customHeight="1">
      <c r="A417" s="11"/>
      <c r="B417" s="11"/>
      <c r="C417" s="11"/>
      <c r="D417" s="11"/>
      <c r="E417" s="11"/>
      <c r="F417" s="11"/>
      <c r="G417" s="12"/>
      <c r="H417" s="11"/>
      <c r="I417" s="12"/>
      <c r="J417" s="12"/>
      <c r="K417" s="12"/>
      <c r="L417" s="11"/>
      <c r="M417" s="11"/>
      <c r="N417" s="11"/>
      <c r="O417" s="11"/>
      <c r="P417" s="11"/>
      <c r="Q417" s="11"/>
      <c r="R417" s="11"/>
      <c r="S417" s="11"/>
      <c r="T417" s="11"/>
      <c r="U417" s="11"/>
      <c r="V417" s="11"/>
      <c r="W417" s="11"/>
      <c r="X417" s="11"/>
      <c r="Y417" s="11"/>
      <c r="Z417" s="11"/>
    </row>
    <row r="418" ht="16.5" customHeight="1">
      <c r="A418" s="11"/>
      <c r="B418" s="11"/>
      <c r="C418" s="11"/>
      <c r="D418" s="11"/>
      <c r="E418" s="11"/>
      <c r="F418" s="11"/>
      <c r="G418" s="12"/>
      <c r="H418" s="11"/>
      <c r="I418" s="12"/>
      <c r="J418" s="12"/>
      <c r="K418" s="12"/>
      <c r="L418" s="11"/>
      <c r="M418" s="11"/>
      <c r="N418" s="11"/>
      <c r="O418" s="11"/>
      <c r="P418" s="11"/>
      <c r="Q418" s="11"/>
      <c r="R418" s="11"/>
      <c r="S418" s="11"/>
      <c r="T418" s="11"/>
      <c r="U418" s="11"/>
      <c r="V418" s="11"/>
      <c r="W418" s="11"/>
      <c r="X418" s="11"/>
      <c r="Y418" s="11"/>
      <c r="Z418" s="11"/>
    </row>
    <row r="419" ht="16.5" customHeight="1">
      <c r="A419" s="11"/>
      <c r="B419" s="11"/>
      <c r="C419" s="11"/>
      <c r="D419" s="11"/>
      <c r="E419" s="11"/>
      <c r="F419" s="11"/>
      <c r="G419" s="12"/>
      <c r="H419" s="11"/>
      <c r="I419" s="12"/>
      <c r="J419" s="12"/>
      <c r="K419" s="12"/>
      <c r="L419" s="11"/>
      <c r="M419" s="11"/>
      <c r="N419" s="11"/>
      <c r="O419" s="11"/>
      <c r="P419" s="11"/>
      <c r="Q419" s="11"/>
      <c r="R419" s="11"/>
      <c r="S419" s="11"/>
      <c r="T419" s="11"/>
      <c r="U419" s="11"/>
      <c r="V419" s="11"/>
      <c r="W419" s="11"/>
      <c r="X419" s="11"/>
      <c r="Y419" s="11"/>
      <c r="Z419" s="11"/>
    </row>
    <row r="420" ht="16.5" customHeight="1">
      <c r="A420" s="11"/>
      <c r="B420" s="11"/>
      <c r="C420" s="11"/>
      <c r="D420" s="11"/>
      <c r="E420" s="11"/>
      <c r="F420" s="11"/>
      <c r="G420" s="12"/>
      <c r="H420" s="11"/>
      <c r="I420" s="12"/>
      <c r="J420" s="12"/>
      <c r="K420" s="12"/>
      <c r="L420" s="11"/>
      <c r="M420" s="11"/>
      <c r="N420" s="11"/>
      <c r="O420" s="11"/>
      <c r="P420" s="11"/>
      <c r="Q420" s="11"/>
      <c r="R420" s="11"/>
      <c r="S420" s="11"/>
      <c r="T420" s="11"/>
      <c r="U420" s="11"/>
      <c r="V420" s="11"/>
      <c r="W420" s="11"/>
      <c r="X420" s="11"/>
      <c r="Y420" s="11"/>
      <c r="Z420" s="11"/>
    </row>
    <row r="421" ht="16.5" customHeight="1">
      <c r="A421" s="11"/>
      <c r="B421" s="11"/>
      <c r="C421" s="11"/>
      <c r="D421" s="11"/>
      <c r="E421" s="11"/>
      <c r="F421" s="11"/>
      <c r="G421" s="12"/>
      <c r="H421" s="11"/>
      <c r="I421" s="12"/>
      <c r="J421" s="12"/>
      <c r="K421" s="12"/>
      <c r="L421" s="11"/>
      <c r="M421" s="11"/>
      <c r="N421" s="11"/>
      <c r="O421" s="11"/>
      <c r="P421" s="11"/>
      <c r="Q421" s="11"/>
      <c r="R421" s="11"/>
      <c r="S421" s="11"/>
      <c r="T421" s="11"/>
      <c r="U421" s="11"/>
      <c r="V421" s="11"/>
      <c r="W421" s="11"/>
      <c r="X421" s="11"/>
      <c r="Y421" s="11"/>
      <c r="Z421" s="11"/>
    </row>
    <row r="422" ht="16.5" customHeight="1">
      <c r="A422" s="11"/>
      <c r="B422" s="11"/>
      <c r="C422" s="11"/>
      <c r="D422" s="11"/>
      <c r="E422" s="11"/>
      <c r="F422" s="11"/>
      <c r="G422" s="12"/>
      <c r="H422" s="11"/>
      <c r="I422" s="12"/>
      <c r="J422" s="12"/>
      <c r="K422" s="12"/>
      <c r="L422" s="11"/>
      <c r="M422" s="11"/>
      <c r="N422" s="11"/>
      <c r="O422" s="11"/>
      <c r="P422" s="11"/>
      <c r="Q422" s="11"/>
      <c r="R422" s="11"/>
      <c r="S422" s="11"/>
      <c r="T422" s="11"/>
      <c r="U422" s="11"/>
      <c r="V422" s="11"/>
      <c r="W422" s="11"/>
      <c r="X422" s="11"/>
      <c r="Y422" s="11"/>
      <c r="Z422" s="11"/>
    </row>
    <row r="423" ht="16.5" customHeight="1">
      <c r="A423" s="11"/>
      <c r="B423" s="11"/>
      <c r="C423" s="11"/>
      <c r="D423" s="11"/>
      <c r="E423" s="11"/>
      <c r="F423" s="11"/>
      <c r="G423" s="12"/>
      <c r="H423" s="11"/>
      <c r="I423" s="12"/>
      <c r="J423" s="12"/>
      <c r="K423" s="12"/>
      <c r="L423" s="11"/>
      <c r="M423" s="11"/>
      <c r="N423" s="11"/>
      <c r="O423" s="11"/>
      <c r="P423" s="11"/>
      <c r="Q423" s="11"/>
      <c r="R423" s="11"/>
      <c r="S423" s="11"/>
      <c r="T423" s="11"/>
      <c r="U423" s="11"/>
      <c r="V423" s="11"/>
      <c r="W423" s="11"/>
      <c r="X423" s="11"/>
      <c r="Y423" s="11"/>
      <c r="Z423" s="11"/>
    </row>
    <row r="424" ht="16.5" customHeight="1">
      <c r="A424" s="11"/>
      <c r="B424" s="11"/>
      <c r="C424" s="11"/>
      <c r="D424" s="11"/>
      <c r="E424" s="11"/>
      <c r="F424" s="11"/>
      <c r="G424" s="12"/>
      <c r="H424" s="11"/>
      <c r="I424" s="12"/>
      <c r="J424" s="12"/>
      <c r="K424" s="12"/>
      <c r="L424" s="11"/>
      <c r="M424" s="11"/>
      <c r="N424" s="11"/>
      <c r="O424" s="11"/>
      <c r="P424" s="11"/>
      <c r="Q424" s="11"/>
      <c r="R424" s="11"/>
      <c r="S424" s="11"/>
      <c r="T424" s="11"/>
      <c r="U424" s="11"/>
      <c r="V424" s="11"/>
      <c r="W424" s="11"/>
      <c r="X424" s="11"/>
      <c r="Y424" s="11"/>
      <c r="Z424" s="11"/>
    </row>
    <row r="425" ht="16.5" customHeight="1">
      <c r="A425" s="11"/>
      <c r="B425" s="11"/>
      <c r="C425" s="11"/>
      <c r="D425" s="11"/>
      <c r="E425" s="11"/>
      <c r="F425" s="11"/>
      <c r="G425" s="12"/>
      <c r="H425" s="11"/>
      <c r="I425" s="12"/>
      <c r="J425" s="12"/>
      <c r="K425" s="12"/>
      <c r="L425" s="11"/>
      <c r="M425" s="11"/>
      <c r="N425" s="11"/>
      <c r="O425" s="11"/>
      <c r="P425" s="11"/>
      <c r="Q425" s="11"/>
      <c r="R425" s="11"/>
      <c r="S425" s="11"/>
      <c r="T425" s="11"/>
      <c r="U425" s="11"/>
      <c r="V425" s="11"/>
      <c r="W425" s="11"/>
      <c r="X425" s="11"/>
      <c r="Y425" s="11"/>
      <c r="Z425" s="11"/>
    </row>
    <row r="426" ht="16.5" customHeight="1">
      <c r="A426" s="11"/>
      <c r="B426" s="11"/>
      <c r="C426" s="11"/>
      <c r="D426" s="11"/>
      <c r="E426" s="11"/>
      <c r="F426" s="11"/>
      <c r="G426" s="12"/>
      <c r="H426" s="11"/>
      <c r="I426" s="12"/>
      <c r="J426" s="12"/>
      <c r="K426" s="12"/>
      <c r="L426" s="11"/>
      <c r="M426" s="11"/>
      <c r="N426" s="11"/>
      <c r="O426" s="11"/>
      <c r="P426" s="11"/>
      <c r="Q426" s="11"/>
      <c r="R426" s="11"/>
      <c r="S426" s="11"/>
      <c r="T426" s="11"/>
      <c r="U426" s="11"/>
      <c r="V426" s="11"/>
      <c r="W426" s="11"/>
      <c r="X426" s="11"/>
      <c r="Y426" s="11"/>
      <c r="Z426" s="11"/>
    </row>
    <row r="427" ht="16.5" customHeight="1">
      <c r="A427" s="11"/>
      <c r="B427" s="11"/>
      <c r="C427" s="11"/>
      <c r="D427" s="11"/>
      <c r="E427" s="11"/>
      <c r="F427" s="11"/>
      <c r="G427" s="12"/>
      <c r="H427" s="11"/>
      <c r="I427" s="12"/>
      <c r="J427" s="12"/>
      <c r="K427" s="12"/>
      <c r="L427" s="11"/>
      <c r="M427" s="11"/>
      <c r="N427" s="11"/>
      <c r="O427" s="11"/>
      <c r="P427" s="11"/>
      <c r="Q427" s="11"/>
      <c r="R427" s="11"/>
      <c r="S427" s="11"/>
      <c r="T427" s="11"/>
      <c r="U427" s="11"/>
      <c r="V427" s="11"/>
      <c r="W427" s="11"/>
      <c r="X427" s="11"/>
      <c r="Y427" s="11"/>
      <c r="Z427" s="11"/>
    </row>
    <row r="428" ht="16.5" customHeight="1">
      <c r="A428" s="11"/>
      <c r="B428" s="11"/>
      <c r="C428" s="11"/>
      <c r="D428" s="11"/>
      <c r="E428" s="11"/>
      <c r="F428" s="11"/>
      <c r="G428" s="12"/>
      <c r="H428" s="11"/>
      <c r="I428" s="12"/>
      <c r="J428" s="12"/>
      <c r="K428" s="12"/>
      <c r="L428" s="11"/>
      <c r="M428" s="11"/>
      <c r="N428" s="11"/>
      <c r="O428" s="11"/>
      <c r="P428" s="11"/>
      <c r="Q428" s="11"/>
      <c r="R428" s="11"/>
      <c r="S428" s="11"/>
      <c r="T428" s="11"/>
      <c r="U428" s="11"/>
      <c r="V428" s="11"/>
      <c r="W428" s="11"/>
      <c r="X428" s="11"/>
      <c r="Y428" s="11"/>
      <c r="Z428" s="11"/>
    </row>
    <row r="429" ht="16.5" customHeight="1">
      <c r="A429" s="11"/>
      <c r="B429" s="11"/>
      <c r="C429" s="11"/>
      <c r="D429" s="11"/>
      <c r="E429" s="11"/>
      <c r="F429" s="11"/>
      <c r="G429" s="12"/>
      <c r="H429" s="11"/>
      <c r="I429" s="12"/>
      <c r="J429" s="12"/>
      <c r="K429" s="12"/>
      <c r="L429" s="11"/>
      <c r="M429" s="11"/>
      <c r="N429" s="11"/>
      <c r="O429" s="11"/>
      <c r="P429" s="11"/>
      <c r="Q429" s="11"/>
      <c r="R429" s="11"/>
      <c r="S429" s="11"/>
      <c r="T429" s="11"/>
      <c r="U429" s="11"/>
      <c r="V429" s="11"/>
      <c r="W429" s="11"/>
      <c r="X429" s="11"/>
      <c r="Y429" s="11"/>
      <c r="Z429" s="11"/>
    </row>
    <row r="430" ht="16.5" customHeight="1">
      <c r="A430" s="11"/>
      <c r="B430" s="11"/>
      <c r="C430" s="11"/>
      <c r="D430" s="11"/>
      <c r="E430" s="11"/>
      <c r="F430" s="11"/>
      <c r="G430" s="12"/>
      <c r="H430" s="11"/>
      <c r="I430" s="12"/>
      <c r="J430" s="12"/>
      <c r="K430" s="12"/>
      <c r="L430" s="11"/>
      <c r="M430" s="11"/>
      <c r="N430" s="11"/>
      <c r="O430" s="11"/>
      <c r="P430" s="11"/>
      <c r="Q430" s="11"/>
      <c r="R430" s="11"/>
      <c r="S430" s="11"/>
      <c r="T430" s="11"/>
      <c r="U430" s="11"/>
      <c r="V430" s="11"/>
      <c r="W430" s="11"/>
      <c r="X430" s="11"/>
      <c r="Y430" s="11"/>
      <c r="Z430" s="11"/>
    </row>
    <row r="431" ht="16.5" customHeight="1">
      <c r="A431" s="11"/>
      <c r="B431" s="11"/>
      <c r="C431" s="11"/>
      <c r="D431" s="11"/>
      <c r="E431" s="11"/>
      <c r="F431" s="11"/>
      <c r="G431" s="12"/>
      <c r="H431" s="11"/>
      <c r="I431" s="12"/>
      <c r="J431" s="12"/>
      <c r="K431" s="12"/>
      <c r="L431" s="11"/>
      <c r="M431" s="11"/>
      <c r="N431" s="11"/>
      <c r="O431" s="11"/>
      <c r="P431" s="11"/>
      <c r="Q431" s="11"/>
      <c r="R431" s="11"/>
      <c r="S431" s="11"/>
      <c r="T431" s="11"/>
      <c r="U431" s="11"/>
      <c r="V431" s="11"/>
      <c r="W431" s="11"/>
      <c r="X431" s="11"/>
      <c r="Y431" s="11"/>
      <c r="Z431" s="11"/>
    </row>
    <row r="432" ht="16.5" customHeight="1">
      <c r="A432" s="11"/>
      <c r="B432" s="11"/>
      <c r="C432" s="11"/>
      <c r="D432" s="11"/>
      <c r="E432" s="11"/>
      <c r="F432" s="11"/>
      <c r="G432" s="12"/>
      <c r="H432" s="11"/>
      <c r="I432" s="12"/>
      <c r="J432" s="12"/>
      <c r="K432" s="12"/>
      <c r="L432" s="11"/>
      <c r="M432" s="11"/>
      <c r="N432" s="11"/>
      <c r="O432" s="11"/>
      <c r="P432" s="11"/>
      <c r="Q432" s="11"/>
      <c r="R432" s="11"/>
      <c r="S432" s="11"/>
      <c r="T432" s="11"/>
      <c r="U432" s="11"/>
      <c r="V432" s="11"/>
      <c r="W432" s="11"/>
      <c r="X432" s="11"/>
      <c r="Y432" s="11"/>
      <c r="Z432" s="11"/>
    </row>
    <row r="433" ht="16.5" customHeight="1">
      <c r="A433" s="11"/>
      <c r="B433" s="11"/>
      <c r="C433" s="11"/>
      <c r="D433" s="11"/>
      <c r="E433" s="11"/>
      <c r="F433" s="11"/>
      <c r="G433" s="12"/>
      <c r="H433" s="11"/>
      <c r="I433" s="12"/>
      <c r="J433" s="12"/>
      <c r="K433" s="12"/>
      <c r="L433" s="11"/>
      <c r="M433" s="11"/>
      <c r="N433" s="11"/>
      <c r="O433" s="11"/>
      <c r="P433" s="11"/>
      <c r="Q433" s="11"/>
      <c r="R433" s="11"/>
      <c r="S433" s="11"/>
      <c r="T433" s="11"/>
      <c r="U433" s="11"/>
      <c r="V433" s="11"/>
      <c r="W433" s="11"/>
      <c r="X433" s="11"/>
      <c r="Y433" s="11"/>
      <c r="Z433" s="11"/>
    </row>
    <row r="434" ht="16.5" customHeight="1">
      <c r="A434" s="11"/>
      <c r="B434" s="11"/>
      <c r="C434" s="11"/>
      <c r="D434" s="11"/>
      <c r="E434" s="11"/>
      <c r="F434" s="11"/>
      <c r="G434" s="12"/>
      <c r="H434" s="11"/>
      <c r="I434" s="12"/>
      <c r="J434" s="12"/>
      <c r="K434" s="12"/>
      <c r="L434" s="11"/>
      <c r="M434" s="11"/>
      <c r="N434" s="11"/>
      <c r="O434" s="11"/>
      <c r="P434" s="11"/>
      <c r="Q434" s="11"/>
      <c r="R434" s="11"/>
      <c r="S434" s="11"/>
      <c r="T434" s="11"/>
      <c r="U434" s="11"/>
      <c r="V434" s="11"/>
      <c r="W434" s="11"/>
      <c r="X434" s="11"/>
      <c r="Y434" s="11"/>
      <c r="Z434" s="11"/>
    </row>
    <row r="435" ht="16.5" customHeight="1">
      <c r="A435" s="11"/>
      <c r="B435" s="11"/>
      <c r="C435" s="11"/>
      <c r="D435" s="11"/>
      <c r="E435" s="11"/>
      <c r="F435" s="11"/>
      <c r="G435" s="12"/>
      <c r="H435" s="11"/>
      <c r="I435" s="12"/>
      <c r="J435" s="12"/>
      <c r="K435" s="12"/>
      <c r="L435" s="11"/>
      <c r="M435" s="11"/>
      <c r="N435" s="11"/>
      <c r="O435" s="11"/>
      <c r="P435" s="11"/>
      <c r="Q435" s="11"/>
      <c r="R435" s="11"/>
      <c r="S435" s="11"/>
      <c r="T435" s="11"/>
      <c r="U435" s="11"/>
      <c r="V435" s="11"/>
      <c r="W435" s="11"/>
      <c r="X435" s="11"/>
      <c r="Y435" s="11"/>
      <c r="Z435" s="11"/>
    </row>
    <row r="436" ht="16.5" customHeight="1">
      <c r="A436" s="11"/>
      <c r="B436" s="11"/>
      <c r="C436" s="11"/>
      <c r="D436" s="11"/>
      <c r="E436" s="11"/>
      <c r="F436" s="11"/>
      <c r="G436" s="12"/>
      <c r="H436" s="11"/>
      <c r="I436" s="12"/>
      <c r="J436" s="12"/>
      <c r="K436" s="12"/>
      <c r="L436" s="11"/>
      <c r="M436" s="11"/>
      <c r="N436" s="11"/>
      <c r="O436" s="11"/>
      <c r="P436" s="11"/>
      <c r="Q436" s="11"/>
      <c r="R436" s="11"/>
      <c r="S436" s="11"/>
      <c r="T436" s="11"/>
      <c r="U436" s="11"/>
      <c r="V436" s="11"/>
      <c r="W436" s="11"/>
      <c r="X436" s="11"/>
      <c r="Y436" s="11"/>
      <c r="Z436" s="11"/>
    </row>
    <row r="437" ht="16.5" customHeight="1">
      <c r="A437" s="11"/>
      <c r="B437" s="11"/>
      <c r="C437" s="11"/>
      <c r="D437" s="11"/>
      <c r="E437" s="11"/>
      <c r="F437" s="11"/>
      <c r="G437" s="12"/>
      <c r="H437" s="11"/>
      <c r="I437" s="12"/>
      <c r="J437" s="12"/>
      <c r="K437" s="12"/>
      <c r="L437" s="11"/>
      <c r="M437" s="11"/>
      <c r="N437" s="11"/>
      <c r="O437" s="11"/>
      <c r="P437" s="11"/>
      <c r="Q437" s="11"/>
      <c r="R437" s="11"/>
      <c r="S437" s="11"/>
      <c r="T437" s="11"/>
      <c r="U437" s="11"/>
      <c r="V437" s="11"/>
      <c r="W437" s="11"/>
      <c r="X437" s="11"/>
      <c r="Y437" s="11"/>
      <c r="Z437" s="11"/>
    </row>
    <row r="438" ht="16.5" customHeight="1">
      <c r="A438" s="11"/>
      <c r="B438" s="11"/>
      <c r="C438" s="11"/>
      <c r="D438" s="11"/>
      <c r="E438" s="11"/>
      <c r="F438" s="11"/>
      <c r="G438" s="12"/>
      <c r="H438" s="11"/>
      <c r="I438" s="12"/>
      <c r="J438" s="12"/>
      <c r="K438" s="12"/>
      <c r="L438" s="11"/>
      <c r="M438" s="11"/>
      <c r="N438" s="11"/>
      <c r="O438" s="11"/>
      <c r="P438" s="11"/>
      <c r="Q438" s="11"/>
      <c r="R438" s="11"/>
      <c r="S438" s="11"/>
      <c r="T438" s="11"/>
      <c r="U438" s="11"/>
      <c r="V438" s="11"/>
      <c r="W438" s="11"/>
      <c r="X438" s="11"/>
      <c r="Y438" s="11"/>
      <c r="Z438" s="11"/>
    </row>
    <row r="439" ht="16.5" customHeight="1">
      <c r="A439" s="11"/>
      <c r="B439" s="11"/>
      <c r="C439" s="11"/>
      <c r="D439" s="11"/>
      <c r="E439" s="11"/>
      <c r="F439" s="11"/>
      <c r="G439" s="12"/>
      <c r="H439" s="11"/>
      <c r="I439" s="12"/>
      <c r="J439" s="12"/>
      <c r="K439" s="12"/>
      <c r="L439" s="11"/>
      <c r="M439" s="11"/>
      <c r="N439" s="11"/>
      <c r="O439" s="11"/>
      <c r="P439" s="11"/>
      <c r="Q439" s="11"/>
      <c r="R439" s="11"/>
      <c r="S439" s="11"/>
      <c r="T439" s="11"/>
      <c r="U439" s="11"/>
      <c r="V439" s="11"/>
      <c r="W439" s="11"/>
      <c r="X439" s="11"/>
      <c r="Y439" s="11"/>
      <c r="Z439" s="11"/>
    </row>
    <row r="440" ht="16.5" customHeight="1">
      <c r="A440" s="11"/>
      <c r="B440" s="11"/>
      <c r="C440" s="11"/>
      <c r="D440" s="11"/>
      <c r="E440" s="11"/>
      <c r="F440" s="11"/>
      <c r="G440" s="12"/>
      <c r="H440" s="11"/>
      <c r="I440" s="12"/>
      <c r="J440" s="12"/>
      <c r="K440" s="12"/>
      <c r="L440" s="11"/>
      <c r="M440" s="11"/>
      <c r="N440" s="11"/>
      <c r="O440" s="11"/>
      <c r="P440" s="11"/>
      <c r="Q440" s="11"/>
      <c r="R440" s="11"/>
      <c r="S440" s="11"/>
      <c r="T440" s="11"/>
      <c r="U440" s="11"/>
      <c r="V440" s="11"/>
      <c r="W440" s="11"/>
      <c r="X440" s="11"/>
      <c r="Y440" s="11"/>
      <c r="Z440" s="11"/>
    </row>
    <row r="441" ht="16.5" customHeight="1">
      <c r="A441" s="11"/>
      <c r="B441" s="11"/>
      <c r="C441" s="11"/>
      <c r="D441" s="11"/>
      <c r="E441" s="11"/>
      <c r="F441" s="11"/>
      <c r="G441" s="12"/>
      <c r="H441" s="11"/>
      <c r="I441" s="12"/>
      <c r="J441" s="12"/>
      <c r="K441" s="12"/>
      <c r="L441" s="11"/>
      <c r="M441" s="11"/>
      <c r="N441" s="11"/>
      <c r="O441" s="11"/>
      <c r="P441" s="11"/>
      <c r="Q441" s="11"/>
      <c r="R441" s="11"/>
      <c r="S441" s="11"/>
      <c r="T441" s="11"/>
      <c r="U441" s="11"/>
      <c r="V441" s="11"/>
      <c r="W441" s="11"/>
      <c r="X441" s="11"/>
      <c r="Y441" s="11"/>
      <c r="Z441" s="11"/>
    </row>
    <row r="442" ht="16.5" customHeight="1">
      <c r="A442" s="11"/>
      <c r="B442" s="11"/>
      <c r="C442" s="11"/>
      <c r="D442" s="11"/>
      <c r="E442" s="11"/>
      <c r="F442" s="11"/>
      <c r="G442" s="12"/>
      <c r="H442" s="11"/>
      <c r="I442" s="12"/>
      <c r="J442" s="12"/>
      <c r="K442" s="12"/>
      <c r="L442" s="11"/>
      <c r="M442" s="11"/>
      <c r="N442" s="11"/>
      <c r="O442" s="11"/>
      <c r="P442" s="11"/>
      <c r="Q442" s="11"/>
      <c r="R442" s="11"/>
      <c r="S442" s="11"/>
      <c r="T442" s="11"/>
      <c r="U442" s="11"/>
      <c r="V442" s="11"/>
      <c r="W442" s="11"/>
      <c r="X442" s="11"/>
      <c r="Y442" s="11"/>
      <c r="Z442" s="11"/>
    </row>
    <row r="443" ht="16.5" customHeight="1">
      <c r="A443" s="11"/>
      <c r="B443" s="11"/>
      <c r="C443" s="11"/>
      <c r="D443" s="11"/>
      <c r="E443" s="11"/>
      <c r="F443" s="11"/>
      <c r="G443" s="12"/>
      <c r="H443" s="11"/>
      <c r="I443" s="12"/>
      <c r="J443" s="12"/>
      <c r="K443" s="12"/>
      <c r="L443" s="11"/>
      <c r="M443" s="11"/>
      <c r="N443" s="11"/>
      <c r="O443" s="11"/>
      <c r="P443" s="11"/>
      <c r="Q443" s="11"/>
      <c r="R443" s="11"/>
      <c r="S443" s="11"/>
      <c r="T443" s="11"/>
      <c r="U443" s="11"/>
      <c r="V443" s="11"/>
      <c r="W443" s="11"/>
      <c r="X443" s="11"/>
      <c r="Y443" s="11"/>
      <c r="Z443" s="11"/>
    </row>
    <row r="444" ht="16.5" customHeight="1">
      <c r="A444" s="11"/>
      <c r="B444" s="11"/>
      <c r="C444" s="11"/>
      <c r="D444" s="11"/>
      <c r="E444" s="11"/>
      <c r="F444" s="11"/>
      <c r="G444" s="12"/>
      <c r="H444" s="11"/>
      <c r="I444" s="12"/>
      <c r="J444" s="12"/>
      <c r="K444" s="12"/>
      <c r="L444" s="11"/>
      <c r="M444" s="11"/>
      <c r="N444" s="11"/>
      <c r="O444" s="11"/>
      <c r="P444" s="11"/>
      <c r="Q444" s="11"/>
      <c r="R444" s="11"/>
      <c r="S444" s="11"/>
      <c r="T444" s="11"/>
      <c r="U444" s="11"/>
      <c r="V444" s="11"/>
      <c r="W444" s="11"/>
      <c r="X444" s="11"/>
      <c r="Y444" s="11"/>
      <c r="Z444" s="11"/>
    </row>
    <row r="445" ht="16.5" customHeight="1">
      <c r="A445" s="11"/>
      <c r="B445" s="11"/>
      <c r="C445" s="11"/>
      <c r="D445" s="11"/>
      <c r="E445" s="11"/>
      <c r="F445" s="11"/>
      <c r="G445" s="12"/>
      <c r="H445" s="11"/>
      <c r="I445" s="12"/>
      <c r="J445" s="12"/>
      <c r="K445" s="12"/>
      <c r="L445" s="11"/>
      <c r="M445" s="11"/>
      <c r="N445" s="11"/>
      <c r="O445" s="11"/>
      <c r="P445" s="11"/>
      <c r="Q445" s="11"/>
      <c r="R445" s="11"/>
      <c r="S445" s="11"/>
      <c r="T445" s="11"/>
      <c r="U445" s="11"/>
      <c r="V445" s="11"/>
      <c r="W445" s="11"/>
      <c r="X445" s="11"/>
      <c r="Y445" s="11"/>
      <c r="Z445" s="11"/>
    </row>
    <row r="446" ht="16.5" customHeight="1">
      <c r="A446" s="11"/>
      <c r="B446" s="11"/>
      <c r="C446" s="11"/>
      <c r="D446" s="11"/>
      <c r="E446" s="11"/>
      <c r="F446" s="11"/>
      <c r="G446" s="12"/>
      <c r="H446" s="11"/>
      <c r="I446" s="12"/>
      <c r="J446" s="12"/>
      <c r="K446" s="12"/>
      <c r="L446" s="11"/>
      <c r="M446" s="11"/>
      <c r="N446" s="11"/>
      <c r="O446" s="11"/>
      <c r="P446" s="11"/>
      <c r="Q446" s="11"/>
      <c r="R446" s="11"/>
      <c r="S446" s="11"/>
      <c r="T446" s="11"/>
      <c r="U446" s="11"/>
      <c r="V446" s="11"/>
      <c r="W446" s="11"/>
      <c r="X446" s="11"/>
      <c r="Y446" s="11"/>
      <c r="Z446" s="11"/>
    </row>
    <row r="447" ht="16.5" customHeight="1">
      <c r="A447" s="11"/>
      <c r="B447" s="11"/>
      <c r="C447" s="11"/>
      <c r="D447" s="11"/>
      <c r="E447" s="11"/>
      <c r="F447" s="11"/>
      <c r="G447" s="12"/>
      <c r="H447" s="11"/>
      <c r="I447" s="12"/>
      <c r="J447" s="12"/>
      <c r="K447" s="12"/>
      <c r="L447" s="11"/>
      <c r="M447" s="11"/>
      <c r="N447" s="11"/>
      <c r="O447" s="11"/>
      <c r="P447" s="11"/>
      <c r="Q447" s="11"/>
      <c r="R447" s="11"/>
      <c r="S447" s="11"/>
      <c r="T447" s="11"/>
      <c r="U447" s="11"/>
      <c r="V447" s="11"/>
      <c r="W447" s="11"/>
      <c r="X447" s="11"/>
      <c r="Y447" s="11"/>
      <c r="Z447" s="11"/>
    </row>
    <row r="448" ht="16.5" customHeight="1">
      <c r="A448" s="11"/>
      <c r="B448" s="11"/>
      <c r="C448" s="11"/>
      <c r="D448" s="11"/>
      <c r="E448" s="11"/>
      <c r="F448" s="11"/>
      <c r="G448" s="12"/>
      <c r="H448" s="11"/>
      <c r="I448" s="12"/>
      <c r="J448" s="12"/>
      <c r="K448" s="12"/>
      <c r="L448" s="11"/>
      <c r="M448" s="11"/>
      <c r="N448" s="11"/>
      <c r="O448" s="11"/>
      <c r="P448" s="11"/>
      <c r="Q448" s="11"/>
      <c r="R448" s="11"/>
      <c r="S448" s="11"/>
      <c r="T448" s="11"/>
      <c r="U448" s="11"/>
      <c r="V448" s="11"/>
      <c r="W448" s="11"/>
      <c r="X448" s="11"/>
      <c r="Y448" s="11"/>
      <c r="Z448" s="11"/>
    </row>
    <row r="449" ht="16.5" customHeight="1">
      <c r="A449" s="11"/>
      <c r="B449" s="11"/>
      <c r="C449" s="11"/>
      <c r="D449" s="11"/>
      <c r="E449" s="11"/>
      <c r="F449" s="11"/>
      <c r="G449" s="12"/>
      <c r="H449" s="11"/>
      <c r="I449" s="12"/>
      <c r="J449" s="12"/>
      <c r="K449" s="12"/>
      <c r="L449" s="11"/>
      <c r="M449" s="11"/>
      <c r="N449" s="11"/>
      <c r="O449" s="11"/>
      <c r="P449" s="11"/>
      <c r="Q449" s="11"/>
      <c r="R449" s="11"/>
      <c r="S449" s="11"/>
      <c r="T449" s="11"/>
      <c r="U449" s="11"/>
      <c r="V449" s="11"/>
      <c r="W449" s="11"/>
      <c r="X449" s="11"/>
      <c r="Y449" s="11"/>
      <c r="Z449" s="11"/>
    </row>
    <row r="450" ht="16.5" customHeight="1">
      <c r="A450" s="11"/>
      <c r="B450" s="11"/>
      <c r="C450" s="11"/>
      <c r="D450" s="11"/>
      <c r="E450" s="11"/>
      <c r="F450" s="11"/>
      <c r="G450" s="12"/>
      <c r="H450" s="11"/>
      <c r="I450" s="12"/>
      <c r="J450" s="12"/>
      <c r="K450" s="12"/>
      <c r="L450" s="11"/>
      <c r="M450" s="11"/>
      <c r="N450" s="11"/>
      <c r="O450" s="11"/>
      <c r="P450" s="11"/>
      <c r="Q450" s="11"/>
      <c r="R450" s="11"/>
      <c r="S450" s="11"/>
      <c r="T450" s="11"/>
      <c r="U450" s="11"/>
      <c r="V450" s="11"/>
      <c r="W450" s="11"/>
      <c r="X450" s="11"/>
      <c r="Y450" s="11"/>
      <c r="Z450" s="11"/>
    </row>
    <row r="451" ht="16.5" customHeight="1">
      <c r="A451" s="11"/>
      <c r="B451" s="11"/>
      <c r="C451" s="11"/>
      <c r="D451" s="11"/>
      <c r="E451" s="11"/>
      <c r="F451" s="11"/>
      <c r="G451" s="12"/>
      <c r="H451" s="11"/>
      <c r="I451" s="12"/>
      <c r="J451" s="12"/>
      <c r="K451" s="12"/>
      <c r="L451" s="11"/>
      <c r="M451" s="11"/>
      <c r="N451" s="11"/>
      <c r="O451" s="11"/>
      <c r="P451" s="11"/>
      <c r="Q451" s="11"/>
      <c r="R451" s="11"/>
      <c r="S451" s="11"/>
      <c r="T451" s="11"/>
      <c r="U451" s="11"/>
      <c r="V451" s="11"/>
      <c r="W451" s="11"/>
      <c r="X451" s="11"/>
      <c r="Y451" s="11"/>
      <c r="Z451" s="11"/>
    </row>
    <row r="452" ht="16.5" customHeight="1">
      <c r="A452" s="11"/>
      <c r="B452" s="11"/>
      <c r="C452" s="11"/>
      <c r="D452" s="11"/>
      <c r="E452" s="11"/>
      <c r="F452" s="11"/>
      <c r="G452" s="12"/>
      <c r="H452" s="11"/>
      <c r="I452" s="12"/>
      <c r="J452" s="12"/>
      <c r="K452" s="12"/>
      <c r="L452" s="11"/>
      <c r="M452" s="11"/>
      <c r="N452" s="11"/>
      <c r="O452" s="11"/>
      <c r="P452" s="11"/>
      <c r="Q452" s="11"/>
      <c r="R452" s="11"/>
      <c r="S452" s="11"/>
      <c r="T452" s="11"/>
      <c r="U452" s="11"/>
      <c r="V452" s="11"/>
      <c r="W452" s="11"/>
      <c r="X452" s="11"/>
      <c r="Y452" s="11"/>
      <c r="Z452" s="11"/>
    </row>
    <row r="453" ht="16.5" customHeight="1">
      <c r="A453" s="11"/>
      <c r="B453" s="11"/>
      <c r="C453" s="11"/>
      <c r="D453" s="11"/>
      <c r="E453" s="11"/>
      <c r="F453" s="11"/>
      <c r="G453" s="12"/>
      <c r="H453" s="11"/>
      <c r="I453" s="12"/>
      <c r="J453" s="12"/>
      <c r="K453" s="12"/>
      <c r="L453" s="11"/>
      <c r="M453" s="11"/>
      <c r="N453" s="11"/>
      <c r="O453" s="11"/>
      <c r="P453" s="11"/>
      <c r="Q453" s="11"/>
      <c r="R453" s="11"/>
      <c r="S453" s="11"/>
      <c r="T453" s="11"/>
      <c r="U453" s="11"/>
      <c r="V453" s="11"/>
      <c r="W453" s="11"/>
      <c r="X453" s="11"/>
      <c r="Y453" s="11"/>
      <c r="Z453" s="11"/>
    </row>
    <row r="454" ht="16.5" customHeight="1">
      <c r="A454" s="11"/>
      <c r="B454" s="11"/>
      <c r="C454" s="11"/>
      <c r="D454" s="11"/>
      <c r="E454" s="11"/>
      <c r="F454" s="11"/>
      <c r="G454" s="12"/>
      <c r="H454" s="11"/>
      <c r="I454" s="12"/>
      <c r="J454" s="12"/>
      <c r="K454" s="12"/>
      <c r="L454" s="11"/>
      <c r="M454" s="11"/>
      <c r="N454" s="11"/>
      <c r="O454" s="11"/>
      <c r="P454" s="11"/>
      <c r="Q454" s="11"/>
      <c r="R454" s="11"/>
      <c r="S454" s="11"/>
      <c r="T454" s="11"/>
      <c r="U454" s="11"/>
      <c r="V454" s="11"/>
      <c r="W454" s="11"/>
      <c r="X454" s="11"/>
      <c r="Y454" s="11"/>
      <c r="Z454" s="11"/>
    </row>
    <row r="455" ht="16.5" customHeight="1">
      <c r="A455" s="11"/>
      <c r="B455" s="11"/>
      <c r="C455" s="11"/>
      <c r="D455" s="11"/>
      <c r="E455" s="11"/>
      <c r="F455" s="11"/>
      <c r="G455" s="12"/>
      <c r="H455" s="11"/>
      <c r="I455" s="12"/>
      <c r="J455" s="12"/>
      <c r="K455" s="12"/>
      <c r="L455" s="11"/>
      <c r="M455" s="11"/>
      <c r="N455" s="11"/>
      <c r="O455" s="11"/>
      <c r="P455" s="11"/>
      <c r="Q455" s="11"/>
      <c r="R455" s="11"/>
      <c r="S455" s="11"/>
      <c r="T455" s="11"/>
      <c r="U455" s="11"/>
      <c r="V455" s="11"/>
      <c r="W455" s="11"/>
      <c r="X455" s="11"/>
      <c r="Y455" s="11"/>
      <c r="Z455" s="11"/>
    </row>
    <row r="456" ht="16.5" customHeight="1">
      <c r="A456" s="11"/>
      <c r="B456" s="11"/>
      <c r="C456" s="11"/>
      <c r="D456" s="11"/>
      <c r="E456" s="11"/>
      <c r="F456" s="11"/>
      <c r="G456" s="12"/>
      <c r="H456" s="11"/>
      <c r="I456" s="12"/>
      <c r="J456" s="12"/>
      <c r="K456" s="12"/>
      <c r="L456" s="11"/>
      <c r="M456" s="11"/>
      <c r="N456" s="11"/>
      <c r="O456" s="11"/>
      <c r="P456" s="11"/>
      <c r="Q456" s="11"/>
      <c r="R456" s="11"/>
      <c r="S456" s="11"/>
      <c r="T456" s="11"/>
      <c r="U456" s="11"/>
      <c r="V456" s="11"/>
      <c r="W456" s="11"/>
      <c r="X456" s="11"/>
      <c r="Y456" s="11"/>
      <c r="Z456" s="11"/>
    </row>
    <row r="457" ht="16.5" customHeight="1">
      <c r="A457" s="11"/>
      <c r="B457" s="11"/>
      <c r="C457" s="11"/>
      <c r="D457" s="11"/>
      <c r="E457" s="11"/>
      <c r="F457" s="11"/>
      <c r="G457" s="12"/>
      <c r="H457" s="11"/>
      <c r="I457" s="12"/>
      <c r="J457" s="12"/>
      <c r="K457" s="12"/>
      <c r="L457" s="11"/>
      <c r="M457" s="11"/>
      <c r="N457" s="11"/>
      <c r="O457" s="11"/>
      <c r="P457" s="11"/>
      <c r="Q457" s="11"/>
      <c r="R457" s="11"/>
      <c r="S457" s="11"/>
      <c r="T457" s="11"/>
      <c r="U457" s="11"/>
      <c r="V457" s="11"/>
      <c r="W457" s="11"/>
      <c r="X457" s="11"/>
      <c r="Y457" s="11"/>
      <c r="Z457" s="11"/>
    </row>
    <row r="458" ht="16.5" customHeight="1">
      <c r="A458" s="11"/>
      <c r="B458" s="11"/>
      <c r="C458" s="11"/>
      <c r="D458" s="11"/>
      <c r="E458" s="11"/>
      <c r="F458" s="11"/>
      <c r="G458" s="12"/>
      <c r="H458" s="11"/>
      <c r="I458" s="12"/>
      <c r="J458" s="12"/>
      <c r="K458" s="12"/>
      <c r="L458" s="11"/>
      <c r="M458" s="11"/>
      <c r="N458" s="11"/>
      <c r="O458" s="11"/>
      <c r="P458" s="11"/>
      <c r="Q458" s="11"/>
      <c r="R458" s="11"/>
      <c r="S458" s="11"/>
      <c r="T458" s="11"/>
      <c r="U458" s="11"/>
      <c r="V458" s="11"/>
      <c r="W458" s="11"/>
      <c r="X458" s="11"/>
      <c r="Y458" s="11"/>
      <c r="Z458" s="11"/>
    </row>
    <row r="459" ht="16.5" customHeight="1">
      <c r="A459" s="11"/>
      <c r="B459" s="11"/>
      <c r="C459" s="11"/>
      <c r="D459" s="11"/>
      <c r="E459" s="11"/>
      <c r="F459" s="11"/>
      <c r="G459" s="12"/>
      <c r="H459" s="11"/>
      <c r="I459" s="12"/>
      <c r="J459" s="12"/>
      <c r="K459" s="12"/>
      <c r="L459" s="11"/>
      <c r="M459" s="11"/>
      <c r="N459" s="11"/>
      <c r="O459" s="11"/>
      <c r="P459" s="11"/>
      <c r="Q459" s="11"/>
      <c r="R459" s="11"/>
      <c r="S459" s="11"/>
      <c r="T459" s="11"/>
      <c r="U459" s="11"/>
      <c r="V459" s="11"/>
      <c r="W459" s="11"/>
      <c r="X459" s="11"/>
      <c r="Y459" s="11"/>
      <c r="Z459" s="11"/>
    </row>
    <row r="460" ht="16.5" customHeight="1">
      <c r="A460" s="11"/>
      <c r="B460" s="11"/>
      <c r="C460" s="11"/>
      <c r="D460" s="11"/>
      <c r="E460" s="11"/>
      <c r="F460" s="11"/>
      <c r="G460" s="12"/>
      <c r="H460" s="11"/>
      <c r="I460" s="12"/>
      <c r="J460" s="12"/>
      <c r="K460" s="12"/>
      <c r="L460" s="11"/>
      <c r="M460" s="11"/>
      <c r="N460" s="11"/>
      <c r="O460" s="11"/>
      <c r="P460" s="11"/>
      <c r="Q460" s="11"/>
      <c r="R460" s="11"/>
      <c r="S460" s="11"/>
      <c r="T460" s="11"/>
      <c r="U460" s="11"/>
      <c r="V460" s="11"/>
      <c r="W460" s="11"/>
      <c r="X460" s="11"/>
      <c r="Y460" s="11"/>
      <c r="Z460" s="11"/>
    </row>
    <row r="461" ht="16.5" customHeight="1">
      <c r="A461" s="11"/>
      <c r="B461" s="11"/>
      <c r="C461" s="11"/>
      <c r="D461" s="11"/>
      <c r="E461" s="11"/>
      <c r="F461" s="11"/>
      <c r="G461" s="12"/>
      <c r="H461" s="11"/>
      <c r="I461" s="12"/>
      <c r="J461" s="12"/>
      <c r="K461" s="12"/>
      <c r="L461" s="11"/>
      <c r="M461" s="11"/>
      <c r="N461" s="11"/>
      <c r="O461" s="11"/>
      <c r="P461" s="11"/>
      <c r="Q461" s="11"/>
      <c r="R461" s="11"/>
      <c r="S461" s="11"/>
      <c r="T461" s="11"/>
      <c r="U461" s="11"/>
      <c r="V461" s="11"/>
      <c r="W461" s="11"/>
      <c r="X461" s="11"/>
      <c r="Y461" s="11"/>
      <c r="Z461" s="11"/>
    </row>
    <row r="462" ht="16.5" customHeight="1">
      <c r="A462" s="11"/>
      <c r="B462" s="11"/>
      <c r="C462" s="11"/>
      <c r="D462" s="11"/>
      <c r="E462" s="11"/>
      <c r="F462" s="11"/>
      <c r="G462" s="12"/>
      <c r="H462" s="11"/>
      <c r="I462" s="12"/>
      <c r="J462" s="12"/>
      <c r="K462" s="12"/>
      <c r="L462" s="11"/>
      <c r="M462" s="11"/>
      <c r="N462" s="11"/>
      <c r="O462" s="11"/>
      <c r="P462" s="11"/>
      <c r="Q462" s="11"/>
      <c r="R462" s="11"/>
      <c r="S462" s="11"/>
      <c r="T462" s="11"/>
      <c r="U462" s="11"/>
      <c r="V462" s="11"/>
      <c r="W462" s="11"/>
      <c r="X462" s="11"/>
      <c r="Y462" s="11"/>
      <c r="Z462" s="11"/>
    </row>
    <row r="463" ht="16.5" customHeight="1">
      <c r="A463" s="11"/>
      <c r="B463" s="11"/>
      <c r="C463" s="11"/>
      <c r="D463" s="11"/>
      <c r="E463" s="11"/>
      <c r="F463" s="11"/>
      <c r="G463" s="12"/>
      <c r="H463" s="11"/>
      <c r="I463" s="12"/>
      <c r="J463" s="12"/>
      <c r="K463" s="12"/>
      <c r="L463" s="11"/>
      <c r="M463" s="11"/>
      <c r="N463" s="11"/>
      <c r="O463" s="11"/>
      <c r="P463" s="11"/>
      <c r="Q463" s="11"/>
      <c r="R463" s="11"/>
      <c r="S463" s="11"/>
      <c r="T463" s="11"/>
      <c r="U463" s="11"/>
      <c r="V463" s="11"/>
      <c r="W463" s="11"/>
      <c r="X463" s="11"/>
      <c r="Y463" s="11"/>
      <c r="Z463" s="11"/>
    </row>
    <row r="464" ht="16.5" customHeight="1">
      <c r="A464" s="11"/>
      <c r="B464" s="11"/>
      <c r="C464" s="11"/>
      <c r="D464" s="11"/>
      <c r="E464" s="11"/>
      <c r="F464" s="11"/>
      <c r="G464" s="12"/>
      <c r="H464" s="11"/>
      <c r="I464" s="12"/>
      <c r="J464" s="12"/>
      <c r="K464" s="12"/>
      <c r="L464" s="11"/>
      <c r="M464" s="11"/>
      <c r="N464" s="11"/>
      <c r="O464" s="11"/>
      <c r="P464" s="11"/>
      <c r="Q464" s="11"/>
      <c r="R464" s="11"/>
      <c r="S464" s="11"/>
      <c r="T464" s="11"/>
      <c r="U464" s="11"/>
      <c r="V464" s="11"/>
      <c r="W464" s="11"/>
      <c r="X464" s="11"/>
      <c r="Y464" s="11"/>
      <c r="Z464" s="11"/>
    </row>
    <row r="465" ht="16.5" customHeight="1">
      <c r="A465" s="11"/>
      <c r="B465" s="11"/>
      <c r="C465" s="11"/>
      <c r="D465" s="11"/>
      <c r="E465" s="11"/>
      <c r="F465" s="11"/>
      <c r="G465" s="12"/>
      <c r="H465" s="11"/>
      <c r="I465" s="12"/>
      <c r="J465" s="12"/>
      <c r="K465" s="12"/>
      <c r="L465" s="11"/>
      <c r="M465" s="11"/>
      <c r="N465" s="11"/>
      <c r="O465" s="11"/>
      <c r="P465" s="11"/>
      <c r="Q465" s="11"/>
      <c r="R465" s="11"/>
      <c r="S465" s="11"/>
      <c r="T465" s="11"/>
      <c r="U465" s="11"/>
      <c r="V465" s="11"/>
      <c r="W465" s="11"/>
      <c r="X465" s="11"/>
      <c r="Y465" s="11"/>
      <c r="Z465" s="11"/>
    </row>
    <row r="466" ht="16.5" customHeight="1">
      <c r="A466" s="11"/>
      <c r="B466" s="11"/>
      <c r="C466" s="11"/>
      <c r="D466" s="11"/>
      <c r="E466" s="11"/>
      <c r="F466" s="11"/>
      <c r="G466" s="12"/>
      <c r="H466" s="11"/>
      <c r="I466" s="12"/>
      <c r="J466" s="12"/>
      <c r="K466" s="12"/>
      <c r="L466" s="11"/>
      <c r="M466" s="11"/>
      <c r="N466" s="11"/>
      <c r="O466" s="11"/>
      <c r="P466" s="11"/>
      <c r="Q466" s="11"/>
      <c r="R466" s="11"/>
      <c r="S466" s="11"/>
      <c r="T466" s="11"/>
      <c r="U466" s="11"/>
      <c r="V466" s="11"/>
      <c r="W466" s="11"/>
      <c r="X466" s="11"/>
      <c r="Y466" s="11"/>
      <c r="Z466" s="11"/>
    </row>
    <row r="467" ht="16.5" customHeight="1">
      <c r="A467" s="11"/>
      <c r="B467" s="11"/>
      <c r="C467" s="11"/>
      <c r="D467" s="11"/>
      <c r="E467" s="11"/>
      <c r="F467" s="11"/>
      <c r="G467" s="12"/>
      <c r="H467" s="11"/>
      <c r="I467" s="12"/>
      <c r="J467" s="12"/>
      <c r="K467" s="12"/>
      <c r="L467" s="11"/>
      <c r="M467" s="11"/>
      <c r="N467" s="11"/>
      <c r="O467" s="11"/>
      <c r="P467" s="11"/>
      <c r="Q467" s="11"/>
      <c r="R467" s="11"/>
      <c r="S467" s="11"/>
      <c r="T467" s="11"/>
      <c r="U467" s="11"/>
      <c r="V467" s="11"/>
      <c r="W467" s="11"/>
      <c r="X467" s="11"/>
      <c r="Y467" s="11"/>
      <c r="Z467" s="11"/>
    </row>
    <row r="468" ht="16.5" customHeight="1">
      <c r="A468" s="11"/>
      <c r="B468" s="11"/>
      <c r="C468" s="11"/>
      <c r="D468" s="11"/>
      <c r="E468" s="11"/>
      <c r="F468" s="11"/>
      <c r="G468" s="12"/>
      <c r="H468" s="11"/>
      <c r="I468" s="12"/>
      <c r="J468" s="12"/>
      <c r="K468" s="12"/>
      <c r="L468" s="11"/>
      <c r="M468" s="11"/>
      <c r="N468" s="11"/>
      <c r="O468" s="11"/>
      <c r="P468" s="11"/>
      <c r="Q468" s="11"/>
      <c r="R468" s="11"/>
      <c r="S468" s="11"/>
      <c r="T468" s="11"/>
      <c r="U468" s="11"/>
      <c r="V468" s="11"/>
      <c r="W468" s="11"/>
      <c r="X468" s="11"/>
      <c r="Y468" s="11"/>
      <c r="Z468" s="11"/>
    </row>
    <row r="469" ht="16.5" customHeight="1">
      <c r="A469" s="11"/>
      <c r="B469" s="11"/>
      <c r="C469" s="11"/>
      <c r="D469" s="11"/>
      <c r="E469" s="11"/>
      <c r="F469" s="11"/>
      <c r="G469" s="12"/>
      <c r="H469" s="11"/>
      <c r="I469" s="12"/>
      <c r="J469" s="12"/>
      <c r="K469" s="12"/>
      <c r="L469" s="11"/>
      <c r="M469" s="11"/>
      <c r="N469" s="11"/>
      <c r="O469" s="11"/>
      <c r="P469" s="11"/>
      <c r="Q469" s="11"/>
      <c r="R469" s="11"/>
      <c r="S469" s="11"/>
      <c r="T469" s="11"/>
      <c r="U469" s="11"/>
      <c r="V469" s="11"/>
      <c r="W469" s="11"/>
      <c r="X469" s="11"/>
      <c r="Y469" s="11"/>
      <c r="Z469" s="11"/>
    </row>
    <row r="470" ht="16.5" customHeight="1">
      <c r="A470" s="11"/>
      <c r="B470" s="11"/>
      <c r="C470" s="11"/>
      <c r="D470" s="11"/>
      <c r="E470" s="11"/>
      <c r="F470" s="11"/>
      <c r="G470" s="12"/>
      <c r="H470" s="11"/>
      <c r="I470" s="12"/>
      <c r="J470" s="12"/>
      <c r="K470" s="12"/>
      <c r="L470" s="11"/>
      <c r="M470" s="11"/>
      <c r="N470" s="11"/>
      <c r="O470" s="11"/>
      <c r="P470" s="11"/>
      <c r="Q470" s="11"/>
      <c r="R470" s="11"/>
      <c r="S470" s="11"/>
      <c r="T470" s="11"/>
      <c r="U470" s="11"/>
      <c r="V470" s="11"/>
      <c r="W470" s="11"/>
      <c r="X470" s="11"/>
      <c r="Y470" s="11"/>
      <c r="Z470" s="11"/>
    </row>
    <row r="471" ht="16.5" customHeight="1">
      <c r="A471" s="11"/>
      <c r="B471" s="11"/>
      <c r="C471" s="11"/>
      <c r="D471" s="11"/>
      <c r="E471" s="11"/>
      <c r="F471" s="11"/>
      <c r="G471" s="12"/>
      <c r="H471" s="11"/>
      <c r="I471" s="12"/>
      <c r="J471" s="12"/>
      <c r="K471" s="12"/>
      <c r="L471" s="11"/>
      <c r="M471" s="11"/>
      <c r="N471" s="11"/>
      <c r="O471" s="11"/>
      <c r="P471" s="11"/>
      <c r="Q471" s="11"/>
      <c r="R471" s="11"/>
      <c r="S471" s="11"/>
      <c r="T471" s="11"/>
      <c r="U471" s="11"/>
      <c r="V471" s="11"/>
      <c r="W471" s="11"/>
      <c r="X471" s="11"/>
      <c r="Y471" s="11"/>
      <c r="Z471" s="11"/>
    </row>
    <row r="472" ht="16.5" customHeight="1">
      <c r="A472" s="11"/>
      <c r="B472" s="11"/>
      <c r="C472" s="11"/>
      <c r="D472" s="11"/>
      <c r="E472" s="11"/>
      <c r="F472" s="11"/>
      <c r="G472" s="12"/>
      <c r="H472" s="11"/>
      <c r="I472" s="12"/>
      <c r="J472" s="12"/>
      <c r="K472" s="12"/>
      <c r="L472" s="11"/>
      <c r="M472" s="11"/>
      <c r="N472" s="11"/>
      <c r="O472" s="11"/>
      <c r="P472" s="11"/>
      <c r="Q472" s="11"/>
      <c r="R472" s="11"/>
      <c r="S472" s="11"/>
      <c r="T472" s="11"/>
      <c r="U472" s="11"/>
      <c r="V472" s="11"/>
      <c r="W472" s="11"/>
      <c r="X472" s="11"/>
      <c r="Y472" s="11"/>
      <c r="Z472" s="11"/>
    </row>
    <row r="473" ht="16.5" customHeight="1">
      <c r="A473" s="11"/>
      <c r="B473" s="11"/>
      <c r="C473" s="11"/>
      <c r="D473" s="11"/>
      <c r="E473" s="11"/>
      <c r="F473" s="11"/>
      <c r="G473" s="12"/>
      <c r="H473" s="11"/>
      <c r="I473" s="12"/>
      <c r="J473" s="12"/>
      <c r="K473" s="12"/>
      <c r="L473" s="11"/>
      <c r="M473" s="11"/>
      <c r="N473" s="11"/>
      <c r="O473" s="11"/>
      <c r="P473" s="11"/>
      <c r="Q473" s="11"/>
      <c r="R473" s="11"/>
      <c r="S473" s="11"/>
      <c r="T473" s="11"/>
      <c r="U473" s="11"/>
      <c r="V473" s="11"/>
      <c r="W473" s="11"/>
      <c r="X473" s="11"/>
      <c r="Y473" s="11"/>
      <c r="Z473" s="11"/>
    </row>
    <row r="474" ht="16.5" customHeight="1">
      <c r="A474" s="11"/>
      <c r="B474" s="11"/>
      <c r="C474" s="11"/>
      <c r="D474" s="11"/>
      <c r="E474" s="11"/>
      <c r="F474" s="11"/>
      <c r="G474" s="12"/>
      <c r="H474" s="11"/>
      <c r="I474" s="12"/>
      <c r="J474" s="12"/>
      <c r="K474" s="12"/>
      <c r="L474" s="11"/>
      <c r="M474" s="11"/>
      <c r="N474" s="11"/>
      <c r="O474" s="11"/>
      <c r="P474" s="11"/>
      <c r="Q474" s="11"/>
      <c r="R474" s="11"/>
      <c r="S474" s="11"/>
      <c r="T474" s="11"/>
      <c r="U474" s="11"/>
      <c r="V474" s="11"/>
      <c r="W474" s="11"/>
      <c r="X474" s="11"/>
      <c r="Y474" s="11"/>
      <c r="Z474" s="11"/>
    </row>
    <row r="475" ht="16.5" customHeight="1">
      <c r="A475" s="11"/>
      <c r="B475" s="11"/>
      <c r="C475" s="11"/>
      <c r="D475" s="11"/>
      <c r="E475" s="11"/>
      <c r="F475" s="11"/>
      <c r="G475" s="12"/>
      <c r="H475" s="11"/>
      <c r="I475" s="12"/>
      <c r="J475" s="12"/>
      <c r="K475" s="12"/>
      <c r="L475" s="11"/>
      <c r="M475" s="11"/>
      <c r="N475" s="11"/>
      <c r="O475" s="11"/>
      <c r="P475" s="11"/>
      <c r="Q475" s="11"/>
      <c r="R475" s="11"/>
      <c r="S475" s="11"/>
      <c r="T475" s="11"/>
      <c r="U475" s="11"/>
      <c r="V475" s="11"/>
      <c r="W475" s="11"/>
      <c r="X475" s="11"/>
      <c r="Y475" s="11"/>
      <c r="Z475" s="11"/>
    </row>
    <row r="476" ht="16.5" customHeight="1">
      <c r="A476" s="11"/>
      <c r="B476" s="11"/>
      <c r="C476" s="11"/>
      <c r="D476" s="11"/>
      <c r="E476" s="11"/>
      <c r="F476" s="11"/>
      <c r="G476" s="12"/>
      <c r="H476" s="11"/>
      <c r="I476" s="12"/>
      <c r="J476" s="12"/>
      <c r="K476" s="12"/>
      <c r="L476" s="11"/>
      <c r="M476" s="11"/>
      <c r="N476" s="11"/>
      <c r="O476" s="11"/>
      <c r="P476" s="11"/>
      <c r="Q476" s="11"/>
      <c r="R476" s="11"/>
      <c r="S476" s="11"/>
      <c r="T476" s="11"/>
      <c r="U476" s="11"/>
      <c r="V476" s="11"/>
      <c r="W476" s="11"/>
      <c r="X476" s="11"/>
      <c r="Y476" s="11"/>
      <c r="Z476" s="11"/>
    </row>
    <row r="477" ht="16.5" customHeight="1">
      <c r="A477" s="11"/>
      <c r="B477" s="11"/>
      <c r="C477" s="11"/>
      <c r="D477" s="11"/>
      <c r="E477" s="11"/>
      <c r="F477" s="11"/>
      <c r="G477" s="12"/>
      <c r="H477" s="11"/>
      <c r="I477" s="12"/>
      <c r="J477" s="12"/>
      <c r="K477" s="12"/>
      <c r="L477" s="11"/>
      <c r="M477" s="11"/>
      <c r="N477" s="11"/>
      <c r="O477" s="11"/>
      <c r="P477" s="11"/>
      <c r="Q477" s="11"/>
      <c r="R477" s="11"/>
      <c r="S477" s="11"/>
      <c r="T477" s="11"/>
      <c r="U477" s="11"/>
      <c r="V477" s="11"/>
      <c r="W477" s="11"/>
      <c r="X477" s="11"/>
      <c r="Y477" s="11"/>
      <c r="Z477" s="11"/>
    </row>
    <row r="478" ht="16.5" customHeight="1">
      <c r="A478" s="11"/>
      <c r="B478" s="11"/>
      <c r="C478" s="11"/>
      <c r="D478" s="11"/>
      <c r="E478" s="11"/>
      <c r="F478" s="11"/>
      <c r="G478" s="12"/>
      <c r="H478" s="11"/>
      <c r="I478" s="12"/>
      <c r="J478" s="12"/>
      <c r="K478" s="12"/>
      <c r="L478" s="11"/>
      <c r="M478" s="11"/>
      <c r="N478" s="11"/>
      <c r="O478" s="11"/>
      <c r="P478" s="11"/>
      <c r="Q478" s="11"/>
      <c r="R478" s="11"/>
      <c r="S478" s="11"/>
      <c r="T478" s="11"/>
      <c r="U478" s="11"/>
      <c r="V478" s="11"/>
      <c r="W478" s="11"/>
      <c r="X478" s="11"/>
      <c r="Y478" s="11"/>
      <c r="Z478" s="11"/>
    </row>
    <row r="479" ht="16.5" customHeight="1">
      <c r="A479" s="11"/>
      <c r="B479" s="11"/>
      <c r="C479" s="11"/>
      <c r="D479" s="11"/>
      <c r="E479" s="11"/>
      <c r="F479" s="11"/>
      <c r="G479" s="12"/>
      <c r="H479" s="11"/>
      <c r="I479" s="12"/>
      <c r="J479" s="12"/>
      <c r="K479" s="12"/>
      <c r="L479" s="11"/>
      <c r="M479" s="11"/>
      <c r="N479" s="11"/>
      <c r="O479" s="11"/>
      <c r="P479" s="11"/>
      <c r="Q479" s="11"/>
      <c r="R479" s="11"/>
      <c r="S479" s="11"/>
      <c r="T479" s="11"/>
      <c r="U479" s="11"/>
      <c r="V479" s="11"/>
      <c r="W479" s="11"/>
      <c r="X479" s="11"/>
      <c r="Y479" s="11"/>
      <c r="Z479" s="11"/>
    </row>
    <row r="480" ht="16.5" customHeight="1">
      <c r="A480" s="11"/>
      <c r="B480" s="11"/>
      <c r="C480" s="11"/>
      <c r="D480" s="11"/>
      <c r="E480" s="11"/>
      <c r="F480" s="11"/>
      <c r="G480" s="12"/>
      <c r="H480" s="11"/>
      <c r="I480" s="12"/>
      <c r="J480" s="12"/>
      <c r="K480" s="12"/>
      <c r="L480" s="11"/>
      <c r="M480" s="11"/>
      <c r="N480" s="11"/>
      <c r="O480" s="11"/>
      <c r="P480" s="11"/>
      <c r="Q480" s="11"/>
      <c r="R480" s="11"/>
      <c r="S480" s="11"/>
      <c r="T480" s="11"/>
      <c r="U480" s="11"/>
      <c r="V480" s="11"/>
      <c r="W480" s="11"/>
      <c r="X480" s="11"/>
      <c r="Y480" s="11"/>
      <c r="Z480" s="11"/>
    </row>
    <row r="481" ht="16.5" customHeight="1">
      <c r="A481" s="11"/>
      <c r="B481" s="11"/>
      <c r="C481" s="11"/>
      <c r="D481" s="11"/>
      <c r="E481" s="11"/>
      <c r="F481" s="11"/>
      <c r="G481" s="12"/>
      <c r="H481" s="11"/>
      <c r="I481" s="12"/>
      <c r="J481" s="12"/>
      <c r="K481" s="12"/>
      <c r="L481" s="11"/>
      <c r="M481" s="11"/>
      <c r="N481" s="11"/>
      <c r="O481" s="11"/>
      <c r="P481" s="11"/>
      <c r="Q481" s="11"/>
      <c r="R481" s="11"/>
      <c r="S481" s="11"/>
      <c r="T481" s="11"/>
      <c r="U481" s="11"/>
      <c r="V481" s="11"/>
      <c r="W481" s="11"/>
      <c r="X481" s="11"/>
      <c r="Y481" s="11"/>
      <c r="Z481" s="11"/>
    </row>
    <row r="482" ht="16.5" customHeight="1">
      <c r="A482" s="11"/>
      <c r="B482" s="11"/>
      <c r="C482" s="11"/>
      <c r="D482" s="11"/>
      <c r="E482" s="11"/>
      <c r="F482" s="11"/>
      <c r="G482" s="12"/>
      <c r="H482" s="11"/>
      <c r="I482" s="12"/>
      <c r="J482" s="12"/>
      <c r="K482" s="12"/>
      <c r="L482" s="11"/>
      <c r="M482" s="11"/>
      <c r="N482" s="11"/>
      <c r="O482" s="11"/>
      <c r="P482" s="11"/>
      <c r="Q482" s="11"/>
      <c r="R482" s="11"/>
      <c r="S482" s="11"/>
      <c r="T482" s="11"/>
      <c r="U482" s="11"/>
      <c r="V482" s="11"/>
      <c r="W482" s="11"/>
      <c r="X482" s="11"/>
      <c r="Y482" s="11"/>
      <c r="Z482" s="11"/>
    </row>
    <row r="483" ht="16.5" customHeight="1">
      <c r="A483" s="11"/>
      <c r="B483" s="11"/>
      <c r="C483" s="11"/>
      <c r="D483" s="11"/>
      <c r="E483" s="11"/>
      <c r="F483" s="11"/>
      <c r="G483" s="12"/>
      <c r="H483" s="11"/>
      <c r="I483" s="12"/>
      <c r="J483" s="12"/>
      <c r="K483" s="12"/>
      <c r="L483" s="11"/>
      <c r="M483" s="11"/>
      <c r="N483" s="11"/>
      <c r="O483" s="11"/>
      <c r="P483" s="11"/>
      <c r="Q483" s="11"/>
      <c r="R483" s="11"/>
      <c r="S483" s="11"/>
      <c r="T483" s="11"/>
      <c r="U483" s="11"/>
      <c r="V483" s="11"/>
      <c r="W483" s="11"/>
      <c r="X483" s="11"/>
      <c r="Y483" s="11"/>
      <c r="Z483" s="11"/>
    </row>
    <row r="484" ht="16.5" customHeight="1">
      <c r="A484" s="11"/>
      <c r="B484" s="11"/>
      <c r="C484" s="11"/>
      <c r="D484" s="11"/>
      <c r="E484" s="11"/>
      <c r="F484" s="11"/>
      <c r="G484" s="12"/>
      <c r="H484" s="11"/>
      <c r="I484" s="12"/>
      <c r="J484" s="12"/>
      <c r="K484" s="12"/>
      <c r="L484" s="11"/>
      <c r="M484" s="11"/>
      <c r="N484" s="11"/>
      <c r="O484" s="11"/>
      <c r="P484" s="11"/>
      <c r="Q484" s="11"/>
      <c r="R484" s="11"/>
      <c r="S484" s="11"/>
      <c r="T484" s="11"/>
      <c r="U484" s="11"/>
      <c r="V484" s="11"/>
      <c r="W484" s="11"/>
      <c r="X484" s="11"/>
      <c r="Y484" s="11"/>
      <c r="Z484" s="11"/>
    </row>
    <row r="485" ht="16.5" customHeight="1">
      <c r="A485" s="11"/>
      <c r="B485" s="11"/>
      <c r="C485" s="11"/>
      <c r="D485" s="11"/>
      <c r="E485" s="11"/>
      <c r="F485" s="11"/>
      <c r="G485" s="12"/>
      <c r="H485" s="11"/>
      <c r="I485" s="12"/>
      <c r="J485" s="12"/>
      <c r="K485" s="12"/>
      <c r="L485" s="11"/>
      <c r="M485" s="11"/>
      <c r="N485" s="11"/>
      <c r="O485" s="11"/>
      <c r="P485" s="11"/>
      <c r="Q485" s="11"/>
      <c r="R485" s="11"/>
      <c r="S485" s="11"/>
      <c r="T485" s="11"/>
      <c r="U485" s="11"/>
      <c r="V485" s="11"/>
      <c r="W485" s="11"/>
      <c r="X485" s="11"/>
      <c r="Y485" s="11"/>
      <c r="Z485" s="11"/>
    </row>
    <row r="486" ht="16.5" customHeight="1">
      <c r="A486" s="11"/>
      <c r="B486" s="11"/>
      <c r="C486" s="11"/>
      <c r="D486" s="11"/>
      <c r="E486" s="11"/>
      <c r="F486" s="11"/>
      <c r="G486" s="12"/>
      <c r="H486" s="11"/>
      <c r="I486" s="12"/>
      <c r="J486" s="12"/>
      <c r="K486" s="12"/>
      <c r="L486" s="11"/>
      <c r="M486" s="11"/>
      <c r="N486" s="11"/>
      <c r="O486" s="11"/>
      <c r="P486" s="11"/>
      <c r="Q486" s="11"/>
      <c r="R486" s="11"/>
      <c r="S486" s="11"/>
      <c r="T486" s="11"/>
      <c r="U486" s="11"/>
      <c r="V486" s="11"/>
      <c r="W486" s="11"/>
      <c r="X486" s="11"/>
      <c r="Y486" s="11"/>
      <c r="Z486" s="11"/>
    </row>
    <row r="487" ht="16.5" customHeight="1">
      <c r="A487" s="11"/>
      <c r="B487" s="11"/>
      <c r="C487" s="11"/>
      <c r="D487" s="11"/>
      <c r="E487" s="11"/>
      <c r="F487" s="11"/>
      <c r="G487" s="12"/>
      <c r="H487" s="11"/>
      <c r="I487" s="12"/>
      <c r="J487" s="12"/>
      <c r="K487" s="12"/>
      <c r="L487" s="11"/>
      <c r="M487" s="11"/>
      <c r="N487" s="11"/>
      <c r="O487" s="11"/>
      <c r="P487" s="11"/>
      <c r="Q487" s="11"/>
      <c r="R487" s="11"/>
      <c r="S487" s="11"/>
      <c r="T487" s="11"/>
      <c r="U487" s="11"/>
      <c r="V487" s="11"/>
      <c r="W487" s="11"/>
      <c r="X487" s="11"/>
      <c r="Y487" s="11"/>
      <c r="Z487" s="11"/>
    </row>
    <row r="488" ht="16.5" customHeight="1">
      <c r="A488" s="11"/>
      <c r="B488" s="11"/>
      <c r="C488" s="11"/>
      <c r="D488" s="11"/>
      <c r="E488" s="11"/>
      <c r="F488" s="11"/>
      <c r="G488" s="12"/>
      <c r="H488" s="11"/>
      <c r="I488" s="12"/>
      <c r="J488" s="12"/>
      <c r="K488" s="12"/>
      <c r="L488" s="11"/>
      <c r="M488" s="11"/>
      <c r="N488" s="11"/>
      <c r="O488" s="11"/>
      <c r="P488" s="11"/>
      <c r="Q488" s="11"/>
      <c r="R488" s="11"/>
      <c r="S488" s="11"/>
      <c r="T488" s="11"/>
      <c r="U488" s="11"/>
      <c r="V488" s="11"/>
      <c r="W488" s="11"/>
      <c r="X488" s="11"/>
      <c r="Y488" s="11"/>
      <c r="Z488" s="11"/>
    </row>
    <row r="489" ht="16.5" customHeight="1">
      <c r="A489" s="11"/>
      <c r="B489" s="11"/>
      <c r="C489" s="11"/>
      <c r="D489" s="11"/>
      <c r="E489" s="11"/>
      <c r="F489" s="11"/>
      <c r="G489" s="12"/>
      <c r="H489" s="11"/>
      <c r="I489" s="12"/>
      <c r="J489" s="12"/>
      <c r="K489" s="12"/>
      <c r="L489" s="11"/>
      <c r="M489" s="11"/>
      <c r="N489" s="11"/>
      <c r="O489" s="11"/>
      <c r="P489" s="11"/>
      <c r="Q489" s="11"/>
      <c r="R489" s="11"/>
      <c r="S489" s="11"/>
      <c r="T489" s="11"/>
      <c r="U489" s="11"/>
      <c r="V489" s="11"/>
      <c r="W489" s="11"/>
      <c r="X489" s="11"/>
      <c r="Y489" s="11"/>
      <c r="Z489" s="11"/>
    </row>
    <row r="490" ht="16.5" customHeight="1">
      <c r="A490" s="11"/>
      <c r="B490" s="11"/>
      <c r="C490" s="11"/>
      <c r="D490" s="11"/>
      <c r="E490" s="11"/>
      <c r="F490" s="11"/>
      <c r="G490" s="12"/>
      <c r="H490" s="11"/>
      <c r="I490" s="12"/>
      <c r="J490" s="12"/>
      <c r="K490" s="12"/>
      <c r="L490" s="11"/>
      <c r="M490" s="11"/>
      <c r="N490" s="11"/>
      <c r="O490" s="11"/>
      <c r="P490" s="11"/>
      <c r="Q490" s="11"/>
      <c r="R490" s="11"/>
      <c r="S490" s="11"/>
      <c r="T490" s="11"/>
      <c r="U490" s="11"/>
      <c r="V490" s="11"/>
      <c r="W490" s="11"/>
      <c r="X490" s="11"/>
      <c r="Y490" s="11"/>
      <c r="Z490" s="11"/>
    </row>
    <row r="491" ht="16.5" customHeight="1">
      <c r="A491" s="11"/>
      <c r="B491" s="11"/>
      <c r="C491" s="11"/>
      <c r="D491" s="11"/>
      <c r="E491" s="11"/>
      <c r="F491" s="11"/>
      <c r="G491" s="12"/>
      <c r="H491" s="11"/>
      <c r="I491" s="12"/>
      <c r="J491" s="12"/>
      <c r="K491" s="12"/>
      <c r="L491" s="11"/>
      <c r="M491" s="11"/>
      <c r="N491" s="11"/>
      <c r="O491" s="11"/>
      <c r="P491" s="11"/>
      <c r="Q491" s="11"/>
      <c r="R491" s="11"/>
      <c r="S491" s="11"/>
      <c r="T491" s="11"/>
      <c r="U491" s="11"/>
      <c r="V491" s="11"/>
      <c r="W491" s="11"/>
      <c r="X491" s="11"/>
      <c r="Y491" s="11"/>
      <c r="Z491" s="11"/>
    </row>
    <row r="492" ht="16.5" customHeight="1">
      <c r="A492" s="11"/>
      <c r="B492" s="11"/>
      <c r="C492" s="11"/>
      <c r="D492" s="11"/>
      <c r="E492" s="11"/>
      <c r="F492" s="11"/>
      <c r="G492" s="12"/>
      <c r="H492" s="11"/>
      <c r="I492" s="12"/>
      <c r="J492" s="12"/>
      <c r="K492" s="12"/>
      <c r="L492" s="11"/>
      <c r="M492" s="11"/>
      <c r="N492" s="11"/>
      <c r="O492" s="11"/>
      <c r="P492" s="11"/>
      <c r="Q492" s="11"/>
      <c r="R492" s="11"/>
      <c r="S492" s="11"/>
      <c r="T492" s="11"/>
      <c r="U492" s="11"/>
      <c r="V492" s="11"/>
      <c r="W492" s="11"/>
      <c r="X492" s="11"/>
      <c r="Y492" s="11"/>
      <c r="Z492" s="11"/>
    </row>
    <row r="493" ht="16.5" customHeight="1">
      <c r="A493" s="11"/>
      <c r="B493" s="11"/>
      <c r="C493" s="11"/>
      <c r="D493" s="11"/>
      <c r="E493" s="11"/>
      <c r="F493" s="11"/>
      <c r="G493" s="12"/>
      <c r="H493" s="11"/>
      <c r="I493" s="12"/>
      <c r="J493" s="12"/>
      <c r="K493" s="12"/>
      <c r="L493" s="11"/>
      <c r="M493" s="11"/>
      <c r="N493" s="11"/>
      <c r="O493" s="11"/>
      <c r="P493" s="11"/>
      <c r="Q493" s="11"/>
      <c r="R493" s="11"/>
      <c r="S493" s="11"/>
      <c r="T493" s="11"/>
      <c r="U493" s="11"/>
      <c r="V493" s="11"/>
      <c r="W493" s="11"/>
      <c r="X493" s="11"/>
      <c r="Y493" s="11"/>
      <c r="Z493" s="11"/>
    </row>
    <row r="494" ht="16.5" customHeight="1">
      <c r="A494" s="11"/>
      <c r="B494" s="11"/>
      <c r="C494" s="11"/>
      <c r="D494" s="11"/>
      <c r="E494" s="11"/>
      <c r="F494" s="11"/>
      <c r="G494" s="12"/>
      <c r="H494" s="11"/>
      <c r="I494" s="12"/>
      <c r="J494" s="12"/>
      <c r="K494" s="12"/>
      <c r="L494" s="11"/>
      <c r="M494" s="11"/>
      <c r="N494" s="11"/>
      <c r="O494" s="11"/>
      <c r="P494" s="11"/>
      <c r="Q494" s="11"/>
      <c r="R494" s="11"/>
      <c r="S494" s="11"/>
      <c r="T494" s="11"/>
      <c r="U494" s="11"/>
      <c r="V494" s="11"/>
      <c r="W494" s="11"/>
      <c r="X494" s="11"/>
      <c r="Y494" s="11"/>
      <c r="Z494" s="11"/>
    </row>
    <row r="495" ht="16.5" customHeight="1">
      <c r="A495" s="11"/>
      <c r="B495" s="11"/>
      <c r="C495" s="11"/>
      <c r="D495" s="11"/>
      <c r="E495" s="11"/>
      <c r="F495" s="11"/>
      <c r="G495" s="12"/>
      <c r="H495" s="11"/>
      <c r="I495" s="12"/>
      <c r="J495" s="12"/>
      <c r="K495" s="12"/>
      <c r="L495" s="11"/>
      <c r="M495" s="11"/>
      <c r="N495" s="11"/>
      <c r="O495" s="11"/>
      <c r="P495" s="11"/>
      <c r="Q495" s="11"/>
      <c r="R495" s="11"/>
      <c r="S495" s="11"/>
      <c r="T495" s="11"/>
      <c r="U495" s="11"/>
      <c r="V495" s="11"/>
      <c r="W495" s="11"/>
      <c r="X495" s="11"/>
      <c r="Y495" s="11"/>
      <c r="Z495" s="11"/>
    </row>
    <row r="496" ht="16.5" customHeight="1">
      <c r="A496" s="11"/>
      <c r="B496" s="11"/>
      <c r="C496" s="11"/>
      <c r="D496" s="11"/>
      <c r="E496" s="11"/>
      <c r="F496" s="11"/>
      <c r="G496" s="12"/>
      <c r="H496" s="11"/>
      <c r="I496" s="12"/>
      <c r="J496" s="12"/>
      <c r="K496" s="12"/>
      <c r="L496" s="11"/>
      <c r="M496" s="11"/>
      <c r="N496" s="11"/>
      <c r="O496" s="11"/>
      <c r="P496" s="11"/>
      <c r="Q496" s="11"/>
      <c r="R496" s="11"/>
      <c r="S496" s="11"/>
      <c r="T496" s="11"/>
      <c r="U496" s="11"/>
      <c r="V496" s="11"/>
      <c r="W496" s="11"/>
      <c r="X496" s="11"/>
      <c r="Y496" s="11"/>
      <c r="Z496" s="11"/>
    </row>
    <row r="497" ht="16.5" customHeight="1">
      <c r="A497" s="11"/>
      <c r="B497" s="11"/>
      <c r="C497" s="11"/>
      <c r="D497" s="11"/>
      <c r="E497" s="11"/>
      <c r="F497" s="11"/>
      <c r="G497" s="12"/>
      <c r="H497" s="11"/>
      <c r="I497" s="12"/>
      <c r="J497" s="12"/>
      <c r="K497" s="12"/>
      <c r="L497" s="11"/>
      <c r="M497" s="11"/>
      <c r="N497" s="11"/>
      <c r="O497" s="11"/>
      <c r="P497" s="11"/>
      <c r="Q497" s="11"/>
      <c r="R497" s="11"/>
      <c r="S497" s="11"/>
      <c r="T497" s="11"/>
      <c r="U497" s="11"/>
      <c r="V497" s="11"/>
      <c r="W497" s="11"/>
      <c r="X497" s="11"/>
      <c r="Y497" s="11"/>
      <c r="Z497" s="11"/>
    </row>
    <row r="498" ht="16.5" customHeight="1">
      <c r="A498" s="11"/>
      <c r="B498" s="11"/>
      <c r="C498" s="11"/>
      <c r="D498" s="11"/>
      <c r="E498" s="11"/>
      <c r="F498" s="11"/>
      <c r="G498" s="12"/>
      <c r="H498" s="11"/>
      <c r="I498" s="12"/>
      <c r="J498" s="12"/>
      <c r="K498" s="12"/>
      <c r="L498" s="11"/>
      <c r="M498" s="11"/>
      <c r="N498" s="11"/>
      <c r="O498" s="11"/>
      <c r="P498" s="11"/>
      <c r="Q498" s="11"/>
      <c r="R498" s="11"/>
      <c r="S498" s="11"/>
      <c r="T498" s="11"/>
      <c r="U498" s="11"/>
      <c r="V498" s="11"/>
      <c r="W498" s="11"/>
      <c r="X498" s="11"/>
      <c r="Y498" s="11"/>
      <c r="Z498" s="11"/>
    </row>
    <row r="499" ht="16.5" customHeight="1">
      <c r="A499" s="11"/>
      <c r="B499" s="11"/>
      <c r="C499" s="11"/>
      <c r="D499" s="11"/>
      <c r="E499" s="11"/>
      <c r="F499" s="11"/>
      <c r="G499" s="12"/>
      <c r="H499" s="11"/>
      <c r="I499" s="12"/>
      <c r="J499" s="12"/>
      <c r="K499" s="12"/>
      <c r="L499" s="11"/>
      <c r="M499" s="11"/>
      <c r="N499" s="11"/>
      <c r="O499" s="11"/>
      <c r="P499" s="11"/>
      <c r="Q499" s="11"/>
      <c r="R499" s="11"/>
      <c r="S499" s="11"/>
      <c r="T499" s="11"/>
      <c r="U499" s="11"/>
      <c r="V499" s="11"/>
      <c r="W499" s="11"/>
      <c r="X499" s="11"/>
      <c r="Y499" s="11"/>
      <c r="Z499" s="11"/>
    </row>
    <row r="500" ht="16.5" customHeight="1">
      <c r="A500" s="11"/>
      <c r="B500" s="11"/>
      <c r="C500" s="11"/>
      <c r="D500" s="11"/>
      <c r="E500" s="11"/>
      <c r="F500" s="11"/>
      <c r="G500" s="12"/>
      <c r="H500" s="11"/>
      <c r="I500" s="12"/>
      <c r="J500" s="12"/>
      <c r="K500" s="12"/>
      <c r="L500" s="11"/>
      <c r="M500" s="11"/>
      <c r="N500" s="11"/>
      <c r="O500" s="11"/>
      <c r="P500" s="11"/>
      <c r="Q500" s="11"/>
      <c r="R500" s="11"/>
      <c r="S500" s="11"/>
      <c r="T500" s="11"/>
      <c r="U500" s="11"/>
      <c r="V500" s="11"/>
      <c r="W500" s="11"/>
      <c r="X500" s="11"/>
      <c r="Y500" s="11"/>
      <c r="Z500" s="11"/>
    </row>
    <row r="501" ht="16.5" customHeight="1">
      <c r="A501" s="11"/>
      <c r="B501" s="11"/>
      <c r="C501" s="11"/>
      <c r="D501" s="11"/>
      <c r="E501" s="11"/>
      <c r="F501" s="11"/>
      <c r="G501" s="12"/>
      <c r="H501" s="11"/>
      <c r="I501" s="12"/>
      <c r="J501" s="12"/>
      <c r="K501" s="12"/>
      <c r="L501" s="11"/>
      <c r="M501" s="11"/>
      <c r="N501" s="11"/>
      <c r="O501" s="11"/>
      <c r="P501" s="11"/>
      <c r="Q501" s="11"/>
      <c r="R501" s="11"/>
      <c r="S501" s="11"/>
      <c r="T501" s="11"/>
      <c r="U501" s="11"/>
      <c r="V501" s="11"/>
      <c r="W501" s="11"/>
      <c r="X501" s="11"/>
      <c r="Y501" s="11"/>
      <c r="Z501" s="11"/>
    </row>
    <row r="502" ht="16.5" customHeight="1">
      <c r="A502" s="11"/>
      <c r="B502" s="11"/>
      <c r="C502" s="11"/>
      <c r="D502" s="11"/>
      <c r="E502" s="11"/>
      <c r="F502" s="11"/>
      <c r="G502" s="12"/>
      <c r="H502" s="11"/>
      <c r="I502" s="12"/>
      <c r="J502" s="12"/>
      <c r="K502" s="12"/>
      <c r="L502" s="11"/>
      <c r="M502" s="11"/>
      <c r="N502" s="11"/>
      <c r="O502" s="11"/>
      <c r="P502" s="11"/>
      <c r="Q502" s="11"/>
      <c r="R502" s="11"/>
      <c r="S502" s="11"/>
      <c r="T502" s="11"/>
      <c r="U502" s="11"/>
      <c r="V502" s="11"/>
      <c r="W502" s="11"/>
      <c r="X502" s="11"/>
      <c r="Y502" s="11"/>
      <c r="Z502" s="11"/>
    </row>
    <row r="503" ht="16.5" customHeight="1">
      <c r="A503" s="11"/>
      <c r="B503" s="11"/>
      <c r="C503" s="11"/>
      <c r="D503" s="11"/>
      <c r="E503" s="11"/>
      <c r="F503" s="11"/>
      <c r="G503" s="12"/>
      <c r="H503" s="11"/>
      <c r="I503" s="12"/>
      <c r="J503" s="12"/>
      <c r="K503" s="12"/>
      <c r="L503" s="11"/>
      <c r="M503" s="11"/>
      <c r="N503" s="11"/>
      <c r="O503" s="11"/>
      <c r="P503" s="11"/>
      <c r="Q503" s="11"/>
      <c r="R503" s="11"/>
      <c r="S503" s="11"/>
      <c r="T503" s="11"/>
      <c r="U503" s="11"/>
      <c r="V503" s="11"/>
      <c r="W503" s="11"/>
      <c r="X503" s="11"/>
      <c r="Y503" s="11"/>
      <c r="Z503" s="11"/>
    </row>
    <row r="504" ht="16.5" customHeight="1">
      <c r="A504" s="11"/>
      <c r="B504" s="11"/>
      <c r="C504" s="11"/>
      <c r="D504" s="11"/>
      <c r="E504" s="11"/>
      <c r="F504" s="11"/>
      <c r="G504" s="12"/>
      <c r="H504" s="11"/>
      <c r="I504" s="12"/>
      <c r="J504" s="12"/>
      <c r="K504" s="12"/>
      <c r="L504" s="11"/>
      <c r="M504" s="11"/>
      <c r="N504" s="11"/>
      <c r="O504" s="11"/>
      <c r="P504" s="11"/>
      <c r="Q504" s="11"/>
      <c r="R504" s="11"/>
      <c r="S504" s="11"/>
      <c r="T504" s="11"/>
      <c r="U504" s="11"/>
      <c r="V504" s="11"/>
      <c r="W504" s="11"/>
      <c r="X504" s="11"/>
      <c r="Y504" s="11"/>
      <c r="Z504" s="11"/>
    </row>
    <row r="505" ht="16.5" customHeight="1">
      <c r="A505" s="11"/>
      <c r="B505" s="11"/>
      <c r="C505" s="11"/>
      <c r="D505" s="11"/>
      <c r="E505" s="11"/>
      <c r="F505" s="11"/>
      <c r="G505" s="12"/>
      <c r="H505" s="11"/>
      <c r="I505" s="12"/>
      <c r="J505" s="12"/>
      <c r="K505" s="12"/>
      <c r="L505" s="11"/>
      <c r="M505" s="11"/>
      <c r="N505" s="11"/>
      <c r="O505" s="11"/>
      <c r="P505" s="11"/>
      <c r="Q505" s="11"/>
      <c r="R505" s="11"/>
      <c r="S505" s="11"/>
      <c r="T505" s="11"/>
      <c r="U505" s="11"/>
      <c r="V505" s="11"/>
      <c r="W505" s="11"/>
      <c r="X505" s="11"/>
      <c r="Y505" s="11"/>
      <c r="Z505" s="11"/>
    </row>
    <row r="506" ht="16.5" customHeight="1">
      <c r="A506" s="11"/>
      <c r="B506" s="11"/>
      <c r="C506" s="11"/>
      <c r="D506" s="11"/>
      <c r="E506" s="11"/>
      <c r="F506" s="11"/>
      <c r="G506" s="12"/>
      <c r="H506" s="11"/>
      <c r="I506" s="12"/>
      <c r="J506" s="12"/>
      <c r="K506" s="12"/>
      <c r="L506" s="11"/>
      <c r="M506" s="11"/>
      <c r="N506" s="11"/>
      <c r="O506" s="11"/>
      <c r="P506" s="11"/>
      <c r="Q506" s="11"/>
      <c r="R506" s="11"/>
      <c r="S506" s="11"/>
      <c r="T506" s="11"/>
      <c r="U506" s="11"/>
      <c r="V506" s="11"/>
      <c r="W506" s="11"/>
      <c r="X506" s="11"/>
      <c r="Y506" s="11"/>
      <c r="Z506" s="11"/>
    </row>
    <row r="507" ht="16.5" customHeight="1">
      <c r="A507" s="11"/>
      <c r="B507" s="11"/>
      <c r="C507" s="11"/>
      <c r="D507" s="11"/>
      <c r="E507" s="11"/>
      <c r="F507" s="11"/>
      <c r="G507" s="12"/>
      <c r="H507" s="11"/>
      <c r="I507" s="12"/>
      <c r="J507" s="12"/>
      <c r="K507" s="12"/>
      <c r="L507" s="11"/>
      <c r="M507" s="11"/>
      <c r="N507" s="11"/>
      <c r="O507" s="11"/>
      <c r="P507" s="11"/>
      <c r="Q507" s="11"/>
      <c r="R507" s="11"/>
      <c r="S507" s="11"/>
      <c r="T507" s="11"/>
      <c r="U507" s="11"/>
      <c r="V507" s="11"/>
      <c r="W507" s="11"/>
      <c r="X507" s="11"/>
      <c r="Y507" s="11"/>
      <c r="Z507" s="11"/>
    </row>
    <row r="508" ht="16.5" customHeight="1">
      <c r="A508" s="11"/>
      <c r="B508" s="11"/>
      <c r="C508" s="11"/>
      <c r="D508" s="11"/>
      <c r="E508" s="11"/>
      <c r="F508" s="11"/>
      <c r="G508" s="12"/>
      <c r="H508" s="11"/>
      <c r="I508" s="12"/>
      <c r="J508" s="12"/>
      <c r="K508" s="12"/>
      <c r="L508" s="11"/>
      <c r="M508" s="11"/>
      <c r="N508" s="11"/>
      <c r="O508" s="11"/>
      <c r="P508" s="11"/>
      <c r="Q508" s="11"/>
      <c r="R508" s="11"/>
      <c r="S508" s="11"/>
      <c r="T508" s="11"/>
      <c r="U508" s="11"/>
      <c r="V508" s="11"/>
      <c r="W508" s="11"/>
      <c r="X508" s="11"/>
      <c r="Y508" s="11"/>
      <c r="Z508" s="11"/>
    </row>
    <row r="509" ht="16.5" customHeight="1">
      <c r="A509" s="11"/>
      <c r="B509" s="11"/>
      <c r="C509" s="11"/>
      <c r="D509" s="11"/>
      <c r="E509" s="11"/>
      <c r="F509" s="11"/>
      <c r="G509" s="12"/>
      <c r="H509" s="11"/>
      <c r="I509" s="12"/>
      <c r="J509" s="12"/>
      <c r="K509" s="12"/>
      <c r="L509" s="11"/>
      <c r="M509" s="11"/>
      <c r="N509" s="11"/>
      <c r="O509" s="11"/>
      <c r="P509" s="11"/>
      <c r="Q509" s="11"/>
      <c r="R509" s="11"/>
      <c r="S509" s="11"/>
      <c r="T509" s="11"/>
      <c r="U509" s="11"/>
      <c r="V509" s="11"/>
      <c r="W509" s="11"/>
      <c r="X509" s="11"/>
      <c r="Y509" s="11"/>
      <c r="Z509" s="11"/>
    </row>
    <row r="510" ht="16.5" customHeight="1">
      <c r="A510" s="11"/>
      <c r="B510" s="11"/>
      <c r="C510" s="11"/>
      <c r="D510" s="11"/>
      <c r="E510" s="11"/>
      <c r="F510" s="11"/>
      <c r="G510" s="12"/>
      <c r="H510" s="11"/>
      <c r="I510" s="12"/>
      <c r="J510" s="12"/>
      <c r="K510" s="12"/>
      <c r="L510" s="11"/>
      <c r="M510" s="11"/>
      <c r="N510" s="11"/>
      <c r="O510" s="11"/>
      <c r="P510" s="11"/>
      <c r="Q510" s="11"/>
      <c r="R510" s="11"/>
      <c r="S510" s="11"/>
      <c r="T510" s="11"/>
      <c r="U510" s="11"/>
      <c r="V510" s="11"/>
      <c r="W510" s="11"/>
      <c r="X510" s="11"/>
      <c r="Y510" s="11"/>
      <c r="Z510" s="11"/>
    </row>
    <row r="511" ht="16.5" customHeight="1">
      <c r="A511" s="11"/>
      <c r="B511" s="11"/>
      <c r="C511" s="11"/>
      <c r="D511" s="11"/>
      <c r="E511" s="11"/>
      <c r="F511" s="11"/>
      <c r="G511" s="12"/>
      <c r="H511" s="11"/>
      <c r="I511" s="12"/>
      <c r="J511" s="12"/>
      <c r="K511" s="12"/>
      <c r="L511" s="11"/>
      <c r="M511" s="11"/>
      <c r="N511" s="11"/>
      <c r="O511" s="11"/>
      <c r="P511" s="11"/>
      <c r="Q511" s="11"/>
      <c r="R511" s="11"/>
      <c r="S511" s="11"/>
      <c r="T511" s="11"/>
      <c r="U511" s="11"/>
      <c r="V511" s="11"/>
      <c r="W511" s="11"/>
      <c r="X511" s="11"/>
      <c r="Y511" s="11"/>
      <c r="Z511" s="11"/>
    </row>
    <row r="512" ht="16.5" customHeight="1">
      <c r="A512" s="11"/>
      <c r="B512" s="11"/>
      <c r="C512" s="11"/>
      <c r="D512" s="11"/>
      <c r="E512" s="11"/>
      <c r="F512" s="11"/>
      <c r="G512" s="12"/>
      <c r="H512" s="11"/>
      <c r="I512" s="12"/>
      <c r="J512" s="12"/>
      <c r="K512" s="12"/>
      <c r="L512" s="11"/>
      <c r="M512" s="11"/>
      <c r="N512" s="11"/>
      <c r="O512" s="11"/>
      <c r="P512" s="11"/>
      <c r="Q512" s="11"/>
      <c r="R512" s="11"/>
      <c r="S512" s="11"/>
      <c r="T512" s="11"/>
      <c r="U512" s="11"/>
      <c r="V512" s="11"/>
      <c r="W512" s="11"/>
      <c r="X512" s="11"/>
      <c r="Y512" s="11"/>
      <c r="Z512" s="11"/>
    </row>
    <row r="513" ht="16.5" customHeight="1">
      <c r="A513" s="11"/>
      <c r="B513" s="11"/>
      <c r="C513" s="11"/>
      <c r="D513" s="11"/>
      <c r="E513" s="11"/>
      <c r="F513" s="11"/>
      <c r="G513" s="12"/>
      <c r="H513" s="11"/>
      <c r="I513" s="12"/>
      <c r="J513" s="12"/>
      <c r="K513" s="12"/>
      <c r="L513" s="11"/>
      <c r="M513" s="11"/>
      <c r="N513" s="11"/>
      <c r="O513" s="11"/>
      <c r="P513" s="11"/>
      <c r="Q513" s="11"/>
      <c r="R513" s="11"/>
      <c r="S513" s="11"/>
      <c r="T513" s="11"/>
      <c r="U513" s="11"/>
      <c r="V513" s="11"/>
      <c r="W513" s="11"/>
      <c r="X513" s="11"/>
      <c r="Y513" s="11"/>
      <c r="Z513" s="11"/>
    </row>
    <row r="514" ht="16.5" customHeight="1">
      <c r="A514" s="11"/>
      <c r="B514" s="11"/>
      <c r="C514" s="11"/>
      <c r="D514" s="11"/>
      <c r="E514" s="11"/>
      <c r="F514" s="11"/>
      <c r="G514" s="12"/>
      <c r="H514" s="11"/>
      <c r="I514" s="12"/>
      <c r="J514" s="12"/>
      <c r="K514" s="12"/>
      <c r="L514" s="11"/>
      <c r="M514" s="11"/>
      <c r="N514" s="11"/>
      <c r="O514" s="11"/>
      <c r="P514" s="11"/>
      <c r="Q514" s="11"/>
      <c r="R514" s="11"/>
      <c r="S514" s="11"/>
      <c r="T514" s="11"/>
      <c r="U514" s="11"/>
      <c r="V514" s="11"/>
      <c r="W514" s="11"/>
      <c r="X514" s="11"/>
      <c r="Y514" s="11"/>
      <c r="Z514" s="11"/>
    </row>
    <row r="515" ht="16.5" customHeight="1">
      <c r="A515" s="11"/>
      <c r="B515" s="11"/>
      <c r="C515" s="11"/>
      <c r="D515" s="11"/>
      <c r="E515" s="11"/>
      <c r="F515" s="11"/>
      <c r="G515" s="12"/>
      <c r="H515" s="11"/>
      <c r="I515" s="12"/>
      <c r="J515" s="12"/>
      <c r="K515" s="12"/>
      <c r="L515" s="11"/>
      <c r="M515" s="11"/>
      <c r="N515" s="11"/>
      <c r="O515" s="11"/>
      <c r="P515" s="11"/>
      <c r="Q515" s="11"/>
      <c r="R515" s="11"/>
      <c r="S515" s="11"/>
      <c r="T515" s="11"/>
      <c r="U515" s="11"/>
      <c r="V515" s="11"/>
      <c r="W515" s="11"/>
      <c r="X515" s="11"/>
      <c r="Y515" s="11"/>
      <c r="Z515" s="11"/>
    </row>
    <row r="516" ht="16.5" customHeight="1">
      <c r="A516" s="11"/>
      <c r="B516" s="11"/>
      <c r="C516" s="11"/>
      <c r="D516" s="11"/>
      <c r="E516" s="11"/>
      <c r="F516" s="11"/>
      <c r="G516" s="12"/>
      <c r="H516" s="11"/>
      <c r="I516" s="12"/>
      <c r="J516" s="12"/>
      <c r="K516" s="12"/>
      <c r="L516" s="11"/>
      <c r="M516" s="11"/>
      <c r="N516" s="11"/>
      <c r="O516" s="11"/>
      <c r="P516" s="11"/>
      <c r="Q516" s="11"/>
      <c r="R516" s="11"/>
      <c r="S516" s="11"/>
      <c r="T516" s="11"/>
      <c r="U516" s="11"/>
      <c r="V516" s="11"/>
      <c r="W516" s="11"/>
      <c r="X516" s="11"/>
      <c r="Y516" s="11"/>
      <c r="Z516" s="11"/>
    </row>
    <row r="517" ht="16.5" customHeight="1">
      <c r="A517" s="11"/>
      <c r="B517" s="11"/>
      <c r="C517" s="11"/>
      <c r="D517" s="11"/>
      <c r="E517" s="11"/>
      <c r="F517" s="11"/>
      <c r="G517" s="12"/>
      <c r="H517" s="11"/>
      <c r="I517" s="12"/>
      <c r="J517" s="12"/>
      <c r="K517" s="12"/>
      <c r="L517" s="11"/>
      <c r="M517" s="11"/>
      <c r="N517" s="11"/>
      <c r="O517" s="11"/>
      <c r="P517" s="11"/>
      <c r="Q517" s="11"/>
      <c r="R517" s="11"/>
      <c r="S517" s="11"/>
      <c r="T517" s="11"/>
      <c r="U517" s="11"/>
      <c r="V517" s="11"/>
      <c r="W517" s="11"/>
      <c r="X517" s="11"/>
      <c r="Y517" s="11"/>
      <c r="Z517" s="11"/>
    </row>
    <row r="518" ht="16.5" customHeight="1">
      <c r="A518" s="11"/>
      <c r="B518" s="11"/>
      <c r="C518" s="11"/>
      <c r="D518" s="11"/>
      <c r="E518" s="11"/>
      <c r="F518" s="11"/>
      <c r="G518" s="12"/>
      <c r="H518" s="11"/>
      <c r="I518" s="12"/>
      <c r="J518" s="12"/>
      <c r="K518" s="12"/>
      <c r="L518" s="11"/>
      <c r="M518" s="11"/>
      <c r="N518" s="11"/>
      <c r="O518" s="11"/>
      <c r="P518" s="11"/>
      <c r="Q518" s="11"/>
      <c r="R518" s="11"/>
      <c r="S518" s="11"/>
      <c r="T518" s="11"/>
      <c r="U518" s="11"/>
      <c r="V518" s="11"/>
      <c r="W518" s="11"/>
      <c r="X518" s="11"/>
      <c r="Y518" s="11"/>
      <c r="Z518" s="11"/>
    </row>
    <row r="519" ht="16.5" customHeight="1">
      <c r="A519" s="11"/>
      <c r="B519" s="11"/>
      <c r="C519" s="11"/>
      <c r="D519" s="11"/>
      <c r="E519" s="11"/>
      <c r="F519" s="11"/>
      <c r="G519" s="12"/>
      <c r="H519" s="11"/>
      <c r="I519" s="12"/>
      <c r="J519" s="12"/>
      <c r="K519" s="12"/>
      <c r="L519" s="11"/>
      <c r="M519" s="11"/>
      <c r="N519" s="11"/>
      <c r="O519" s="11"/>
      <c r="P519" s="11"/>
      <c r="Q519" s="11"/>
      <c r="R519" s="11"/>
      <c r="S519" s="11"/>
      <c r="T519" s="11"/>
      <c r="U519" s="11"/>
      <c r="V519" s="11"/>
      <c r="W519" s="11"/>
      <c r="X519" s="11"/>
      <c r="Y519" s="11"/>
      <c r="Z519" s="11"/>
    </row>
    <row r="520" ht="16.5" customHeight="1">
      <c r="A520" s="11"/>
      <c r="B520" s="11"/>
      <c r="C520" s="11"/>
      <c r="D520" s="11"/>
      <c r="E520" s="11"/>
      <c r="F520" s="11"/>
      <c r="G520" s="12"/>
      <c r="H520" s="11"/>
      <c r="I520" s="12"/>
      <c r="J520" s="12"/>
      <c r="K520" s="12"/>
      <c r="L520" s="11"/>
      <c r="M520" s="11"/>
      <c r="N520" s="11"/>
      <c r="O520" s="11"/>
      <c r="P520" s="11"/>
      <c r="Q520" s="11"/>
      <c r="R520" s="11"/>
      <c r="S520" s="11"/>
      <c r="T520" s="11"/>
      <c r="U520" s="11"/>
      <c r="V520" s="11"/>
      <c r="W520" s="11"/>
      <c r="X520" s="11"/>
      <c r="Y520" s="11"/>
      <c r="Z520" s="11"/>
    </row>
    <row r="521" ht="16.5" customHeight="1">
      <c r="A521" s="11"/>
      <c r="B521" s="11"/>
      <c r="C521" s="11"/>
      <c r="D521" s="11"/>
      <c r="E521" s="11"/>
      <c r="F521" s="11"/>
      <c r="G521" s="12"/>
      <c r="H521" s="11"/>
      <c r="I521" s="12"/>
      <c r="J521" s="12"/>
      <c r="K521" s="12"/>
      <c r="L521" s="11"/>
      <c r="M521" s="11"/>
      <c r="N521" s="11"/>
      <c r="O521" s="11"/>
      <c r="P521" s="11"/>
      <c r="Q521" s="11"/>
      <c r="R521" s="11"/>
      <c r="S521" s="11"/>
      <c r="T521" s="11"/>
      <c r="U521" s="11"/>
      <c r="V521" s="11"/>
      <c r="W521" s="11"/>
      <c r="X521" s="11"/>
      <c r="Y521" s="11"/>
      <c r="Z521" s="11"/>
    </row>
    <row r="522" ht="16.5" customHeight="1">
      <c r="A522" s="11"/>
      <c r="B522" s="11"/>
      <c r="C522" s="11"/>
      <c r="D522" s="11"/>
      <c r="E522" s="11"/>
      <c r="F522" s="11"/>
      <c r="G522" s="12"/>
      <c r="H522" s="11"/>
      <c r="I522" s="12"/>
      <c r="J522" s="12"/>
      <c r="K522" s="12"/>
      <c r="L522" s="11"/>
      <c r="M522" s="11"/>
      <c r="N522" s="11"/>
      <c r="O522" s="11"/>
      <c r="P522" s="11"/>
      <c r="Q522" s="11"/>
      <c r="R522" s="11"/>
      <c r="S522" s="11"/>
      <c r="T522" s="11"/>
      <c r="U522" s="11"/>
      <c r="V522" s="11"/>
      <c r="W522" s="11"/>
      <c r="X522" s="11"/>
      <c r="Y522" s="11"/>
      <c r="Z522" s="11"/>
    </row>
    <row r="523" ht="16.5" customHeight="1">
      <c r="A523" s="11"/>
      <c r="B523" s="11"/>
      <c r="C523" s="11"/>
      <c r="D523" s="11"/>
      <c r="E523" s="11"/>
      <c r="F523" s="11"/>
      <c r="G523" s="12"/>
      <c r="H523" s="11"/>
      <c r="I523" s="12"/>
      <c r="J523" s="12"/>
      <c r="K523" s="12"/>
      <c r="L523" s="11"/>
      <c r="M523" s="11"/>
      <c r="N523" s="11"/>
      <c r="O523" s="11"/>
      <c r="P523" s="11"/>
      <c r="Q523" s="11"/>
      <c r="R523" s="11"/>
      <c r="S523" s="11"/>
      <c r="T523" s="11"/>
      <c r="U523" s="11"/>
      <c r="V523" s="11"/>
      <c r="W523" s="11"/>
      <c r="X523" s="11"/>
      <c r="Y523" s="11"/>
      <c r="Z523" s="11"/>
    </row>
    <row r="524" ht="16.5" customHeight="1">
      <c r="A524" s="11"/>
      <c r="B524" s="11"/>
      <c r="C524" s="11"/>
      <c r="D524" s="11"/>
      <c r="E524" s="11"/>
      <c r="F524" s="11"/>
      <c r="G524" s="12"/>
      <c r="H524" s="11"/>
      <c r="I524" s="12"/>
      <c r="J524" s="12"/>
      <c r="K524" s="12"/>
      <c r="L524" s="11"/>
      <c r="M524" s="11"/>
      <c r="N524" s="11"/>
      <c r="O524" s="11"/>
      <c r="P524" s="11"/>
      <c r="Q524" s="11"/>
      <c r="R524" s="11"/>
      <c r="S524" s="11"/>
      <c r="T524" s="11"/>
      <c r="U524" s="11"/>
      <c r="V524" s="11"/>
      <c r="W524" s="11"/>
      <c r="X524" s="11"/>
      <c r="Y524" s="11"/>
      <c r="Z524" s="11"/>
    </row>
    <row r="525" ht="16.5" customHeight="1">
      <c r="A525" s="11"/>
      <c r="B525" s="11"/>
      <c r="C525" s="11"/>
      <c r="D525" s="11"/>
      <c r="E525" s="11"/>
      <c r="F525" s="11"/>
      <c r="G525" s="12"/>
      <c r="H525" s="11"/>
      <c r="I525" s="12"/>
      <c r="J525" s="12"/>
      <c r="K525" s="12"/>
      <c r="L525" s="11"/>
      <c r="M525" s="11"/>
      <c r="N525" s="11"/>
      <c r="O525" s="11"/>
      <c r="P525" s="11"/>
      <c r="Q525" s="11"/>
      <c r="R525" s="11"/>
      <c r="S525" s="11"/>
      <c r="T525" s="11"/>
      <c r="U525" s="11"/>
      <c r="V525" s="11"/>
      <c r="W525" s="11"/>
      <c r="X525" s="11"/>
      <c r="Y525" s="11"/>
      <c r="Z525" s="11"/>
    </row>
    <row r="526" ht="16.5" customHeight="1">
      <c r="A526" s="11"/>
      <c r="B526" s="11"/>
      <c r="C526" s="11"/>
      <c r="D526" s="11"/>
      <c r="E526" s="11"/>
      <c r="F526" s="11"/>
      <c r="G526" s="12"/>
      <c r="H526" s="11"/>
      <c r="I526" s="12"/>
      <c r="J526" s="12"/>
      <c r="K526" s="12"/>
      <c r="L526" s="11"/>
      <c r="M526" s="11"/>
      <c r="N526" s="11"/>
      <c r="O526" s="11"/>
      <c r="P526" s="11"/>
      <c r="Q526" s="11"/>
      <c r="R526" s="11"/>
      <c r="S526" s="11"/>
      <c r="T526" s="11"/>
      <c r="U526" s="11"/>
      <c r="V526" s="11"/>
      <c r="W526" s="11"/>
      <c r="X526" s="11"/>
      <c r="Y526" s="11"/>
      <c r="Z526" s="11"/>
    </row>
    <row r="527" ht="16.5" customHeight="1">
      <c r="A527" s="11"/>
      <c r="B527" s="11"/>
      <c r="C527" s="11"/>
      <c r="D527" s="11"/>
      <c r="E527" s="11"/>
      <c r="F527" s="11"/>
      <c r="G527" s="12"/>
      <c r="H527" s="11"/>
      <c r="I527" s="12"/>
      <c r="J527" s="12"/>
      <c r="K527" s="12"/>
      <c r="L527" s="11"/>
      <c r="M527" s="11"/>
      <c r="N527" s="11"/>
      <c r="O527" s="11"/>
      <c r="P527" s="11"/>
      <c r="Q527" s="11"/>
      <c r="R527" s="11"/>
      <c r="S527" s="11"/>
      <c r="T527" s="11"/>
      <c r="U527" s="11"/>
      <c r="V527" s="11"/>
      <c r="W527" s="11"/>
      <c r="X527" s="11"/>
      <c r="Y527" s="11"/>
      <c r="Z527" s="11"/>
    </row>
    <row r="528" ht="16.5" customHeight="1">
      <c r="A528" s="11"/>
      <c r="B528" s="11"/>
      <c r="C528" s="11"/>
      <c r="D528" s="11"/>
      <c r="E528" s="11"/>
      <c r="F528" s="11"/>
      <c r="G528" s="12"/>
      <c r="H528" s="11"/>
      <c r="I528" s="12"/>
      <c r="J528" s="12"/>
      <c r="K528" s="12"/>
      <c r="L528" s="11"/>
      <c r="M528" s="11"/>
      <c r="N528" s="11"/>
      <c r="O528" s="11"/>
      <c r="P528" s="11"/>
      <c r="Q528" s="11"/>
      <c r="R528" s="11"/>
      <c r="S528" s="11"/>
      <c r="T528" s="11"/>
      <c r="U528" s="11"/>
      <c r="V528" s="11"/>
      <c r="W528" s="11"/>
      <c r="X528" s="11"/>
      <c r="Y528" s="11"/>
      <c r="Z528" s="11"/>
    </row>
    <row r="529" ht="16.5" customHeight="1">
      <c r="A529" s="11"/>
      <c r="B529" s="11"/>
      <c r="C529" s="11"/>
      <c r="D529" s="11"/>
      <c r="E529" s="11"/>
      <c r="F529" s="11"/>
      <c r="G529" s="12"/>
      <c r="H529" s="11"/>
      <c r="I529" s="12"/>
      <c r="J529" s="12"/>
      <c r="K529" s="12"/>
      <c r="L529" s="11"/>
      <c r="M529" s="11"/>
      <c r="N529" s="11"/>
      <c r="O529" s="11"/>
      <c r="P529" s="11"/>
      <c r="Q529" s="11"/>
      <c r="R529" s="11"/>
      <c r="S529" s="11"/>
      <c r="T529" s="11"/>
      <c r="U529" s="11"/>
      <c r="V529" s="11"/>
      <c r="W529" s="11"/>
      <c r="X529" s="11"/>
      <c r="Y529" s="11"/>
      <c r="Z529" s="11"/>
    </row>
    <row r="530" ht="16.5" customHeight="1">
      <c r="A530" s="11"/>
      <c r="B530" s="11"/>
      <c r="C530" s="11"/>
      <c r="D530" s="11"/>
      <c r="E530" s="11"/>
      <c r="F530" s="11"/>
      <c r="G530" s="12"/>
      <c r="H530" s="11"/>
      <c r="I530" s="12"/>
      <c r="J530" s="12"/>
      <c r="K530" s="12"/>
      <c r="L530" s="11"/>
      <c r="M530" s="11"/>
      <c r="N530" s="11"/>
      <c r="O530" s="11"/>
      <c r="P530" s="11"/>
      <c r="Q530" s="11"/>
      <c r="R530" s="11"/>
      <c r="S530" s="11"/>
      <c r="T530" s="11"/>
      <c r="U530" s="11"/>
      <c r="V530" s="11"/>
      <c r="W530" s="11"/>
      <c r="X530" s="11"/>
      <c r="Y530" s="11"/>
      <c r="Z530" s="11"/>
    </row>
    <row r="531" ht="16.5" customHeight="1">
      <c r="A531" s="11"/>
      <c r="B531" s="11"/>
      <c r="C531" s="11"/>
      <c r="D531" s="11"/>
      <c r="E531" s="11"/>
      <c r="F531" s="11"/>
      <c r="G531" s="12"/>
      <c r="H531" s="11"/>
      <c r="I531" s="12"/>
      <c r="J531" s="12"/>
      <c r="K531" s="12"/>
      <c r="L531" s="11"/>
      <c r="M531" s="11"/>
      <c r="N531" s="11"/>
      <c r="O531" s="11"/>
      <c r="P531" s="11"/>
      <c r="Q531" s="11"/>
      <c r="R531" s="11"/>
      <c r="S531" s="11"/>
      <c r="T531" s="11"/>
      <c r="U531" s="11"/>
      <c r="V531" s="11"/>
      <c r="W531" s="11"/>
      <c r="X531" s="11"/>
      <c r="Y531" s="11"/>
      <c r="Z531" s="11"/>
    </row>
    <row r="532" ht="16.5" customHeight="1">
      <c r="A532" s="11"/>
      <c r="B532" s="11"/>
      <c r="C532" s="11"/>
      <c r="D532" s="11"/>
      <c r="E532" s="11"/>
      <c r="F532" s="11"/>
      <c r="G532" s="12"/>
      <c r="H532" s="11"/>
      <c r="I532" s="12"/>
      <c r="J532" s="12"/>
      <c r="K532" s="12"/>
      <c r="L532" s="11"/>
      <c r="M532" s="11"/>
      <c r="N532" s="11"/>
      <c r="O532" s="11"/>
      <c r="P532" s="11"/>
      <c r="Q532" s="11"/>
      <c r="R532" s="11"/>
      <c r="S532" s="11"/>
      <c r="T532" s="11"/>
      <c r="U532" s="11"/>
      <c r="V532" s="11"/>
      <c r="W532" s="11"/>
      <c r="X532" s="11"/>
      <c r="Y532" s="11"/>
      <c r="Z532" s="11"/>
    </row>
    <row r="533" ht="16.5" customHeight="1">
      <c r="A533" s="11"/>
      <c r="B533" s="11"/>
      <c r="C533" s="11"/>
      <c r="D533" s="11"/>
      <c r="E533" s="11"/>
      <c r="F533" s="11"/>
      <c r="G533" s="12"/>
      <c r="H533" s="11"/>
      <c r="I533" s="12"/>
      <c r="J533" s="12"/>
      <c r="K533" s="12"/>
      <c r="L533" s="11"/>
      <c r="M533" s="11"/>
      <c r="N533" s="11"/>
      <c r="O533" s="11"/>
      <c r="P533" s="11"/>
      <c r="Q533" s="11"/>
      <c r="R533" s="11"/>
      <c r="S533" s="11"/>
      <c r="T533" s="11"/>
      <c r="U533" s="11"/>
      <c r="V533" s="11"/>
      <c r="W533" s="11"/>
      <c r="X533" s="11"/>
      <c r="Y533" s="11"/>
      <c r="Z533" s="11"/>
    </row>
    <row r="534" ht="16.5" customHeight="1">
      <c r="A534" s="11"/>
      <c r="B534" s="11"/>
      <c r="C534" s="11"/>
      <c r="D534" s="11"/>
      <c r="E534" s="11"/>
      <c r="F534" s="11"/>
      <c r="G534" s="12"/>
      <c r="H534" s="11"/>
      <c r="I534" s="12"/>
      <c r="J534" s="12"/>
      <c r="K534" s="12"/>
      <c r="L534" s="11"/>
      <c r="M534" s="11"/>
      <c r="N534" s="11"/>
      <c r="O534" s="11"/>
      <c r="P534" s="11"/>
      <c r="Q534" s="11"/>
      <c r="R534" s="11"/>
      <c r="S534" s="11"/>
      <c r="T534" s="11"/>
      <c r="U534" s="11"/>
      <c r="V534" s="11"/>
      <c r="W534" s="11"/>
      <c r="X534" s="11"/>
      <c r="Y534" s="11"/>
      <c r="Z534" s="11"/>
    </row>
    <row r="535" ht="16.5" customHeight="1">
      <c r="A535" s="11"/>
      <c r="B535" s="11"/>
      <c r="C535" s="11"/>
      <c r="D535" s="11"/>
      <c r="E535" s="11"/>
      <c r="F535" s="11"/>
      <c r="G535" s="12"/>
      <c r="H535" s="11"/>
      <c r="I535" s="12"/>
      <c r="J535" s="12"/>
      <c r="K535" s="12"/>
      <c r="L535" s="11"/>
      <c r="M535" s="11"/>
      <c r="N535" s="11"/>
      <c r="O535" s="11"/>
      <c r="P535" s="11"/>
      <c r="Q535" s="11"/>
      <c r="R535" s="11"/>
      <c r="S535" s="11"/>
      <c r="T535" s="11"/>
      <c r="U535" s="11"/>
      <c r="V535" s="11"/>
      <c r="W535" s="11"/>
      <c r="X535" s="11"/>
      <c r="Y535" s="11"/>
      <c r="Z535" s="11"/>
    </row>
    <row r="536" ht="16.5" customHeight="1">
      <c r="A536" s="11"/>
      <c r="B536" s="11"/>
      <c r="C536" s="11"/>
      <c r="D536" s="11"/>
      <c r="E536" s="11"/>
      <c r="F536" s="11"/>
      <c r="G536" s="12"/>
      <c r="H536" s="11"/>
      <c r="I536" s="12"/>
      <c r="J536" s="12"/>
      <c r="K536" s="12"/>
      <c r="L536" s="11"/>
      <c r="M536" s="11"/>
      <c r="N536" s="11"/>
      <c r="O536" s="11"/>
      <c r="P536" s="11"/>
      <c r="Q536" s="11"/>
      <c r="R536" s="11"/>
      <c r="S536" s="11"/>
      <c r="T536" s="11"/>
      <c r="U536" s="11"/>
      <c r="V536" s="11"/>
      <c r="W536" s="11"/>
      <c r="X536" s="11"/>
      <c r="Y536" s="11"/>
      <c r="Z536" s="11"/>
    </row>
    <row r="537" ht="16.5" customHeight="1">
      <c r="A537" s="11"/>
      <c r="B537" s="11"/>
      <c r="C537" s="11"/>
      <c r="D537" s="11"/>
      <c r="E537" s="11"/>
      <c r="F537" s="11"/>
      <c r="G537" s="12"/>
      <c r="H537" s="11"/>
      <c r="I537" s="12"/>
      <c r="J537" s="12"/>
      <c r="K537" s="12"/>
      <c r="L537" s="11"/>
      <c r="M537" s="11"/>
      <c r="N537" s="11"/>
      <c r="O537" s="11"/>
      <c r="P537" s="11"/>
      <c r="Q537" s="11"/>
      <c r="R537" s="11"/>
      <c r="S537" s="11"/>
      <c r="T537" s="11"/>
      <c r="U537" s="11"/>
      <c r="V537" s="11"/>
      <c r="W537" s="11"/>
      <c r="X537" s="11"/>
      <c r="Y537" s="11"/>
      <c r="Z537" s="11"/>
    </row>
    <row r="538" ht="16.5" customHeight="1">
      <c r="A538" s="11"/>
      <c r="B538" s="11"/>
      <c r="C538" s="11"/>
      <c r="D538" s="11"/>
      <c r="E538" s="11"/>
      <c r="F538" s="11"/>
      <c r="G538" s="12"/>
      <c r="H538" s="11"/>
      <c r="I538" s="12"/>
      <c r="J538" s="12"/>
      <c r="K538" s="12"/>
      <c r="L538" s="11"/>
      <c r="M538" s="11"/>
      <c r="N538" s="11"/>
      <c r="O538" s="11"/>
      <c r="P538" s="11"/>
      <c r="Q538" s="11"/>
      <c r="R538" s="11"/>
      <c r="S538" s="11"/>
      <c r="T538" s="11"/>
      <c r="U538" s="11"/>
      <c r="V538" s="11"/>
      <c r="W538" s="11"/>
      <c r="X538" s="11"/>
      <c r="Y538" s="11"/>
      <c r="Z538" s="11"/>
    </row>
    <row r="539" ht="16.5" customHeight="1">
      <c r="A539" s="11"/>
      <c r="B539" s="11"/>
      <c r="C539" s="11"/>
      <c r="D539" s="11"/>
      <c r="E539" s="11"/>
      <c r="F539" s="11"/>
      <c r="G539" s="12"/>
      <c r="H539" s="11"/>
      <c r="I539" s="12"/>
      <c r="J539" s="12"/>
      <c r="K539" s="12"/>
      <c r="L539" s="11"/>
      <c r="M539" s="11"/>
      <c r="N539" s="11"/>
      <c r="O539" s="11"/>
      <c r="P539" s="11"/>
      <c r="Q539" s="11"/>
      <c r="R539" s="11"/>
      <c r="S539" s="11"/>
      <c r="T539" s="11"/>
      <c r="U539" s="11"/>
      <c r="V539" s="11"/>
      <c r="W539" s="11"/>
      <c r="X539" s="11"/>
      <c r="Y539" s="11"/>
      <c r="Z539" s="11"/>
    </row>
    <row r="540" ht="16.5" customHeight="1">
      <c r="A540" s="11"/>
      <c r="B540" s="11"/>
      <c r="C540" s="11"/>
      <c r="D540" s="11"/>
      <c r="E540" s="11"/>
      <c r="F540" s="11"/>
      <c r="G540" s="12"/>
      <c r="H540" s="11"/>
      <c r="I540" s="12"/>
      <c r="J540" s="12"/>
      <c r="K540" s="12"/>
      <c r="L540" s="11"/>
      <c r="M540" s="11"/>
      <c r="N540" s="11"/>
      <c r="O540" s="11"/>
      <c r="P540" s="11"/>
      <c r="Q540" s="11"/>
      <c r="R540" s="11"/>
      <c r="S540" s="11"/>
      <c r="T540" s="11"/>
      <c r="U540" s="11"/>
      <c r="V540" s="11"/>
      <c r="W540" s="11"/>
      <c r="X540" s="11"/>
      <c r="Y540" s="11"/>
      <c r="Z540" s="11"/>
    </row>
    <row r="541" ht="16.5" customHeight="1">
      <c r="A541" s="11"/>
      <c r="B541" s="11"/>
      <c r="C541" s="11"/>
      <c r="D541" s="11"/>
      <c r="E541" s="11"/>
      <c r="F541" s="11"/>
      <c r="G541" s="12"/>
      <c r="H541" s="11"/>
      <c r="I541" s="12"/>
      <c r="J541" s="12"/>
      <c r="K541" s="12"/>
      <c r="L541" s="11"/>
      <c r="M541" s="11"/>
      <c r="N541" s="11"/>
      <c r="O541" s="11"/>
      <c r="P541" s="11"/>
      <c r="Q541" s="11"/>
      <c r="R541" s="11"/>
      <c r="S541" s="11"/>
      <c r="T541" s="11"/>
      <c r="U541" s="11"/>
      <c r="V541" s="11"/>
      <c r="W541" s="11"/>
      <c r="X541" s="11"/>
      <c r="Y541" s="11"/>
      <c r="Z541" s="11"/>
    </row>
    <row r="542" ht="16.5" customHeight="1">
      <c r="A542" s="11"/>
      <c r="B542" s="11"/>
      <c r="C542" s="11"/>
      <c r="D542" s="11"/>
      <c r="E542" s="11"/>
      <c r="F542" s="11"/>
      <c r="G542" s="12"/>
      <c r="H542" s="11"/>
      <c r="I542" s="12"/>
      <c r="J542" s="12"/>
      <c r="K542" s="12"/>
      <c r="L542" s="11"/>
      <c r="M542" s="11"/>
      <c r="N542" s="11"/>
      <c r="O542" s="11"/>
      <c r="P542" s="11"/>
      <c r="Q542" s="11"/>
      <c r="R542" s="11"/>
      <c r="S542" s="11"/>
      <c r="T542" s="11"/>
      <c r="U542" s="11"/>
      <c r="V542" s="11"/>
      <c r="W542" s="11"/>
      <c r="X542" s="11"/>
      <c r="Y542" s="11"/>
      <c r="Z542" s="11"/>
    </row>
    <row r="543" ht="16.5" customHeight="1">
      <c r="A543" s="11"/>
      <c r="B543" s="11"/>
      <c r="C543" s="11"/>
      <c r="D543" s="11"/>
      <c r="E543" s="11"/>
      <c r="F543" s="11"/>
      <c r="G543" s="12"/>
      <c r="H543" s="11"/>
      <c r="I543" s="12"/>
      <c r="J543" s="12"/>
      <c r="K543" s="12"/>
      <c r="L543" s="11"/>
      <c r="M543" s="11"/>
      <c r="N543" s="11"/>
      <c r="O543" s="11"/>
      <c r="P543" s="11"/>
      <c r="Q543" s="11"/>
      <c r="R543" s="11"/>
      <c r="S543" s="11"/>
      <c r="T543" s="11"/>
      <c r="U543" s="11"/>
      <c r="V543" s="11"/>
      <c r="W543" s="11"/>
      <c r="X543" s="11"/>
      <c r="Y543" s="11"/>
      <c r="Z543" s="11"/>
    </row>
    <row r="544" ht="16.5" customHeight="1">
      <c r="A544" s="11"/>
      <c r="B544" s="11"/>
      <c r="C544" s="11"/>
      <c r="D544" s="11"/>
      <c r="E544" s="11"/>
      <c r="F544" s="11"/>
      <c r="G544" s="12"/>
      <c r="H544" s="11"/>
      <c r="I544" s="12"/>
      <c r="J544" s="12"/>
      <c r="K544" s="12"/>
      <c r="L544" s="11"/>
      <c r="M544" s="11"/>
      <c r="N544" s="11"/>
      <c r="O544" s="11"/>
      <c r="P544" s="11"/>
      <c r="Q544" s="11"/>
      <c r="R544" s="11"/>
      <c r="S544" s="11"/>
      <c r="T544" s="11"/>
      <c r="U544" s="11"/>
      <c r="V544" s="11"/>
      <c r="W544" s="11"/>
      <c r="X544" s="11"/>
      <c r="Y544" s="11"/>
      <c r="Z544" s="11"/>
    </row>
    <row r="545" ht="16.5" customHeight="1">
      <c r="A545" s="11"/>
      <c r="B545" s="11"/>
      <c r="C545" s="11"/>
      <c r="D545" s="11"/>
      <c r="E545" s="11"/>
      <c r="F545" s="11"/>
      <c r="G545" s="12"/>
      <c r="H545" s="11"/>
      <c r="I545" s="12"/>
      <c r="J545" s="12"/>
      <c r="K545" s="12"/>
      <c r="L545" s="11"/>
      <c r="M545" s="11"/>
      <c r="N545" s="11"/>
      <c r="O545" s="11"/>
      <c r="P545" s="11"/>
      <c r="Q545" s="11"/>
      <c r="R545" s="11"/>
      <c r="S545" s="11"/>
      <c r="T545" s="11"/>
      <c r="U545" s="11"/>
      <c r="V545" s="11"/>
      <c r="W545" s="11"/>
      <c r="X545" s="11"/>
      <c r="Y545" s="11"/>
      <c r="Z545" s="11"/>
    </row>
    <row r="546" ht="16.5" customHeight="1">
      <c r="A546" s="11"/>
      <c r="B546" s="11"/>
      <c r="C546" s="11"/>
      <c r="D546" s="11"/>
      <c r="E546" s="11"/>
      <c r="F546" s="11"/>
      <c r="G546" s="12"/>
      <c r="H546" s="11"/>
      <c r="I546" s="12"/>
      <c r="J546" s="12"/>
      <c r="K546" s="12"/>
      <c r="L546" s="11"/>
      <c r="M546" s="11"/>
      <c r="N546" s="11"/>
      <c r="O546" s="11"/>
      <c r="P546" s="11"/>
      <c r="Q546" s="11"/>
      <c r="R546" s="11"/>
      <c r="S546" s="11"/>
      <c r="T546" s="11"/>
      <c r="U546" s="11"/>
      <c r="V546" s="11"/>
      <c r="W546" s="11"/>
      <c r="X546" s="11"/>
      <c r="Y546" s="11"/>
      <c r="Z546" s="11"/>
    </row>
    <row r="547" ht="16.5" customHeight="1">
      <c r="A547" s="11"/>
      <c r="B547" s="11"/>
      <c r="C547" s="11"/>
      <c r="D547" s="11"/>
      <c r="E547" s="11"/>
      <c r="F547" s="11"/>
      <c r="G547" s="12"/>
      <c r="H547" s="11"/>
      <c r="I547" s="12"/>
      <c r="J547" s="12"/>
      <c r="K547" s="12"/>
      <c r="L547" s="11"/>
      <c r="M547" s="11"/>
      <c r="N547" s="11"/>
      <c r="O547" s="11"/>
      <c r="P547" s="11"/>
      <c r="Q547" s="11"/>
      <c r="R547" s="11"/>
      <c r="S547" s="11"/>
      <c r="T547" s="11"/>
      <c r="U547" s="11"/>
      <c r="V547" s="11"/>
      <c r="W547" s="11"/>
      <c r="X547" s="11"/>
      <c r="Y547" s="11"/>
      <c r="Z547" s="11"/>
    </row>
    <row r="548" ht="16.5" customHeight="1">
      <c r="A548" s="11"/>
      <c r="B548" s="11"/>
      <c r="C548" s="11"/>
      <c r="D548" s="11"/>
      <c r="E548" s="11"/>
      <c r="F548" s="11"/>
      <c r="G548" s="12"/>
      <c r="H548" s="11"/>
      <c r="I548" s="12"/>
      <c r="J548" s="12"/>
      <c r="K548" s="12"/>
      <c r="L548" s="11"/>
      <c r="M548" s="11"/>
      <c r="N548" s="11"/>
      <c r="O548" s="11"/>
      <c r="P548" s="11"/>
      <c r="Q548" s="11"/>
      <c r="R548" s="11"/>
      <c r="S548" s="11"/>
      <c r="T548" s="11"/>
      <c r="U548" s="11"/>
      <c r="V548" s="11"/>
      <c r="W548" s="11"/>
      <c r="X548" s="11"/>
      <c r="Y548" s="11"/>
      <c r="Z548" s="11"/>
    </row>
    <row r="549" ht="16.5" customHeight="1">
      <c r="A549" s="11"/>
      <c r="B549" s="11"/>
      <c r="C549" s="11"/>
      <c r="D549" s="11"/>
      <c r="E549" s="11"/>
      <c r="F549" s="11"/>
      <c r="G549" s="12"/>
      <c r="H549" s="11"/>
      <c r="I549" s="12"/>
      <c r="J549" s="12"/>
      <c r="K549" s="12"/>
      <c r="L549" s="11"/>
      <c r="M549" s="11"/>
      <c r="N549" s="11"/>
      <c r="O549" s="11"/>
      <c r="P549" s="11"/>
      <c r="Q549" s="11"/>
      <c r="R549" s="11"/>
      <c r="S549" s="11"/>
      <c r="T549" s="11"/>
      <c r="U549" s="11"/>
      <c r="V549" s="11"/>
      <c r="W549" s="11"/>
      <c r="X549" s="11"/>
      <c r="Y549" s="11"/>
      <c r="Z549" s="11"/>
    </row>
    <row r="550" ht="16.5" customHeight="1">
      <c r="A550" s="11"/>
      <c r="B550" s="11"/>
      <c r="C550" s="11"/>
      <c r="D550" s="11"/>
      <c r="E550" s="11"/>
      <c r="F550" s="11"/>
      <c r="G550" s="12"/>
      <c r="H550" s="11"/>
      <c r="I550" s="12"/>
      <c r="J550" s="12"/>
      <c r="K550" s="12"/>
      <c r="L550" s="11"/>
      <c r="M550" s="11"/>
      <c r="N550" s="11"/>
      <c r="O550" s="11"/>
      <c r="P550" s="11"/>
      <c r="Q550" s="11"/>
      <c r="R550" s="11"/>
      <c r="S550" s="11"/>
      <c r="T550" s="11"/>
      <c r="U550" s="11"/>
      <c r="V550" s="11"/>
      <c r="W550" s="11"/>
      <c r="X550" s="11"/>
      <c r="Y550" s="11"/>
      <c r="Z550" s="11"/>
    </row>
    <row r="551" ht="16.5" customHeight="1">
      <c r="A551" s="11"/>
      <c r="B551" s="11"/>
      <c r="C551" s="11"/>
      <c r="D551" s="11"/>
      <c r="E551" s="11"/>
      <c r="F551" s="11"/>
      <c r="G551" s="12"/>
      <c r="H551" s="11"/>
      <c r="I551" s="12"/>
      <c r="J551" s="12"/>
      <c r="K551" s="12"/>
      <c r="L551" s="11"/>
      <c r="M551" s="11"/>
      <c r="N551" s="11"/>
      <c r="O551" s="11"/>
      <c r="P551" s="11"/>
      <c r="Q551" s="11"/>
      <c r="R551" s="11"/>
      <c r="S551" s="11"/>
      <c r="T551" s="11"/>
      <c r="U551" s="11"/>
      <c r="V551" s="11"/>
      <c r="W551" s="11"/>
      <c r="X551" s="11"/>
      <c r="Y551" s="11"/>
      <c r="Z551" s="11"/>
    </row>
    <row r="552" ht="16.5" customHeight="1">
      <c r="A552" s="11"/>
      <c r="B552" s="11"/>
      <c r="C552" s="11"/>
      <c r="D552" s="11"/>
      <c r="E552" s="11"/>
      <c r="F552" s="11"/>
      <c r="G552" s="12"/>
      <c r="H552" s="11"/>
      <c r="I552" s="12"/>
      <c r="J552" s="12"/>
      <c r="K552" s="12"/>
      <c r="L552" s="11"/>
      <c r="M552" s="11"/>
      <c r="N552" s="11"/>
      <c r="O552" s="11"/>
      <c r="P552" s="11"/>
      <c r="Q552" s="11"/>
      <c r="R552" s="11"/>
      <c r="S552" s="11"/>
      <c r="T552" s="11"/>
      <c r="U552" s="11"/>
      <c r="V552" s="11"/>
      <c r="W552" s="11"/>
      <c r="X552" s="11"/>
      <c r="Y552" s="11"/>
      <c r="Z552" s="11"/>
    </row>
    <row r="553" ht="16.5" customHeight="1">
      <c r="A553" s="11"/>
      <c r="B553" s="11"/>
      <c r="C553" s="11"/>
      <c r="D553" s="11"/>
      <c r="E553" s="11"/>
      <c r="F553" s="11"/>
      <c r="G553" s="12"/>
      <c r="H553" s="11"/>
      <c r="I553" s="12"/>
      <c r="J553" s="12"/>
      <c r="K553" s="12"/>
      <c r="L553" s="11"/>
      <c r="M553" s="11"/>
      <c r="N553" s="11"/>
      <c r="O553" s="11"/>
      <c r="P553" s="11"/>
      <c r="Q553" s="11"/>
      <c r="R553" s="11"/>
      <c r="S553" s="11"/>
      <c r="T553" s="11"/>
      <c r="U553" s="11"/>
      <c r="V553" s="11"/>
      <c r="W553" s="11"/>
      <c r="X553" s="11"/>
      <c r="Y553" s="11"/>
      <c r="Z553" s="11"/>
    </row>
    <row r="554" ht="16.5" customHeight="1">
      <c r="A554" s="11"/>
      <c r="B554" s="11"/>
      <c r="C554" s="11"/>
      <c r="D554" s="11"/>
      <c r="E554" s="11"/>
      <c r="F554" s="11"/>
      <c r="G554" s="12"/>
      <c r="H554" s="11"/>
      <c r="I554" s="12"/>
      <c r="J554" s="12"/>
      <c r="K554" s="12"/>
      <c r="L554" s="11"/>
      <c r="M554" s="11"/>
      <c r="N554" s="11"/>
      <c r="O554" s="11"/>
      <c r="P554" s="11"/>
      <c r="Q554" s="11"/>
      <c r="R554" s="11"/>
      <c r="S554" s="11"/>
      <c r="T554" s="11"/>
      <c r="U554" s="11"/>
      <c r="V554" s="11"/>
      <c r="W554" s="11"/>
      <c r="X554" s="11"/>
      <c r="Y554" s="11"/>
      <c r="Z554" s="11"/>
    </row>
    <row r="555" ht="16.5" customHeight="1">
      <c r="A555" s="11"/>
      <c r="B555" s="11"/>
      <c r="C555" s="11"/>
      <c r="D555" s="11"/>
      <c r="E555" s="11"/>
      <c r="F555" s="11"/>
      <c r="G555" s="12"/>
      <c r="H555" s="11"/>
      <c r="I555" s="12"/>
      <c r="J555" s="12"/>
      <c r="K555" s="12"/>
      <c r="L555" s="11"/>
      <c r="M555" s="11"/>
      <c r="N555" s="11"/>
      <c r="O555" s="11"/>
      <c r="P555" s="11"/>
      <c r="Q555" s="11"/>
      <c r="R555" s="11"/>
      <c r="S555" s="11"/>
      <c r="T555" s="11"/>
      <c r="U555" s="11"/>
      <c r="V555" s="11"/>
      <c r="W555" s="11"/>
      <c r="X555" s="11"/>
      <c r="Y555" s="11"/>
      <c r="Z555" s="11"/>
    </row>
    <row r="556" ht="16.5" customHeight="1">
      <c r="A556" s="11"/>
      <c r="B556" s="11"/>
      <c r="C556" s="11"/>
      <c r="D556" s="11"/>
      <c r="E556" s="11"/>
      <c r="F556" s="11"/>
      <c r="G556" s="12"/>
      <c r="H556" s="11"/>
      <c r="I556" s="12"/>
      <c r="J556" s="12"/>
      <c r="K556" s="12"/>
      <c r="L556" s="11"/>
      <c r="M556" s="11"/>
      <c r="N556" s="11"/>
      <c r="O556" s="11"/>
      <c r="P556" s="11"/>
      <c r="Q556" s="11"/>
      <c r="R556" s="11"/>
      <c r="S556" s="11"/>
      <c r="T556" s="11"/>
      <c r="U556" s="11"/>
      <c r="V556" s="11"/>
      <c r="W556" s="11"/>
      <c r="X556" s="11"/>
      <c r="Y556" s="11"/>
      <c r="Z556" s="11"/>
    </row>
    <row r="557" ht="16.5" customHeight="1">
      <c r="A557" s="11"/>
      <c r="B557" s="11"/>
      <c r="C557" s="11"/>
      <c r="D557" s="11"/>
      <c r="E557" s="11"/>
      <c r="F557" s="11"/>
      <c r="G557" s="12"/>
      <c r="H557" s="11"/>
      <c r="I557" s="12"/>
      <c r="J557" s="12"/>
      <c r="K557" s="12"/>
      <c r="L557" s="11"/>
      <c r="M557" s="11"/>
      <c r="N557" s="11"/>
      <c r="O557" s="11"/>
      <c r="P557" s="11"/>
      <c r="Q557" s="11"/>
      <c r="R557" s="11"/>
      <c r="S557" s="11"/>
      <c r="T557" s="11"/>
      <c r="U557" s="11"/>
      <c r="V557" s="11"/>
      <c r="W557" s="11"/>
      <c r="X557" s="11"/>
      <c r="Y557" s="11"/>
      <c r="Z557" s="11"/>
    </row>
    <row r="558" ht="16.5" customHeight="1">
      <c r="A558" s="11"/>
      <c r="B558" s="11"/>
      <c r="C558" s="11"/>
      <c r="D558" s="11"/>
      <c r="E558" s="11"/>
      <c r="F558" s="11"/>
      <c r="G558" s="12"/>
      <c r="H558" s="11"/>
      <c r="I558" s="12"/>
      <c r="J558" s="12"/>
      <c r="K558" s="12"/>
      <c r="L558" s="11"/>
      <c r="M558" s="11"/>
      <c r="N558" s="11"/>
      <c r="O558" s="11"/>
      <c r="P558" s="11"/>
      <c r="Q558" s="11"/>
      <c r="R558" s="11"/>
      <c r="S558" s="11"/>
      <c r="T558" s="11"/>
      <c r="U558" s="11"/>
      <c r="V558" s="11"/>
      <c r="W558" s="11"/>
      <c r="X558" s="11"/>
      <c r="Y558" s="11"/>
      <c r="Z558" s="11"/>
    </row>
    <row r="559" ht="16.5" customHeight="1">
      <c r="A559" s="11"/>
      <c r="B559" s="11"/>
      <c r="C559" s="11"/>
      <c r="D559" s="11"/>
      <c r="E559" s="11"/>
      <c r="F559" s="11"/>
      <c r="G559" s="12"/>
      <c r="H559" s="11"/>
      <c r="I559" s="12"/>
      <c r="J559" s="12"/>
      <c r="K559" s="12"/>
      <c r="L559" s="11"/>
      <c r="M559" s="11"/>
      <c r="N559" s="11"/>
      <c r="O559" s="11"/>
      <c r="P559" s="11"/>
      <c r="Q559" s="11"/>
      <c r="R559" s="11"/>
      <c r="S559" s="11"/>
      <c r="T559" s="11"/>
      <c r="U559" s="11"/>
      <c r="V559" s="11"/>
      <c r="W559" s="11"/>
      <c r="X559" s="11"/>
      <c r="Y559" s="11"/>
      <c r="Z559" s="11"/>
    </row>
    <row r="560" ht="16.5" customHeight="1">
      <c r="A560" s="11"/>
      <c r="B560" s="11"/>
      <c r="C560" s="11"/>
      <c r="D560" s="11"/>
      <c r="E560" s="11"/>
      <c r="F560" s="11"/>
      <c r="G560" s="12"/>
      <c r="H560" s="11"/>
      <c r="I560" s="12"/>
      <c r="J560" s="12"/>
      <c r="K560" s="12"/>
      <c r="L560" s="11"/>
      <c r="M560" s="11"/>
      <c r="N560" s="11"/>
      <c r="O560" s="11"/>
      <c r="P560" s="11"/>
      <c r="Q560" s="11"/>
      <c r="R560" s="11"/>
      <c r="S560" s="11"/>
      <c r="T560" s="11"/>
      <c r="U560" s="11"/>
      <c r="V560" s="11"/>
      <c r="W560" s="11"/>
      <c r="X560" s="11"/>
      <c r="Y560" s="11"/>
      <c r="Z560" s="11"/>
    </row>
    <row r="561" ht="16.5" customHeight="1">
      <c r="A561" s="11"/>
      <c r="B561" s="11"/>
      <c r="C561" s="11"/>
      <c r="D561" s="11"/>
      <c r="E561" s="11"/>
      <c r="F561" s="11"/>
      <c r="G561" s="12"/>
      <c r="H561" s="11"/>
      <c r="I561" s="12"/>
      <c r="J561" s="12"/>
      <c r="K561" s="12"/>
      <c r="L561" s="11"/>
      <c r="M561" s="11"/>
      <c r="N561" s="11"/>
      <c r="O561" s="11"/>
      <c r="P561" s="11"/>
      <c r="Q561" s="11"/>
      <c r="R561" s="11"/>
      <c r="S561" s="11"/>
      <c r="T561" s="11"/>
      <c r="U561" s="11"/>
      <c r="V561" s="11"/>
      <c r="W561" s="11"/>
      <c r="X561" s="11"/>
      <c r="Y561" s="11"/>
      <c r="Z561" s="11"/>
    </row>
    <row r="562" ht="16.5" customHeight="1">
      <c r="A562" s="11"/>
      <c r="B562" s="11"/>
      <c r="C562" s="11"/>
      <c r="D562" s="11"/>
      <c r="E562" s="11"/>
      <c r="F562" s="11"/>
      <c r="G562" s="12"/>
      <c r="H562" s="11"/>
      <c r="I562" s="12"/>
      <c r="J562" s="12"/>
      <c r="K562" s="12"/>
      <c r="L562" s="11"/>
      <c r="M562" s="11"/>
      <c r="N562" s="11"/>
      <c r="O562" s="11"/>
      <c r="P562" s="11"/>
      <c r="Q562" s="11"/>
      <c r="R562" s="11"/>
      <c r="S562" s="11"/>
      <c r="T562" s="11"/>
      <c r="U562" s="11"/>
      <c r="V562" s="11"/>
      <c r="W562" s="11"/>
      <c r="X562" s="11"/>
      <c r="Y562" s="11"/>
      <c r="Z562" s="11"/>
    </row>
    <row r="563" ht="16.5" customHeight="1">
      <c r="A563" s="11"/>
      <c r="B563" s="11"/>
      <c r="C563" s="11"/>
      <c r="D563" s="11"/>
      <c r="E563" s="11"/>
      <c r="F563" s="11"/>
      <c r="G563" s="12"/>
      <c r="H563" s="11"/>
      <c r="I563" s="12"/>
      <c r="J563" s="12"/>
      <c r="K563" s="12"/>
      <c r="L563" s="11"/>
      <c r="M563" s="11"/>
      <c r="N563" s="11"/>
      <c r="O563" s="11"/>
      <c r="P563" s="11"/>
      <c r="Q563" s="11"/>
      <c r="R563" s="11"/>
      <c r="S563" s="11"/>
      <c r="T563" s="11"/>
      <c r="U563" s="11"/>
      <c r="V563" s="11"/>
      <c r="W563" s="11"/>
      <c r="X563" s="11"/>
      <c r="Y563" s="11"/>
      <c r="Z563" s="11"/>
    </row>
    <row r="564" ht="16.5" customHeight="1">
      <c r="A564" s="11"/>
      <c r="B564" s="11"/>
      <c r="C564" s="11"/>
      <c r="D564" s="11"/>
      <c r="E564" s="11"/>
      <c r="F564" s="11"/>
      <c r="G564" s="12"/>
      <c r="H564" s="11"/>
      <c r="I564" s="12"/>
      <c r="J564" s="12"/>
      <c r="K564" s="12"/>
      <c r="L564" s="11"/>
      <c r="M564" s="11"/>
      <c r="N564" s="11"/>
      <c r="O564" s="11"/>
      <c r="P564" s="11"/>
      <c r="Q564" s="11"/>
      <c r="R564" s="11"/>
      <c r="S564" s="11"/>
      <c r="T564" s="11"/>
      <c r="U564" s="11"/>
      <c r="V564" s="11"/>
      <c r="W564" s="11"/>
      <c r="X564" s="11"/>
      <c r="Y564" s="11"/>
      <c r="Z564" s="11"/>
    </row>
    <row r="565" ht="16.5" customHeight="1">
      <c r="A565" s="11"/>
      <c r="B565" s="11"/>
      <c r="C565" s="11"/>
      <c r="D565" s="11"/>
      <c r="E565" s="11"/>
      <c r="F565" s="11"/>
      <c r="G565" s="12"/>
      <c r="H565" s="11"/>
      <c r="I565" s="12"/>
      <c r="J565" s="12"/>
      <c r="K565" s="12"/>
      <c r="L565" s="11"/>
      <c r="M565" s="11"/>
      <c r="N565" s="11"/>
      <c r="O565" s="11"/>
      <c r="P565" s="11"/>
      <c r="Q565" s="11"/>
      <c r="R565" s="11"/>
      <c r="S565" s="11"/>
      <c r="T565" s="11"/>
      <c r="U565" s="11"/>
      <c r="V565" s="11"/>
      <c r="W565" s="11"/>
      <c r="X565" s="11"/>
      <c r="Y565" s="11"/>
      <c r="Z565" s="11"/>
    </row>
    <row r="566" ht="16.5" customHeight="1">
      <c r="A566" s="11"/>
      <c r="B566" s="11"/>
      <c r="C566" s="11"/>
      <c r="D566" s="11"/>
      <c r="E566" s="11"/>
      <c r="F566" s="11"/>
      <c r="G566" s="12"/>
      <c r="H566" s="11"/>
      <c r="I566" s="12"/>
      <c r="J566" s="12"/>
      <c r="K566" s="12"/>
      <c r="L566" s="11"/>
      <c r="M566" s="11"/>
      <c r="N566" s="11"/>
      <c r="O566" s="11"/>
      <c r="P566" s="11"/>
      <c r="Q566" s="11"/>
      <c r="R566" s="11"/>
      <c r="S566" s="11"/>
      <c r="T566" s="11"/>
      <c r="U566" s="11"/>
      <c r="V566" s="11"/>
      <c r="W566" s="11"/>
      <c r="X566" s="11"/>
      <c r="Y566" s="11"/>
      <c r="Z566" s="11"/>
    </row>
    <row r="567" ht="16.5" customHeight="1">
      <c r="A567" s="11"/>
      <c r="B567" s="11"/>
      <c r="C567" s="11"/>
      <c r="D567" s="11"/>
      <c r="E567" s="11"/>
      <c r="F567" s="11"/>
      <c r="G567" s="12"/>
      <c r="H567" s="11"/>
      <c r="I567" s="12"/>
      <c r="J567" s="12"/>
      <c r="K567" s="12"/>
      <c r="L567" s="11"/>
      <c r="M567" s="11"/>
      <c r="N567" s="11"/>
      <c r="O567" s="11"/>
      <c r="P567" s="11"/>
      <c r="Q567" s="11"/>
      <c r="R567" s="11"/>
      <c r="S567" s="11"/>
      <c r="T567" s="11"/>
      <c r="U567" s="11"/>
      <c r="V567" s="11"/>
      <c r="W567" s="11"/>
      <c r="X567" s="11"/>
      <c r="Y567" s="11"/>
      <c r="Z567" s="11"/>
    </row>
    <row r="568" ht="16.5" customHeight="1">
      <c r="A568" s="11"/>
      <c r="B568" s="11"/>
      <c r="C568" s="11"/>
      <c r="D568" s="11"/>
      <c r="E568" s="11"/>
      <c r="F568" s="11"/>
      <c r="G568" s="12"/>
      <c r="H568" s="11"/>
      <c r="I568" s="12"/>
      <c r="J568" s="12"/>
      <c r="K568" s="12"/>
      <c r="L568" s="11"/>
      <c r="M568" s="11"/>
      <c r="N568" s="11"/>
      <c r="O568" s="11"/>
      <c r="P568" s="11"/>
      <c r="Q568" s="11"/>
      <c r="R568" s="11"/>
      <c r="S568" s="11"/>
      <c r="T568" s="11"/>
      <c r="U568" s="11"/>
      <c r="V568" s="11"/>
      <c r="W568" s="11"/>
      <c r="X568" s="11"/>
      <c r="Y568" s="11"/>
      <c r="Z568" s="11"/>
    </row>
    <row r="569" ht="16.5" customHeight="1">
      <c r="A569" s="11"/>
      <c r="B569" s="11"/>
      <c r="C569" s="11"/>
      <c r="D569" s="11"/>
      <c r="E569" s="11"/>
      <c r="F569" s="11"/>
      <c r="G569" s="12"/>
      <c r="H569" s="11"/>
      <c r="I569" s="12"/>
      <c r="J569" s="12"/>
      <c r="K569" s="12"/>
      <c r="L569" s="11"/>
      <c r="M569" s="11"/>
      <c r="N569" s="11"/>
      <c r="O569" s="11"/>
      <c r="P569" s="11"/>
      <c r="Q569" s="11"/>
      <c r="R569" s="11"/>
      <c r="S569" s="11"/>
      <c r="T569" s="11"/>
      <c r="U569" s="11"/>
      <c r="V569" s="11"/>
      <c r="W569" s="11"/>
      <c r="X569" s="11"/>
      <c r="Y569" s="11"/>
      <c r="Z569" s="11"/>
    </row>
    <row r="570" ht="16.5" customHeight="1">
      <c r="A570" s="11"/>
      <c r="B570" s="11"/>
      <c r="C570" s="11"/>
      <c r="D570" s="11"/>
      <c r="E570" s="11"/>
      <c r="F570" s="11"/>
      <c r="G570" s="12"/>
      <c r="H570" s="11"/>
      <c r="I570" s="12"/>
      <c r="J570" s="12"/>
      <c r="K570" s="12"/>
      <c r="L570" s="11"/>
      <c r="M570" s="11"/>
      <c r="N570" s="11"/>
      <c r="O570" s="11"/>
      <c r="P570" s="11"/>
      <c r="Q570" s="11"/>
      <c r="R570" s="11"/>
      <c r="S570" s="11"/>
      <c r="T570" s="11"/>
      <c r="U570" s="11"/>
      <c r="V570" s="11"/>
      <c r="W570" s="11"/>
      <c r="X570" s="11"/>
      <c r="Y570" s="11"/>
      <c r="Z570" s="11"/>
    </row>
    <row r="571" ht="16.5" customHeight="1">
      <c r="A571" s="11"/>
      <c r="B571" s="11"/>
      <c r="C571" s="11"/>
      <c r="D571" s="11"/>
      <c r="E571" s="11"/>
      <c r="F571" s="11"/>
      <c r="G571" s="12"/>
      <c r="H571" s="11"/>
      <c r="I571" s="12"/>
      <c r="J571" s="12"/>
      <c r="K571" s="12"/>
      <c r="L571" s="11"/>
      <c r="M571" s="11"/>
      <c r="N571" s="11"/>
      <c r="O571" s="11"/>
      <c r="P571" s="11"/>
      <c r="Q571" s="11"/>
      <c r="R571" s="11"/>
      <c r="S571" s="11"/>
      <c r="T571" s="11"/>
      <c r="U571" s="11"/>
      <c r="V571" s="11"/>
      <c r="W571" s="11"/>
      <c r="X571" s="11"/>
      <c r="Y571" s="11"/>
      <c r="Z571" s="11"/>
    </row>
    <row r="572" ht="16.5" customHeight="1">
      <c r="A572" s="11"/>
      <c r="B572" s="11"/>
      <c r="C572" s="11"/>
      <c r="D572" s="11"/>
      <c r="E572" s="11"/>
      <c r="F572" s="11"/>
      <c r="G572" s="12"/>
      <c r="H572" s="11"/>
      <c r="I572" s="12"/>
      <c r="J572" s="12"/>
      <c r="K572" s="12"/>
      <c r="L572" s="11"/>
      <c r="M572" s="11"/>
      <c r="N572" s="11"/>
      <c r="O572" s="11"/>
      <c r="P572" s="11"/>
      <c r="Q572" s="11"/>
      <c r="R572" s="11"/>
      <c r="S572" s="11"/>
      <c r="T572" s="11"/>
      <c r="U572" s="11"/>
      <c r="V572" s="11"/>
      <c r="W572" s="11"/>
      <c r="X572" s="11"/>
      <c r="Y572" s="11"/>
      <c r="Z572" s="11"/>
    </row>
    <row r="573" ht="16.5" customHeight="1">
      <c r="A573" s="11"/>
      <c r="B573" s="11"/>
      <c r="C573" s="11"/>
      <c r="D573" s="11"/>
      <c r="E573" s="11"/>
      <c r="F573" s="11"/>
      <c r="G573" s="12"/>
      <c r="H573" s="11"/>
      <c r="I573" s="12"/>
      <c r="J573" s="12"/>
      <c r="K573" s="12"/>
      <c r="L573" s="11"/>
      <c r="M573" s="11"/>
      <c r="N573" s="11"/>
      <c r="O573" s="11"/>
      <c r="P573" s="11"/>
      <c r="Q573" s="11"/>
      <c r="R573" s="11"/>
      <c r="S573" s="11"/>
      <c r="T573" s="11"/>
      <c r="U573" s="11"/>
      <c r="V573" s="11"/>
      <c r="W573" s="11"/>
      <c r="X573" s="11"/>
      <c r="Y573" s="11"/>
      <c r="Z573" s="11"/>
    </row>
    <row r="574" ht="16.5" customHeight="1">
      <c r="A574" s="11"/>
      <c r="B574" s="11"/>
      <c r="C574" s="11"/>
      <c r="D574" s="11"/>
      <c r="E574" s="11"/>
      <c r="F574" s="11"/>
      <c r="G574" s="12"/>
      <c r="H574" s="11"/>
      <c r="I574" s="12"/>
      <c r="J574" s="12"/>
      <c r="K574" s="12"/>
      <c r="L574" s="11"/>
      <c r="M574" s="11"/>
      <c r="N574" s="11"/>
      <c r="O574" s="11"/>
      <c r="P574" s="11"/>
      <c r="Q574" s="11"/>
      <c r="R574" s="11"/>
      <c r="S574" s="11"/>
      <c r="T574" s="11"/>
      <c r="U574" s="11"/>
      <c r="V574" s="11"/>
      <c r="W574" s="11"/>
      <c r="X574" s="11"/>
      <c r="Y574" s="11"/>
      <c r="Z574" s="11"/>
    </row>
    <row r="575" ht="16.5" customHeight="1">
      <c r="A575" s="11"/>
      <c r="B575" s="11"/>
      <c r="C575" s="11"/>
      <c r="D575" s="11"/>
      <c r="E575" s="11"/>
      <c r="F575" s="11"/>
      <c r="G575" s="12"/>
      <c r="H575" s="11"/>
      <c r="I575" s="12"/>
      <c r="J575" s="12"/>
      <c r="K575" s="12"/>
      <c r="L575" s="11"/>
      <c r="M575" s="11"/>
      <c r="N575" s="11"/>
      <c r="O575" s="11"/>
      <c r="P575" s="11"/>
      <c r="Q575" s="11"/>
      <c r="R575" s="11"/>
      <c r="S575" s="11"/>
      <c r="T575" s="11"/>
      <c r="U575" s="11"/>
      <c r="V575" s="11"/>
      <c r="W575" s="11"/>
      <c r="X575" s="11"/>
      <c r="Y575" s="11"/>
      <c r="Z575" s="11"/>
    </row>
    <row r="576" ht="16.5" customHeight="1">
      <c r="A576" s="11"/>
      <c r="B576" s="11"/>
      <c r="C576" s="11"/>
      <c r="D576" s="11"/>
      <c r="E576" s="11"/>
      <c r="F576" s="11"/>
      <c r="G576" s="12"/>
      <c r="H576" s="11"/>
      <c r="I576" s="12"/>
      <c r="J576" s="12"/>
      <c r="K576" s="12"/>
      <c r="L576" s="11"/>
      <c r="M576" s="11"/>
      <c r="N576" s="11"/>
      <c r="O576" s="11"/>
      <c r="P576" s="11"/>
      <c r="Q576" s="11"/>
      <c r="R576" s="11"/>
      <c r="S576" s="11"/>
      <c r="T576" s="11"/>
      <c r="U576" s="11"/>
      <c r="V576" s="11"/>
      <c r="W576" s="11"/>
      <c r="X576" s="11"/>
      <c r="Y576" s="11"/>
      <c r="Z576" s="11"/>
    </row>
    <row r="577" ht="16.5" customHeight="1">
      <c r="A577" s="11"/>
      <c r="B577" s="11"/>
      <c r="C577" s="11"/>
      <c r="D577" s="11"/>
      <c r="E577" s="11"/>
      <c r="F577" s="11"/>
      <c r="G577" s="12"/>
      <c r="H577" s="11"/>
      <c r="I577" s="12"/>
      <c r="J577" s="12"/>
      <c r="K577" s="12"/>
      <c r="L577" s="11"/>
      <c r="M577" s="11"/>
      <c r="N577" s="11"/>
      <c r="O577" s="11"/>
      <c r="P577" s="11"/>
      <c r="Q577" s="11"/>
      <c r="R577" s="11"/>
      <c r="S577" s="11"/>
      <c r="T577" s="11"/>
      <c r="U577" s="11"/>
      <c r="V577" s="11"/>
      <c r="W577" s="11"/>
      <c r="X577" s="11"/>
      <c r="Y577" s="11"/>
      <c r="Z577" s="11"/>
    </row>
    <row r="578" ht="16.5" customHeight="1">
      <c r="A578" s="11"/>
      <c r="B578" s="11"/>
      <c r="C578" s="11"/>
      <c r="D578" s="11"/>
      <c r="E578" s="11"/>
      <c r="F578" s="11"/>
      <c r="G578" s="12"/>
      <c r="H578" s="11"/>
      <c r="I578" s="12"/>
      <c r="J578" s="12"/>
      <c r="K578" s="12"/>
      <c r="L578" s="11"/>
      <c r="M578" s="11"/>
      <c r="N578" s="11"/>
      <c r="O578" s="11"/>
      <c r="P578" s="11"/>
      <c r="Q578" s="11"/>
      <c r="R578" s="11"/>
      <c r="S578" s="11"/>
      <c r="T578" s="11"/>
      <c r="U578" s="11"/>
      <c r="V578" s="11"/>
      <c r="W578" s="11"/>
      <c r="X578" s="11"/>
      <c r="Y578" s="11"/>
      <c r="Z578" s="11"/>
    </row>
    <row r="579" ht="16.5" customHeight="1">
      <c r="A579" s="11"/>
      <c r="B579" s="11"/>
      <c r="C579" s="11"/>
      <c r="D579" s="11"/>
      <c r="E579" s="11"/>
      <c r="F579" s="11"/>
      <c r="G579" s="12"/>
      <c r="H579" s="11"/>
      <c r="I579" s="12"/>
      <c r="J579" s="12"/>
      <c r="K579" s="12"/>
      <c r="L579" s="11"/>
      <c r="M579" s="11"/>
      <c r="N579" s="11"/>
      <c r="O579" s="11"/>
      <c r="P579" s="11"/>
      <c r="Q579" s="11"/>
      <c r="R579" s="11"/>
      <c r="S579" s="11"/>
      <c r="T579" s="11"/>
      <c r="U579" s="11"/>
      <c r="V579" s="11"/>
      <c r="W579" s="11"/>
      <c r="X579" s="11"/>
      <c r="Y579" s="11"/>
      <c r="Z579" s="11"/>
    </row>
    <row r="580" ht="16.5" customHeight="1">
      <c r="A580" s="11"/>
      <c r="B580" s="11"/>
      <c r="C580" s="11"/>
      <c r="D580" s="11"/>
      <c r="E580" s="11"/>
      <c r="F580" s="11"/>
      <c r="G580" s="12"/>
      <c r="H580" s="11"/>
      <c r="I580" s="12"/>
      <c r="J580" s="12"/>
      <c r="K580" s="12"/>
      <c r="L580" s="11"/>
      <c r="M580" s="11"/>
      <c r="N580" s="11"/>
      <c r="O580" s="11"/>
      <c r="P580" s="11"/>
      <c r="Q580" s="11"/>
      <c r="R580" s="11"/>
      <c r="S580" s="11"/>
      <c r="T580" s="11"/>
      <c r="U580" s="11"/>
      <c r="V580" s="11"/>
      <c r="W580" s="11"/>
      <c r="X580" s="11"/>
      <c r="Y580" s="11"/>
      <c r="Z580" s="11"/>
    </row>
    <row r="581" ht="16.5" customHeight="1">
      <c r="A581" s="11"/>
      <c r="B581" s="11"/>
      <c r="C581" s="11"/>
      <c r="D581" s="11"/>
      <c r="E581" s="11"/>
      <c r="F581" s="11"/>
      <c r="G581" s="12"/>
      <c r="H581" s="11"/>
      <c r="I581" s="12"/>
      <c r="J581" s="12"/>
      <c r="K581" s="12"/>
      <c r="L581" s="11"/>
      <c r="M581" s="11"/>
      <c r="N581" s="11"/>
      <c r="O581" s="11"/>
      <c r="P581" s="11"/>
      <c r="Q581" s="11"/>
      <c r="R581" s="11"/>
      <c r="S581" s="11"/>
      <c r="T581" s="11"/>
      <c r="U581" s="11"/>
      <c r="V581" s="11"/>
      <c r="W581" s="11"/>
      <c r="X581" s="11"/>
      <c r="Y581" s="11"/>
      <c r="Z581" s="11"/>
    </row>
    <row r="582" ht="16.5" customHeight="1">
      <c r="A582" s="11"/>
      <c r="B582" s="11"/>
      <c r="C582" s="11"/>
      <c r="D582" s="11"/>
      <c r="E582" s="11"/>
      <c r="F582" s="11"/>
      <c r="G582" s="12"/>
      <c r="H582" s="11"/>
      <c r="I582" s="12"/>
      <c r="J582" s="12"/>
      <c r="K582" s="12"/>
      <c r="L582" s="11"/>
      <c r="M582" s="11"/>
      <c r="N582" s="11"/>
      <c r="O582" s="11"/>
      <c r="P582" s="11"/>
      <c r="Q582" s="11"/>
      <c r="R582" s="11"/>
      <c r="S582" s="11"/>
      <c r="T582" s="11"/>
      <c r="U582" s="11"/>
      <c r="V582" s="11"/>
      <c r="W582" s="11"/>
      <c r="X582" s="11"/>
      <c r="Y582" s="11"/>
      <c r="Z582" s="11"/>
    </row>
    <row r="583" ht="16.5" customHeight="1">
      <c r="A583" s="11"/>
      <c r="B583" s="11"/>
      <c r="C583" s="11"/>
      <c r="D583" s="11"/>
      <c r="E583" s="11"/>
      <c r="F583" s="11"/>
      <c r="G583" s="12"/>
      <c r="H583" s="11"/>
      <c r="I583" s="12"/>
      <c r="J583" s="12"/>
      <c r="K583" s="12"/>
      <c r="L583" s="11"/>
      <c r="M583" s="11"/>
      <c r="N583" s="11"/>
      <c r="O583" s="11"/>
      <c r="P583" s="11"/>
      <c r="Q583" s="11"/>
      <c r="R583" s="11"/>
      <c r="S583" s="11"/>
      <c r="T583" s="11"/>
      <c r="U583" s="11"/>
      <c r="V583" s="11"/>
      <c r="W583" s="11"/>
      <c r="X583" s="11"/>
      <c r="Y583" s="11"/>
      <c r="Z583" s="11"/>
    </row>
    <row r="584" ht="16.5" customHeight="1">
      <c r="A584" s="11"/>
      <c r="B584" s="11"/>
      <c r="C584" s="11"/>
      <c r="D584" s="11"/>
      <c r="E584" s="11"/>
      <c r="F584" s="11"/>
      <c r="G584" s="12"/>
      <c r="H584" s="11"/>
      <c r="I584" s="12"/>
      <c r="J584" s="12"/>
      <c r="K584" s="12"/>
      <c r="L584" s="11"/>
      <c r="M584" s="11"/>
      <c r="N584" s="11"/>
      <c r="O584" s="11"/>
      <c r="P584" s="11"/>
      <c r="Q584" s="11"/>
      <c r="R584" s="11"/>
      <c r="S584" s="11"/>
      <c r="T584" s="11"/>
      <c r="U584" s="11"/>
      <c r="V584" s="11"/>
      <c r="W584" s="11"/>
      <c r="X584" s="11"/>
      <c r="Y584" s="11"/>
      <c r="Z584" s="11"/>
    </row>
    <row r="585" ht="16.5" customHeight="1">
      <c r="A585" s="11"/>
      <c r="B585" s="11"/>
      <c r="C585" s="11"/>
      <c r="D585" s="11"/>
      <c r="E585" s="11"/>
      <c r="F585" s="11"/>
      <c r="G585" s="12"/>
      <c r="H585" s="11"/>
      <c r="I585" s="12"/>
      <c r="J585" s="12"/>
      <c r="K585" s="12"/>
      <c r="L585" s="11"/>
      <c r="M585" s="11"/>
      <c r="N585" s="11"/>
      <c r="O585" s="11"/>
      <c r="P585" s="11"/>
      <c r="Q585" s="11"/>
      <c r="R585" s="11"/>
      <c r="S585" s="11"/>
      <c r="T585" s="11"/>
      <c r="U585" s="11"/>
      <c r="V585" s="11"/>
      <c r="W585" s="11"/>
      <c r="X585" s="11"/>
      <c r="Y585" s="11"/>
      <c r="Z585" s="11"/>
    </row>
    <row r="586" ht="16.5" customHeight="1">
      <c r="A586" s="11"/>
      <c r="B586" s="11"/>
      <c r="C586" s="11"/>
      <c r="D586" s="11"/>
      <c r="E586" s="11"/>
      <c r="F586" s="11"/>
      <c r="G586" s="12"/>
      <c r="H586" s="11"/>
      <c r="I586" s="12"/>
      <c r="J586" s="12"/>
      <c r="K586" s="12"/>
      <c r="L586" s="11"/>
      <c r="M586" s="11"/>
      <c r="N586" s="11"/>
      <c r="O586" s="11"/>
      <c r="P586" s="11"/>
      <c r="Q586" s="11"/>
      <c r="R586" s="11"/>
      <c r="S586" s="11"/>
      <c r="T586" s="11"/>
      <c r="U586" s="11"/>
      <c r="V586" s="11"/>
      <c r="W586" s="11"/>
      <c r="X586" s="11"/>
      <c r="Y586" s="11"/>
      <c r="Z586" s="11"/>
    </row>
    <row r="587" ht="16.5" customHeight="1">
      <c r="A587" s="11"/>
      <c r="B587" s="11"/>
      <c r="C587" s="11"/>
      <c r="D587" s="11"/>
      <c r="E587" s="11"/>
      <c r="F587" s="11"/>
      <c r="G587" s="12"/>
      <c r="H587" s="11"/>
      <c r="I587" s="12"/>
      <c r="J587" s="12"/>
      <c r="K587" s="12"/>
      <c r="L587" s="11"/>
      <c r="M587" s="11"/>
      <c r="N587" s="11"/>
      <c r="O587" s="11"/>
      <c r="P587" s="11"/>
      <c r="Q587" s="11"/>
      <c r="R587" s="11"/>
      <c r="S587" s="11"/>
      <c r="T587" s="11"/>
      <c r="U587" s="11"/>
      <c r="V587" s="11"/>
      <c r="W587" s="11"/>
      <c r="X587" s="11"/>
      <c r="Y587" s="11"/>
      <c r="Z587" s="11"/>
    </row>
    <row r="588" ht="16.5" customHeight="1">
      <c r="A588" s="11"/>
      <c r="B588" s="11"/>
      <c r="C588" s="11"/>
      <c r="D588" s="11"/>
      <c r="E588" s="11"/>
      <c r="F588" s="11"/>
      <c r="G588" s="12"/>
      <c r="H588" s="11"/>
      <c r="I588" s="12"/>
      <c r="J588" s="12"/>
      <c r="K588" s="12"/>
      <c r="L588" s="11"/>
      <c r="M588" s="11"/>
      <c r="N588" s="11"/>
      <c r="O588" s="11"/>
      <c r="P588" s="11"/>
      <c r="Q588" s="11"/>
      <c r="R588" s="11"/>
      <c r="S588" s="11"/>
      <c r="T588" s="11"/>
      <c r="U588" s="11"/>
      <c r="V588" s="11"/>
      <c r="W588" s="11"/>
      <c r="X588" s="11"/>
      <c r="Y588" s="11"/>
      <c r="Z588" s="11"/>
    </row>
    <row r="589" ht="16.5" customHeight="1">
      <c r="A589" s="11"/>
      <c r="B589" s="11"/>
      <c r="C589" s="11"/>
      <c r="D589" s="11"/>
      <c r="E589" s="11"/>
      <c r="F589" s="11"/>
      <c r="G589" s="12"/>
      <c r="H589" s="11"/>
      <c r="I589" s="12"/>
      <c r="J589" s="12"/>
      <c r="K589" s="12"/>
      <c r="L589" s="11"/>
      <c r="M589" s="11"/>
      <c r="N589" s="11"/>
      <c r="O589" s="11"/>
      <c r="P589" s="11"/>
      <c r="Q589" s="11"/>
      <c r="R589" s="11"/>
      <c r="S589" s="11"/>
      <c r="T589" s="11"/>
      <c r="U589" s="11"/>
      <c r="V589" s="11"/>
      <c r="W589" s="11"/>
      <c r="X589" s="11"/>
      <c r="Y589" s="11"/>
      <c r="Z589" s="11"/>
    </row>
    <row r="590" ht="16.5" customHeight="1">
      <c r="A590" s="11"/>
      <c r="B590" s="11"/>
      <c r="C590" s="11"/>
      <c r="D590" s="11"/>
      <c r="E590" s="11"/>
      <c r="F590" s="11"/>
      <c r="G590" s="12"/>
      <c r="H590" s="11"/>
      <c r="I590" s="12"/>
      <c r="J590" s="12"/>
      <c r="K590" s="12"/>
      <c r="L590" s="11"/>
      <c r="M590" s="11"/>
      <c r="N590" s="11"/>
      <c r="O590" s="11"/>
      <c r="P590" s="11"/>
      <c r="Q590" s="11"/>
      <c r="R590" s="11"/>
      <c r="S590" s="11"/>
      <c r="T590" s="11"/>
      <c r="U590" s="11"/>
      <c r="V590" s="11"/>
      <c r="W590" s="11"/>
      <c r="X590" s="11"/>
      <c r="Y590" s="11"/>
      <c r="Z590" s="11"/>
    </row>
    <row r="591" ht="16.5" customHeight="1">
      <c r="A591" s="11"/>
      <c r="B591" s="11"/>
      <c r="C591" s="11"/>
      <c r="D591" s="11"/>
      <c r="E591" s="11"/>
      <c r="F591" s="11"/>
      <c r="G591" s="12"/>
      <c r="H591" s="11"/>
      <c r="I591" s="12"/>
      <c r="J591" s="12"/>
      <c r="K591" s="12"/>
      <c r="L591" s="11"/>
      <c r="M591" s="11"/>
      <c r="N591" s="11"/>
      <c r="O591" s="11"/>
      <c r="P591" s="11"/>
      <c r="Q591" s="11"/>
      <c r="R591" s="11"/>
      <c r="S591" s="11"/>
      <c r="T591" s="11"/>
      <c r="U591" s="11"/>
      <c r="V591" s="11"/>
      <c r="W591" s="11"/>
      <c r="X591" s="11"/>
      <c r="Y591" s="11"/>
      <c r="Z591" s="11"/>
    </row>
    <row r="592" ht="16.5" customHeight="1">
      <c r="A592" s="11"/>
      <c r="B592" s="11"/>
      <c r="C592" s="11"/>
      <c r="D592" s="11"/>
      <c r="E592" s="11"/>
      <c r="F592" s="11"/>
      <c r="G592" s="12"/>
      <c r="H592" s="11"/>
      <c r="I592" s="12"/>
      <c r="J592" s="12"/>
      <c r="K592" s="12"/>
      <c r="L592" s="11"/>
      <c r="M592" s="11"/>
      <c r="N592" s="11"/>
      <c r="O592" s="11"/>
      <c r="P592" s="11"/>
      <c r="Q592" s="11"/>
      <c r="R592" s="11"/>
      <c r="S592" s="11"/>
      <c r="T592" s="11"/>
      <c r="U592" s="11"/>
      <c r="V592" s="11"/>
      <c r="W592" s="11"/>
      <c r="X592" s="11"/>
      <c r="Y592" s="11"/>
      <c r="Z592" s="11"/>
    </row>
    <row r="593" ht="16.5" customHeight="1">
      <c r="A593" s="11"/>
      <c r="B593" s="11"/>
      <c r="C593" s="11"/>
      <c r="D593" s="11"/>
      <c r="E593" s="11"/>
      <c r="F593" s="11"/>
      <c r="G593" s="12"/>
      <c r="H593" s="11"/>
      <c r="I593" s="12"/>
      <c r="J593" s="12"/>
      <c r="K593" s="12"/>
      <c r="L593" s="11"/>
      <c r="M593" s="11"/>
      <c r="N593" s="11"/>
      <c r="O593" s="11"/>
      <c r="P593" s="11"/>
      <c r="Q593" s="11"/>
      <c r="R593" s="11"/>
      <c r="S593" s="11"/>
      <c r="T593" s="11"/>
      <c r="U593" s="11"/>
      <c r="V593" s="11"/>
      <c r="W593" s="11"/>
      <c r="X593" s="11"/>
      <c r="Y593" s="11"/>
      <c r="Z593" s="11"/>
    </row>
    <row r="594" ht="16.5" customHeight="1">
      <c r="A594" s="11"/>
      <c r="B594" s="11"/>
      <c r="C594" s="11"/>
      <c r="D594" s="11"/>
      <c r="E594" s="11"/>
      <c r="F594" s="11"/>
      <c r="G594" s="12"/>
      <c r="H594" s="11"/>
      <c r="I594" s="12"/>
      <c r="J594" s="12"/>
      <c r="K594" s="12"/>
      <c r="L594" s="11"/>
      <c r="M594" s="11"/>
      <c r="N594" s="11"/>
      <c r="O594" s="11"/>
      <c r="P594" s="11"/>
      <c r="Q594" s="11"/>
      <c r="R594" s="11"/>
      <c r="S594" s="11"/>
      <c r="T594" s="11"/>
      <c r="U594" s="11"/>
      <c r="V594" s="11"/>
      <c r="W594" s="11"/>
      <c r="X594" s="11"/>
      <c r="Y594" s="11"/>
      <c r="Z594" s="11"/>
    </row>
    <row r="595" ht="16.5" customHeight="1">
      <c r="A595" s="11"/>
      <c r="B595" s="11"/>
      <c r="C595" s="11"/>
      <c r="D595" s="11"/>
      <c r="E595" s="11"/>
      <c r="F595" s="11"/>
      <c r="G595" s="12"/>
      <c r="H595" s="11"/>
      <c r="I595" s="12"/>
      <c r="J595" s="12"/>
      <c r="K595" s="12"/>
      <c r="L595" s="11"/>
      <c r="M595" s="11"/>
      <c r="N595" s="11"/>
      <c r="O595" s="11"/>
      <c r="P595" s="11"/>
      <c r="Q595" s="11"/>
      <c r="R595" s="11"/>
      <c r="S595" s="11"/>
      <c r="T595" s="11"/>
      <c r="U595" s="11"/>
      <c r="V595" s="11"/>
      <c r="W595" s="11"/>
      <c r="X595" s="11"/>
      <c r="Y595" s="11"/>
      <c r="Z595" s="11"/>
    </row>
    <row r="596" ht="16.5" customHeight="1">
      <c r="A596" s="11"/>
      <c r="B596" s="11"/>
      <c r="C596" s="11"/>
      <c r="D596" s="11"/>
      <c r="E596" s="11"/>
      <c r="F596" s="11"/>
      <c r="G596" s="12"/>
      <c r="H596" s="11"/>
      <c r="I596" s="12"/>
      <c r="J596" s="12"/>
      <c r="K596" s="12"/>
      <c r="L596" s="11"/>
      <c r="M596" s="11"/>
      <c r="N596" s="11"/>
      <c r="O596" s="11"/>
      <c r="P596" s="11"/>
      <c r="Q596" s="11"/>
      <c r="R596" s="11"/>
      <c r="S596" s="11"/>
      <c r="T596" s="11"/>
      <c r="U596" s="11"/>
      <c r="V596" s="11"/>
      <c r="W596" s="11"/>
      <c r="X596" s="11"/>
      <c r="Y596" s="11"/>
      <c r="Z596" s="11"/>
    </row>
    <row r="597" ht="16.5" customHeight="1">
      <c r="A597" s="11"/>
      <c r="B597" s="11"/>
      <c r="C597" s="11"/>
      <c r="D597" s="11"/>
      <c r="E597" s="11"/>
      <c r="F597" s="11"/>
      <c r="G597" s="12"/>
      <c r="H597" s="11"/>
      <c r="I597" s="12"/>
      <c r="J597" s="12"/>
      <c r="K597" s="12"/>
      <c r="L597" s="11"/>
      <c r="M597" s="11"/>
      <c r="N597" s="11"/>
      <c r="O597" s="11"/>
      <c r="P597" s="11"/>
      <c r="Q597" s="11"/>
      <c r="R597" s="11"/>
      <c r="S597" s="11"/>
      <c r="T597" s="11"/>
      <c r="U597" s="11"/>
      <c r="V597" s="11"/>
      <c r="W597" s="11"/>
      <c r="X597" s="11"/>
      <c r="Y597" s="11"/>
      <c r="Z597" s="11"/>
    </row>
    <row r="598" ht="16.5" customHeight="1">
      <c r="A598" s="11"/>
      <c r="B598" s="11"/>
      <c r="C598" s="11"/>
      <c r="D598" s="11"/>
      <c r="E598" s="11"/>
      <c r="F598" s="11"/>
      <c r="G598" s="12"/>
      <c r="H598" s="11"/>
      <c r="I598" s="12"/>
      <c r="J598" s="12"/>
      <c r="K598" s="12"/>
      <c r="L598" s="11"/>
      <c r="M598" s="11"/>
      <c r="N598" s="11"/>
      <c r="O598" s="11"/>
      <c r="P598" s="11"/>
      <c r="Q598" s="11"/>
      <c r="R598" s="11"/>
      <c r="S598" s="11"/>
      <c r="T598" s="11"/>
      <c r="U598" s="11"/>
      <c r="V598" s="11"/>
      <c r="W598" s="11"/>
      <c r="X598" s="11"/>
      <c r="Y598" s="11"/>
      <c r="Z598" s="11"/>
    </row>
    <row r="599" ht="16.5" customHeight="1">
      <c r="A599" s="11"/>
      <c r="B599" s="11"/>
      <c r="C599" s="11"/>
      <c r="D599" s="11"/>
      <c r="E599" s="11"/>
      <c r="F599" s="11"/>
      <c r="G599" s="12"/>
      <c r="H599" s="11"/>
      <c r="I599" s="12"/>
      <c r="J599" s="12"/>
      <c r="K599" s="12"/>
      <c r="L599" s="11"/>
      <c r="M599" s="11"/>
      <c r="N599" s="11"/>
      <c r="O599" s="11"/>
      <c r="P599" s="11"/>
      <c r="Q599" s="11"/>
      <c r="R599" s="11"/>
      <c r="S599" s="11"/>
      <c r="T599" s="11"/>
      <c r="U599" s="11"/>
      <c r="V599" s="11"/>
      <c r="W599" s="11"/>
      <c r="X599" s="11"/>
      <c r="Y599" s="11"/>
      <c r="Z599" s="11"/>
    </row>
    <row r="600" ht="16.5" customHeight="1">
      <c r="A600" s="11"/>
      <c r="B600" s="11"/>
      <c r="C600" s="11"/>
      <c r="D600" s="11"/>
      <c r="E600" s="11"/>
      <c r="F600" s="11"/>
      <c r="G600" s="12"/>
      <c r="H600" s="11"/>
      <c r="I600" s="12"/>
      <c r="J600" s="12"/>
      <c r="K600" s="12"/>
      <c r="L600" s="11"/>
      <c r="M600" s="11"/>
      <c r="N600" s="11"/>
      <c r="O600" s="11"/>
      <c r="P600" s="11"/>
      <c r="Q600" s="11"/>
      <c r="R600" s="11"/>
      <c r="S600" s="11"/>
      <c r="T600" s="11"/>
      <c r="U600" s="11"/>
      <c r="V600" s="11"/>
      <c r="W600" s="11"/>
      <c r="X600" s="11"/>
      <c r="Y600" s="11"/>
      <c r="Z600" s="11"/>
    </row>
    <row r="601" ht="16.5" customHeight="1">
      <c r="A601" s="11"/>
      <c r="B601" s="11"/>
      <c r="C601" s="11"/>
      <c r="D601" s="11"/>
      <c r="E601" s="11"/>
      <c r="F601" s="11"/>
      <c r="G601" s="12"/>
      <c r="H601" s="11"/>
      <c r="I601" s="12"/>
      <c r="J601" s="12"/>
      <c r="K601" s="12"/>
      <c r="L601" s="11"/>
      <c r="M601" s="11"/>
      <c r="N601" s="11"/>
      <c r="O601" s="11"/>
      <c r="P601" s="11"/>
      <c r="Q601" s="11"/>
      <c r="R601" s="11"/>
      <c r="S601" s="11"/>
      <c r="T601" s="11"/>
      <c r="U601" s="11"/>
      <c r="V601" s="11"/>
      <c r="W601" s="11"/>
      <c r="X601" s="11"/>
      <c r="Y601" s="11"/>
      <c r="Z601" s="11"/>
    </row>
    <row r="602" ht="16.5" customHeight="1">
      <c r="A602" s="11"/>
      <c r="B602" s="11"/>
      <c r="C602" s="11"/>
      <c r="D602" s="11"/>
      <c r="E602" s="11"/>
      <c r="F602" s="11"/>
      <c r="G602" s="12"/>
      <c r="H602" s="11"/>
      <c r="I602" s="12"/>
      <c r="J602" s="12"/>
      <c r="K602" s="12"/>
      <c r="L602" s="11"/>
      <c r="M602" s="11"/>
      <c r="N602" s="11"/>
      <c r="O602" s="11"/>
      <c r="P602" s="11"/>
      <c r="Q602" s="11"/>
      <c r="R602" s="11"/>
      <c r="S602" s="11"/>
      <c r="T602" s="11"/>
      <c r="U602" s="11"/>
      <c r="V602" s="11"/>
      <c r="W602" s="11"/>
      <c r="X602" s="11"/>
      <c r="Y602" s="11"/>
      <c r="Z602" s="11"/>
    </row>
    <row r="603" ht="16.5" customHeight="1">
      <c r="A603" s="11"/>
      <c r="B603" s="11"/>
      <c r="C603" s="11"/>
      <c r="D603" s="11"/>
      <c r="E603" s="11"/>
      <c r="F603" s="11"/>
      <c r="G603" s="12"/>
      <c r="H603" s="11"/>
      <c r="I603" s="12"/>
      <c r="J603" s="12"/>
      <c r="K603" s="12"/>
      <c r="L603" s="11"/>
      <c r="M603" s="11"/>
      <c r="N603" s="11"/>
      <c r="O603" s="11"/>
      <c r="P603" s="11"/>
      <c r="Q603" s="11"/>
      <c r="R603" s="11"/>
      <c r="S603" s="11"/>
      <c r="T603" s="11"/>
      <c r="U603" s="11"/>
      <c r="V603" s="11"/>
      <c r="W603" s="11"/>
      <c r="X603" s="11"/>
      <c r="Y603" s="11"/>
      <c r="Z603" s="11"/>
    </row>
    <row r="604" ht="16.5" customHeight="1">
      <c r="A604" s="11"/>
      <c r="B604" s="11"/>
      <c r="C604" s="11"/>
      <c r="D604" s="11"/>
      <c r="E604" s="11"/>
      <c r="F604" s="11"/>
      <c r="G604" s="12"/>
      <c r="H604" s="11"/>
      <c r="I604" s="12"/>
      <c r="J604" s="12"/>
      <c r="K604" s="12"/>
      <c r="L604" s="11"/>
      <c r="M604" s="11"/>
      <c r="N604" s="11"/>
      <c r="O604" s="11"/>
      <c r="P604" s="11"/>
      <c r="Q604" s="11"/>
      <c r="R604" s="11"/>
      <c r="S604" s="11"/>
      <c r="T604" s="11"/>
      <c r="U604" s="11"/>
      <c r="V604" s="11"/>
      <c r="W604" s="11"/>
      <c r="X604" s="11"/>
      <c r="Y604" s="11"/>
      <c r="Z604" s="11"/>
    </row>
    <row r="605" ht="16.5" customHeight="1">
      <c r="A605" s="11"/>
      <c r="B605" s="11"/>
      <c r="C605" s="11"/>
      <c r="D605" s="11"/>
      <c r="E605" s="11"/>
      <c r="F605" s="11"/>
      <c r="G605" s="12"/>
      <c r="H605" s="11"/>
      <c r="I605" s="12"/>
      <c r="J605" s="12"/>
      <c r="K605" s="12"/>
      <c r="L605" s="11"/>
      <c r="M605" s="11"/>
      <c r="N605" s="11"/>
      <c r="O605" s="11"/>
      <c r="P605" s="11"/>
      <c r="Q605" s="11"/>
      <c r="R605" s="11"/>
      <c r="S605" s="11"/>
      <c r="T605" s="11"/>
      <c r="U605" s="11"/>
      <c r="V605" s="11"/>
      <c r="W605" s="11"/>
      <c r="X605" s="11"/>
      <c r="Y605" s="11"/>
      <c r="Z605" s="11"/>
    </row>
    <row r="606" ht="16.5" customHeight="1">
      <c r="A606" s="11"/>
      <c r="B606" s="11"/>
      <c r="C606" s="11"/>
      <c r="D606" s="11"/>
      <c r="E606" s="11"/>
      <c r="F606" s="11"/>
      <c r="G606" s="12"/>
      <c r="H606" s="11"/>
      <c r="I606" s="12"/>
      <c r="J606" s="12"/>
      <c r="K606" s="12"/>
      <c r="L606" s="11"/>
      <c r="M606" s="11"/>
      <c r="N606" s="11"/>
      <c r="O606" s="11"/>
      <c r="P606" s="11"/>
      <c r="Q606" s="11"/>
      <c r="R606" s="11"/>
      <c r="S606" s="11"/>
      <c r="T606" s="11"/>
      <c r="U606" s="11"/>
      <c r="V606" s="11"/>
      <c r="W606" s="11"/>
      <c r="X606" s="11"/>
      <c r="Y606" s="11"/>
      <c r="Z606" s="11"/>
    </row>
    <row r="607" ht="16.5" customHeight="1">
      <c r="A607" s="11"/>
      <c r="B607" s="11"/>
      <c r="C607" s="11"/>
      <c r="D607" s="11"/>
      <c r="E607" s="11"/>
      <c r="F607" s="11"/>
      <c r="G607" s="12"/>
      <c r="H607" s="11"/>
      <c r="I607" s="12"/>
      <c r="J607" s="12"/>
      <c r="K607" s="12"/>
      <c r="L607" s="11"/>
      <c r="M607" s="11"/>
      <c r="N607" s="11"/>
      <c r="O607" s="11"/>
      <c r="P607" s="11"/>
      <c r="Q607" s="11"/>
      <c r="R607" s="11"/>
      <c r="S607" s="11"/>
      <c r="T607" s="11"/>
      <c r="U607" s="11"/>
      <c r="V607" s="11"/>
      <c r="W607" s="11"/>
      <c r="X607" s="11"/>
      <c r="Y607" s="11"/>
      <c r="Z607" s="11"/>
    </row>
    <row r="608" ht="16.5" customHeight="1">
      <c r="A608" s="11"/>
      <c r="B608" s="11"/>
      <c r="C608" s="11"/>
      <c r="D608" s="11"/>
      <c r="E608" s="11"/>
      <c r="F608" s="11"/>
      <c r="G608" s="12"/>
      <c r="H608" s="11"/>
      <c r="I608" s="12"/>
      <c r="J608" s="12"/>
      <c r="K608" s="12"/>
      <c r="L608" s="11"/>
      <c r="M608" s="11"/>
      <c r="N608" s="11"/>
      <c r="O608" s="11"/>
      <c r="P608" s="11"/>
      <c r="Q608" s="11"/>
      <c r="R608" s="11"/>
      <c r="S608" s="11"/>
      <c r="T608" s="11"/>
      <c r="U608" s="11"/>
      <c r="V608" s="11"/>
      <c r="W608" s="11"/>
      <c r="X608" s="11"/>
      <c r="Y608" s="11"/>
      <c r="Z608" s="11"/>
    </row>
    <row r="609" ht="16.5" customHeight="1">
      <c r="A609" s="11"/>
      <c r="B609" s="11"/>
      <c r="C609" s="11"/>
      <c r="D609" s="11"/>
      <c r="E609" s="11"/>
      <c r="F609" s="11"/>
      <c r="G609" s="12"/>
      <c r="H609" s="11"/>
      <c r="I609" s="12"/>
      <c r="J609" s="12"/>
      <c r="K609" s="12"/>
      <c r="L609" s="11"/>
      <c r="M609" s="11"/>
      <c r="N609" s="11"/>
      <c r="O609" s="11"/>
      <c r="P609" s="11"/>
      <c r="Q609" s="11"/>
      <c r="R609" s="11"/>
      <c r="S609" s="11"/>
      <c r="T609" s="11"/>
      <c r="U609" s="11"/>
      <c r="V609" s="11"/>
      <c r="W609" s="11"/>
      <c r="X609" s="11"/>
      <c r="Y609" s="11"/>
      <c r="Z609" s="11"/>
    </row>
    <row r="610" ht="16.5" customHeight="1">
      <c r="A610" s="11"/>
      <c r="B610" s="11"/>
      <c r="C610" s="11"/>
      <c r="D610" s="11"/>
      <c r="E610" s="11"/>
      <c r="F610" s="11"/>
      <c r="G610" s="12"/>
      <c r="H610" s="11"/>
      <c r="I610" s="12"/>
      <c r="J610" s="12"/>
      <c r="K610" s="12"/>
      <c r="L610" s="11"/>
      <c r="M610" s="11"/>
      <c r="N610" s="11"/>
      <c r="O610" s="11"/>
      <c r="P610" s="11"/>
      <c r="Q610" s="11"/>
      <c r="R610" s="11"/>
      <c r="S610" s="11"/>
      <c r="T610" s="11"/>
      <c r="U610" s="11"/>
      <c r="V610" s="11"/>
      <c r="W610" s="11"/>
      <c r="X610" s="11"/>
      <c r="Y610" s="11"/>
      <c r="Z610" s="11"/>
    </row>
    <row r="611" ht="16.5" customHeight="1">
      <c r="A611" s="11"/>
      <c r="B611" s="11"/>
      <c r="C611" s="11"/>
      <c r="D611" s="11"/>
      <c r="E611" s="11"/>
      <c r="F611" s="11"/>
      <c r="G611" s="12"/>
      <c r="H611" s="11"/>
      <c r="I611" s="12"/>
      <c r="J611" s="12"/>
      <c r="K611" s="12"/>
      <c r="L611" s="11"/>
      <c r="M611" s="11"/>
      <c r="N611" s="11"/>
      <c r="O611" s="11"/>
      <c r="P611" s="11"/>
      <c r="Q611" s="11"/>
      <c r="R611" s="11"/>
      <c r="S611" s="11"/>
      <c r="T611" s="11"/>
      <c r="U611" s="11"/>
      <c r="V611" s="11"/>
      <c r="W611" s="11"/>
      <c r="X611" s="11"/>
      <c r="Y611" s="11"/>
      <c r="Z611" s="11"/>
    </row>
    <row r="612" ht="16.5" customHeight="1">
      <c r="A612" s="11"/>
      <c r="B612" s="11"/>
      <c r="C612" s="11"/>
      <c r="D612" s="11"/>
      <c r="E612" s="11"/>
      <c r="F612" s="11"/>
      <c r="G612" s="12"/>
      <c r="H612" s="11"/>
      <c r="I612" s="12"/>
      <c r="J612" s="12"/>
      <c r="K612" s="12"/>
      <c r="L612" s="11"/>
      <c r="M612" s="11"/>
      <c r="N612" s="11"/>
      <c r="O612" s="11"/>
      <c r="P612" s="11"/>
      <c r="Q612" s="11"/>
      <c r="R612" s="11"/>
      <c r="S612" s="11"/>
      <c r="T612" s="11"/>
      <c r="U612" s="11"/>
      <c r="V612" s="11"/>
      <c r="W612" s="11"/>
      <c r="X612" s="11"/>
      <c r="Y612" s="11"/>
      <c r="Z612" s="11"/>
    </row>
    <row r="613" ht="16.5" customHeight="1">
      <c r="A613" s="11"/>
      <c r="B613" s="11"/>
      <c r="C613" s="11"/>
      <c r="D613" s="11"/>
      <c r="E613" s="11"/>
      <c r="F613" s="11"/>
      <c r="G613" s="12"/>
      <c r="H613" s="11"/>
      <c r="I613" s="12"/>
      <c r="J613" s="12"/>
      <c r="K613" s="12"/>
      <c r="L613" s="11"/>
      <c r="M613" s="11"/>
      <c r="N613" s="11"/>
      <c r="O613" s="11"/>
      <c r="P613" s="11"/>
      <c r="Q613" s="11"/>
      <c r="R613" s="11"/>
      <c r="S613" s="11"/>
      <c r="T613" s="11"/>
      <c r="U613" s="11"/>
      <c r="V613" s="11"/>
      <c r="W613" s="11"/>
      <c r="X613" s="11"/>
      <c r="Y613" s="11"/>
      <c r="Z613" s="11"/>
    </row>
    <row r="614" ht="16.5" customHeight="1">
      <c r="A614" s="11"/>
      <c r="B614" s="11"/>
      <c r="C614" s="11"/>
      <c r="D614" s="11"/>
      <c r="E614" s="11"/>
      <c r="F614" s="11"/>
      <c r="G614" s="12"/>
      <c r="H614" s="11"/>
      <c r="I614" s="12"/>
      <c r="J614" s="12"/>
      <c r="K614" s="12"/>
      <c r="L614" s="11"/>
      <c r="M614" s="11"/>
      <c r="N614" s="11"/>
      <c r="O614" s="11"/>
      <c r="P614" s="11"/>
      <c r="Q614" s="11"/>
      <c r="R614" s="11"/>
      <c r="S614" s="11"/>
      <c r="T614" s="11"/>
      <c r="U614" s="11"/>
      <c r="V614" s="11"/>
      <c r="W614" s="11"/>
      <c r="X614" s="11"/>
      <c r="Y614" s="11"/>
      <c r="Z614" s="11"/>
    </row>
    <row r="615" ht="16.5" customHeight="1">
      <c r="A615" s="11"/>
      <c r="B615" s="11"/>
      <c r="C615" s="11"/>
      <c r="D615" s="11"/>
      <c r="E615" s="11"/>
      <c r="F615" s="11"/>
      <c r="G615" s="12"/>
      <c r="H615" s="11"/>
      <c r="I615" s="12"/>
      <c r="J615" s="12"/>
      <c r="K615" s="12"/>
      <c r="L615" s="11"/>
      <c r="M615" s="11"/>
      <c r="N615" s="11"/>
      <c r="O615" s="11"/>
      <c r="P615" s="11"/>
      <c r="Q615" s="11"/>
      <c r="R615" s="11"/>
      <c r="S615" s="11"/>
      <c r="T615" s="11"/>
      <c r="U615" s="11"/>
      <c r="V615" s="11"/>
      <c r="W615" s="11"/>
      <c r="X615" s="11"/>
      <c r="Y615" s="11"/>
      <c r="Z615" s="11"/>
    </row>
    <row r="616" ht="16.5" customHeight="1">
      <c r="A616" s="11"/>
      <c r="B616" s="11"/>
      <c r="C616" s="11"/>
      <c r="D616" s="11"/>
      <c r="E616" s="11"/>
      <c r="F616" s="11"/>
      <c r="G616" s="12"/>
      <c r="H616" s="11"/>
      <c r="I616" s="12"/>
      <c r="J616" s="12"/>
      <c r="K616" s="12"/>
      <c r="L616" s="11"/>
      <c r="M616" s="11"/>
      <c r="N616" s="11"/>
      <c r="O616" s="11"/>
      <c r="P616" s="11"/>
      <c r="Q616" s="11"/>
      <c r="R616" s="11"/>
      <c r="S616" s="11"/>
      <c r="T616" s="11"/>
      <c r="U616" s="11"/>
      <c r="V616" s="11"/>
      <c r="W616" s="11"/>
      <c r="X616" s="11"/>
      <c r="Y616" s="11"/>
      <c r="Z616" s="11"/>
    </row>
    <row r="617" ht="16.5" customHeight="1">
      <c r="A617" s="11"/>
      <c r="B617" s="11"/>
      <c r="C617" s="11"/>
      <c r="D617" s="11"/>
      <c r="E617" s="11"/>
      <c r="F617" s="11"/>
      <c r="G617" s="12"/>
      <c r="H617" s="11"/>
      <c r="I617" s="12"/>
      <c r="J617" s="12"/>
      <c r="K617" s="12"/>
      <c r="L617" s="11"/>
      <c r="M617" s="11"/>
      <c r="N617" s="11"/>
      <c r="O617" s="11"/>
      <c r="P617" s="11"/>
      <c r="Q617" s="11"/>
      <c r="R617" s="11"/>
      <c r="S617" s="11"/>
      <c r="T617" s="11"/>
      <c r="U617" s="11"/>
      <c r="V617" s="11"/>
      <c r="W617" s="11"/>
      <c r="X617" s="11"/>
      <c r="Y617" s="11"/>
      <c r="Z617" s="11"/>
    </row>
    <row r="618" ht="16.5" customHeight="1">
      <c r="A618" s="11"/>
      <c r="B618" s="11"/>
      <c r="C618" s="11"/>
      <c r="D618" s="11"/>
      <c r="E618" s="11"/>
      <c r="F618" s="11"/>
      <c r="G618" s="12"/>
      <c r="H618" s="11"/>
      <c r="I618" s="12"/>
      <c r="J618" s="12"/>
      <c r="K618" s="12"/>
      <c r="L618" s="11"/>
      <c r="M618" s="11"/>
      <c r="N618" s="11"/>
      <c r="O618" s="11"/>
      <c r="P618" s="11"/>
      <c r="Q618" s="11"/>
      <c r="R618" s="11"/>
      <c r="S618" s="11"/>
      <c r="T618" s="11"/>
      <c r="U618" s="11"/>
      <c r="V618" s="11"/>
      <c r="W618" s="11"/>
      <c r="X618" s="11"/>
      <c r="Y618" s="11"/>
      <c r="Z618" s="11"/>
    </row>
    <row r="619" ht="16.5" customHeight="1">
      <c r="A619" s="11"/>
      <c r="B619" s="11"/>
      <c r="C619" s="11"/>
      <c r="D619" s="11"/>
      <c r="E619" s="11"/>
      <c r="F619" s="11"/>
      <c r="G619" s="12"/>
      <c r="H619" s="11"/>
      <c r="I619" s="12"/>
      <c r="J619" s="12"/>
      <c r="K619" s="12"/>
      <c r="L619" s="11"/>
      <c r="M619" s="11"/>
      <c r="N619" s="11"/>
      <c r="O619" s="11"/>
      <c r="P619" s="11"/>
      <c r="Q619" s="11"/>
      <c r="R619" s="11"/>
      <c r="S619" s="11"/>
      <c r="T619" s="11"/>
      <c r="U619" s="11"/>
      <c r="V619" s="11"/>
      <c r="W619" s="11"/>
      <c r="X619" s="11"/>
      <c r="Y619" s="11"/>
      <c r="Z619" s="11"/>
    </row>
    <row r="620" ht="16.5" customHeight="1">
      <c r="A620" s="11"/>
      <c r="B620" s="11"/>
      <c r="C620" s="11"/>
      <c r="D620" s="11"/>
      <c r="E620" s="11"/>
      <c r="F620" s="11"/>
      <c r="G620" s="12"/>
      <c r="H620" s="11"/>
      <c r="I620" s="12"/>
      <c r="J620" s="12"/>
      <c r="K620" s="12"/>
      <c r="L620" s="11"/>
      <c r="M620" s="11"/>
      <c r="N620" s="11"/>
      <c r="O620" s="11"/>
      <c r="P620" s="11"/>
      <c r="Q620" s="11"/>
      <c r="R620" s="11"/>
      <c r="S620" s="11"/>
      <c r="T620" s="11"/>
      <c r="U620" s="11"/>
      <c r="V620" s="11"/>
      <c r="W620" s="11"/>
      <c r="X620" s="11"/>
      <c r="Y620" s="11"/>
      <c r="Z620" s="11"/>
    </row>
    <row r="621" ht="16.5" customHeight="1">
      <c r="A621" s="11"/>
      <c r="B621" s="11"/>
      <c r="C621" s="11"/>
      <c r="D621" s="11"/>
      <c r="E621" s="11"/>
      <c r="F621" s="11"/>
      <c r="G621" s="12"/>
      <c r="H621" s="11"/>
      <c r="I621" s="12"/>
      <c r="J621" s="12"/>
      <c r="K621" s="12"/>
      <c r="L621" s="11"/>
      <c r="M621" s="11"/>
      <c r="N621" s="11"/>
      <c r="O621" s="11"/>
      <c r="P621" s="11"/>
      <c r="Q621" s="11"/>
      <c r="R621" s="11"/>
      <c r="S621" s="11"/>
      <c r="T621" s="11"/>
      <c r="U621" s="11"/>
      <c r="V621" s="11"/>
      <c r="W621" s="11"/>
      <c r="X621" s="11"/>
      <c r="Y621" s="11"/>
      <c r="Z621" s="11"/>
    </row>
    <row r="622" ht="16.5" customHeight="1">
      <c r="A622" s="11"/>
      <c r="B622" s="11"/>
      <c r="C622" s="11"/>
      <c r="D622" s="11"/>
      <c r="E622" s="11"/>
      <c r="F622" s="11"/>
      <c r="G622" s="12"/>
      <c r="H622" s="11"/>
      <c r="I622" s="12"/>
      <c r="J622" s="12"/>
      <c r="K622" s="12"/>
      <c r="L622" s="11"/>
      <c r="M622" s="11"/>
      <c r="N622" s="11"/>
      <c r="O622" s="11"/>
      <c r="P622" s="11"/>
      <c r="Q622" s="11"/>
      <c r="R622" s="11"/>
      <c r="S622" s="11"/>
      <c r="T622" s="11"/>
      <c r="U622" s="11"/>
      <c r="V622" s="11"/>
      <c r="W622" s="11"/>
      <c r="X622" s="11"/>
      <c r="Y622" s="11"/>
      <c r="Z622" s="11"/>
    </row>
    <row r="623" ht="16.5" customHeight="1">
      <c r="A623" s="11"/>
      <c r="B623" s="11"/>
      <c r="C623" s="11"/>
      <c r="D623" s="11"/>
      <c r="E623" s="11"/>
      <c r="F623" s="11"/>
      <c r="G623" s="12"/>
      <c r="H623" s="11"/>
      <c r="I623" s="12"/>
      <c r="J623" s="12"/>
      <c r="K623" s="12"/>
      <c r="L623" s="11"/>
      <c r="M623" s="11"/>
      <c r="N623" s="11"/>
      <c r="O623" s="11"/>
      <c r="P623" s="11"/>
      <c r="Q623" s="11"/>
      <c r="R623" s="11"/>
      <c r="S623" s="11"/>
      <c r="T623" s="11"/>
      <c r="U623" s="11"/>
      <c r="V623" s="11"/>
      <c r="W623" s="11"/>
      <c r="X623" s="11"/>
      <c r="Y623" s="11"/>
      <c r="Z623" s="11"/>
    </row>
    <row r="624" ht="16.5" customHeight="1">
      <c r="A624" s="11"/>
      <c r="B624" s="11"/>
      <c r="C624" s="11"/>
      <c r="D624" s="11"/>
      <c r="E624" s="11"/>
      <c r="F624" s="11"/>
      <c r="G624" s="12"/>
      <c r="H624" s="11"/>
      <c r="I624" s="12"/>
      <c r="J624" s="12"/>
      <c r="K624" s="12"/>
      <c r="L624" s="11"/>
      <c r="M624" s="11"/>
      <c r="N624" s="11"/>
      <c r="O624" s="11"/>
      <c r="P624" s="11"/>
      <c r="Q624" s="11"/>
      <c r="R624" s="11"/>
      <c r="S624" s="11"/>
      <c r="T624" s="11"/>
      <c r="U624" s="11"/>
      <c r="V624" s="11"/>
      <c r="W624" s="11"/>
      <c r="X624" s="11"/>
      <c r="Y624" s="11"/>
      <c r="Z624" s="11"/>
    </row>
    <row r="625" ht="16.5" customHeight="1">
      <c r="A625" s="11"/>
      <c r="B625" s="11"/>
      <c r="C625" s="11"/>
      <c r="D625" s="11"/>
      <c r="E625" s="11"/>
      <c r="F625" s="11"/>
      <c r="G625" s="12"/>
      <c r="H625" s="11"/>
      <c r="I625" s="12"/>
      <c r="J625" s="12"/>
      <c r="K625" s="12"/>
      <c r="L625" s="11"/>
      <c r="M625" s="11"/>
      <c r="N625" s="11"/>
      <c r="O625" s="11"/>
      <c r="P625" s="11"/>
      <c r="Q625" s="11"/>
      <c r="R625" s="11"/>
      <c r="S625" s="11"/>
      <c r="T625" s="11"/>
      <c r="U625" s="11"/>
      <c r="V625" s="11"/>
      <c r="W625" s="11"/>
      <c r="X625" s="11"/>
      <c r="Y625" s="11"/>
      <c r="Z625" s="11"/>
    </row>
    <row r="626" ht="16.5" customHeight="1">
      <c r="A626" s="11"/>
      <c r="B626" s="11"/>
      <c r="C626" s="11"/>
      <c r="D626" s="11"/>
      <c r="E626" s="11"/>
      <c r="F626" s="11"/>
      <c r="G626" s="12"/>
      <c r="H626" s="11"/>
      <c r="I626" s="12"/>
      <c r="J626" s="12"/>
      <c r="K626" s="12"/>
      <c r="L626" s="11"/>
      <c r="M626" s="11"/>
      <c r="N626" s="11"/>
      <c r="O626" s="11"/>
      <c r="P626" s="11"/>
      <c r="Q626" s="11"/>
      <c r="R626" s="11"/>
      <c r="S626" s="11"/>
      <c r="T626" s="11"/>
      <c r="U626" s="11"/>
      <c r="V626" s="11"/>
      <c r="W626" s="11"/>
      <c r="X626" s="11"/>
      <c r="Y626" s="11"/>
      <c r="Z626" s="11"/>
    </row>
    <row r="627" ht="16.5" customHeight="1">
      <c r="A627" s="11"/>
      <c r="B627" s="11"/>
      <c r="C627" s="11"/>
      <c r="D627" s="11"/>
      <c r="E627" s="11"/>
      <c r="F627" s="11"/>
      <c r="G627" s="12"/>
      <c r="H627" s="11"/>
      <c r="I627" s="12"/>
      <c r="J627" s="12"/>
      <c r="K627" s="12"/>
      <c r="L627" s="11"/>
      <c r="M627" s="11"/>
      <c r="N627" s="11"/>
      <c r="O627" s="11"/>
      <c r="P627" s="11"/>
      <c r="Q627" s="11"/>
      <c r="R627" s="11"/>
      <c r="S627" s="11"/>
      <c r="T627" s="11"/>
      <c r="U627" s="11"/>
      <c r="V627" s="11"/>
      <c r="W627" s="11"/>
      <c r="X627" s="11"/>
      <c r="Y627" s="11"/>
      <c r="Z627" s="11"/>
    </row>
    <row r="628" ht="16.5" customHeight="1">
      <c r="A628" s="11"/>
      <c r="B628" s="11"/>
      <c r="C628" s="11"/>
      <c r="D628" s="11"/>
      <c r="E628" s="11"/>
      <c r="F628" s="11"/>
      <c r="G628" s="12"/>
      <c r="H628" s="11"/>
      <c r="I628" s="12"/>
      <c r="J628" s="12"/>
      <c r="K628" s="12"/>
      <c r="L628" s="11"/>
      <c r="M628" s="11"/>
      <c r="N628" s="11"/>
      <c r="O628" s="11"/>
      <c r="P628" s="11"/>
      <c r="Q628" s="11"/>
      <c r="R628" s="11"/>
      <c r="S628" s="11"/>
      <c r="T628" s="11"/>
      <c r="U628" s="11"/>
      <c r="V628" s="11"/>
      <c r="W628" s="11"/>
      <c r="X628" s="11"/>
      <c r="Y628" s="11"/>
      <c r="Z628" s="11"/>
    </row>
    <row r="629" ht="16.5" customHeight="1">
      <c r="A629" s="11"/>
      <c r="B629" s="11"/>
      <c r="C629" s="11"/>
      <c r="D629" s="11"/>
      <c r="E629" s="11"/>
      <c r="F629" s="11"/>
      <c r="G629" s="12"/>
      <c r="H629" s="11"/>
      <c r="I629" s="12"/>
      <c r="J629" s="12"/>
      <c r="K629" s="12"/>
      <c r="L629" s="11"/>
      <c r="M629" s="11"/>
      <c r="N629" s="11"/>
      <c r="O629" s="11"/>
      <c r="P629" s="11"/>
      <c r="Q629" s="11"/>
      <c r="R629" s="11"/>
      <c r="S629" s="11"/>
      <c r="T629" s="11"/>
      <c r="U629" s="11"/>
      <c r="V629" s="11"/>
      <c r="W629" s="11"/>
      <c r="X629" s="11"/>
      <c r="Y629" s="11"/>
      <c r="Z629" s="11"/>
    </row>
    <row r="630" ht="16.5" customHeight="1">
      <c r="A630" s="11"/>
      <c r="B630" s="11"/>
      <c r="C630" s="11"/>
      <c r="D630" s="11"/>
      <c r="E630" s="11"/>
      <c r="F630" s="11"/>
      <c r="G630" s="12"/>
      <c r="H630" s="11"/>
      <c r="I630" s="12"/>
      <c r="J630" s="12"/>
      <c r="K630" s="12"/>
      <c r="L630" s="11"/>
      <c r="M630" s="11"/>
      <c r="N630" s="11"/>
      <c r="O630" s="11"/>
      <c r="P630" s="11"/>
      <c r="Q630" s="11"/>
      <c r="R630" s="11"/>
      <c r="S630" s="11"/>
      <c r="T630" s="11"/>
      <c r="U630" s="11"/>
      <c r="V630" s="11"/>
      <c r="W630" s="11"/>
      <c r="X630" s="11"/>
      <c r="Y630" s="11"/>
      <c r="Z630" s="11"/>
    </row>
    <row r="631" ht="16.5" customHeight="1">
      <c r="A631" s="11"/>
      <c r="B631" s="11"/>
      <c r="C631" s="11"/>
      <c r="D631" s="11"/>
      <c r="E631" s="11"/>
      <c r="F631" s="11"/>
      <c r="G631" s="12"/>
      <c r="H631" s="11"/>
      <c r="I631" s="12"/>
      <c r="J631" s="12"/>
      <c r="K631" s="12"/>
      <c r="L631" s="11"/>
      <c r="M631" s="11"/>
      <c r="N631" s="11"/>
      <c r="O631" s="11"/>
      <c r="P631" s="11"/>
      <c r="Q631" s="11"/>
      <c r="R631" s="11"/>
      <c r="S631" s="11"/>
      <c r="T631" s="11"/>
      <c r="U631" s="11"/>
      <c r="V631" s="11"/>
      <c r="W631" s="11"/>
      <c r="X631" s="11"/>
      <c r="Y631" s="11"/>
      <c r="Z631" s="11"/>
    </row>
    <row r="632" ht="16.5" customHeight="1">
      <c r="A632" s="11"/>
      <c r="B632" s="11"/>
      <c r="C632" s="11"/>
      <c r="D632" s="11"/>
      <c r="E632" s="11"/>
      <c r="F632" s="11"/>
      <c r="G632" s="12"/>
      <c r="H632" s="11"/>
      <c r="I632" s="12"/>
      <c r="J632" s="12"/>
      <c r="K632" s="12"/>
      <c r="L632" s="11"/>
      <c r="M632" s="11"/>
      <c r="N632" s="11"/>
      <c r="O632" s="11"/>
      <c r="P632" s="11"/>
      <c r="Q632" s="11"/>
      <c r="R632" s="11"/>
      <c r="S632" s="11"/>
      <c r="T632" s="11"/>
      <c r="U632" s="11"/>
      <c r="V632" s="11"/>
      <c r="W632" s="11"/>
      <c r="X632" s="11"/>
      <c r="Y632" s="11"/>
      <c r="Z632" s="11"/>
    </row>
    <row r="633" ht="16.5" customHeight="1">
      <c r="A633" s="11"/>
      <c r="B633" s="11"/>
      <c r="C633" s="11"/>
      <c r="D633" s="11"/>
      <c r="E633" s="11"/>
      <c r="F633" s="11"/>
      <c r="G633" s="12"/>
      <c r="H633" s="11"/>
      <c r="I633" s="12"/>
      <c r="J633" s="12"/>
      <c r="K633" s="12"/>
      <c r="L633" s="11"/>
      <c r="M633" s="11"/>
      <c r="N633" s="11"/>
      <c r="O633" s="11"/>
      <c r="P633" s="11"/>
      <c r="Q633" s="11"/>
      <c r="R633" s="11"/>
      <c r="S633" s="11"/>
      <c r="T633" s="11"/>
      <c r="U633" s="11"/>
      <c r="V633" s="11"/>
      <c r="W633" s="11"/>
      <c r="X633" s="11"/>
      <c r="Y633" s="11"/>
      <c r="Z633" s="11"/>
    </row>
    <row r="634" ht="16.5" customHeight="1">
      <c r="A634" s="11"/>
      <c r="B634" s="11"/>
      <c r="C634" s="11"/>
      <c r="D634" s="11"/>
      <c r="E634" s="11"/>
      <c r="F634" s="11"/>
      <c r="G634" s="12"/>
      <c r="H634" s="11"/>
      <c r="I634" s="12"/>
      <c r="J634" s="12"/>
      <c r="K634" s="12"/>
      <c r="L634" s="11"/>
      <c r="M634" s="11"/>
      <c r="N634" s="11"/>
      <c r="O634" s="11"/>
      <c r="P634" s="11"/>
      <c r="Q634" s="11"/>
      <c r="R634" s="11"/>
      <c r="S634" s="11"/>
      <c r="T634" s="11"/>
      <c r="U634" s="11"/>
      <c r="V634" s="11"/>
      <c r="W634" s="11"/>
      <c r="X634" s="11"/>
      <c r="Y634" s="11"/>
      <c r="Z634" s="11"/>
    </row>
    <row r="635" ht="16.5" customHeight="1">
      <c r="A635" s="11"/>
      <c r="B635" s="11"/>
      <c r="C635" s="11"/>
      <c r="D635" s="11"/>
      <c r="E635" s="11"/>
      <c r="F635" s="11"/>
      <c r="G635" s="12"/>
      <c r="H635" s="11"/>
      <c r="I635" s="12"/>
      <c r="J635" s="12"/>
      <c r="K635" s="12"/>
      <c r="L635" s="11"/>
      <c r="M635" s="11"/>
      <c r="N635" s="11"/>
      <c r="O635" s="11"/>
      <c r="P635" s="11"/>
      <c r="Q635" s="11"/>
      <c r="R635" s="11"/>
      <c r="S635" s="11"/>
      <c r="T635" s="11"/>
      <c r="U635" s="11"/>
      <c r="V635" s="11"/>
      <c r="W635" s="11"/>
      <c r="X635" s="11"/>
      <c r="Y635" s="11"/>
      <c r="Z635" s="11"/>
    </row>
    <row r="636" ht="16.5" customHeight="1">
      <c r="A636" s="11"/>
      <c r="B636" s="11"/>
      <c r="C636" s="11"/>
      <c r="D636" s="11"/>
      <c r="E636" s="11"/>
      <c r="F636" s="11"/>
      <c r="G636" s="12"/>
      <c r="H636" s="11"/>
      <c r="I636" s="12"/>
      <c r="J636" s="12"/>
      <c r="K636" s="12"/>
      <c r="L636" s="11"/>
      <c r="M636" s="11"/>
      <c r="N636" s="11"/>
      <c r="O636" s="11"/>
      <c r="P636" s="11"/>
      <c r="Q636" s="11"/>
      <c r="R636" s="11"/>
      <c r="S636" s="11"/>
      <c r="T636" s="11"/>
      <c r="U636" s="11"/>
      <c r="V636" s="11"/>
      <c r="W636" s="11"/>
      <c r="X636" s="11"/>
      <c r="Y636" s="11"/>
      <c r="Z636" s="11"/>
    </row>
    <row r="637" ht="16.5" customHeight="1">
      <c r="A637" s="11"/>
      <c r="B637" s="11"/>
      <c r="C637" s="11"/>
      <c r="D637" s="11"/>
      <c r="E637" s="11"/>
      <c r="F637" s="11"/>
      <c r="G637" s="12"/>
      <c r="H637" s="11"/>
      <c r="I637" s="12"/>
      <c r="J637" s="12"/>
      <c r="K637" s="12"/>
      <c r="L637" s="11"/>
      <c r="M637" s="11"/>
      <c r="N637" s="11"/>
      <c r="O637" s="11"/>
      <c r="P637" s="11"/>
      <c r="Q637" s="11"/>
      <c r="R637" s="11"/>
      <c r="S637" s="11"/>
      <c r="T637" s="11"/>
      <c r="U637" s="11"/>
      <c r="V637" s="11"/>
      <c r="W637" s="11"/>
      <c r="X637" s="11"/>
      <c r="Y637" s="11"/>
      <c r="Z637" s="11"/>
    </row>
    <row r="638" ht="16.5" customHeight="1">
      <c r="A638" s="11"/>
      <c r="B638" s="11"/>
      <c r="C638" s="11"/>
      <c r="D638" s="11"/>
      <c r="E638" s="11"/>
      <c r="F638" s="11"/>
      <c r="G638" s="12"/>
      <c r="H638" s="11"/>
      <c r="I638" s="12"/>
      <c r="J638" s="12"/>
      <c r="K638" s="12"/>
      <c r="L638" s="11"/>
      <c r="M638" s="11"/>
      <c r="N638" s="11"/>
      <c r="O638" s="11"/>
      <c r="P638" s="11"/>
      <c r="Q638" s="11"/>
      <c r="R638" s="11"/>
      <c r="S638" s="11"/>
      <c r="T638" s="11"/>
      <c r="U638" s="11"/>
      <c r="V638" s="11"/>
      <c r="W638" s="11"/>
      <c r="X638" s="11"/>
      <c r="Y638" s="11"/>
      <c r="Z638" s="11"/>
    </row>
    <row r="639" ht="16.5" customHeight="1">
      <c r="A639" s="11"/>
      <c r="B639" s="11"/>
      <c r="C639" s="11"/>
      <c r="D639" s="11"/>
      <c r="E639" s="11"/>
      <c r="F639" s="11"/>
      <c r="G639" s="12"/>
      <c r="H639" s="11"/>
      <c r="I639" s="12"/>
      <c r="J639" s="12"/>
      <c r="K639" s="12"/>
      <c r="L639" s="11"/>
      <c r="M639" s="11"/>
      <c r="N639" s="11"/>
      <c r="O639" s="11"/>
      <c r="P639" s="11"/>
      <c r="Q639" s="11"/>
      <c r="R639" s="11"/>
      <c r="S639" s="11"/>
      <c r="T639" s="11"/>
      <c r="U639" s="11"/>
      <c r="V639" s="11"/>
      <c r="W639" s="11"/>
      <c r="X639" s="11"/>
      <c r="Y639" s="11"/>
      <c r="Z639" s="11"/>
    </row>
    <row r="640" ht="16.5" customHeight="1">
      <c r="A640" s="11"/>
      <c r="B640" s="11"/>
      <c r="C640" s="11"/>
      <c r="D640" s="11"/>
      <c r="E640" s="11"/>
      <c r="F640" s="11"/>
      <c r="G640" s="12"/>
      <c r="H640" s="11"/>
      <c r="I640" s="12"/>
      <c r="J640" s="12"/>
      <c r="K640" s="12"/>
      <c r="L640" s="11"/>
      <c r="M640" s="11"/>
      <c r="N640" s="11"/>
      <c r="O640" s="11"/>
      <c r="P640" s="11"/>
      <c r="Q640" s="11"/>
      <c r="R640" s="11"/>
      <c r="S640" s="11"/>
      <c r="T640" s="11"/>
      <c r="U640" s="11"/>
      <c r="V640" s="11"/>
      <c r="W640" s="11"/>
      <c r="X640" s="11"/>
      <c r="Y640" s="11"/>
      <c r="Z640" s="11"/>
    </row>
    <row r="641" ht="16.5" customHeight="1">
      <c r="A641" s="11"/>
      <c r="B641" s="11"/>
      <c r="C641" s="11"/>
      <c r="D641" s="11"/>
      <c r="E641" s="11"/>
      <c r="F641" s="11"/>
      <c r="G641" s="12"/>
      <c r="H641" s="11"/>
      <c r="I641" s="12"/>
      <c r="J641" s="12"/>
      <c r="K641" s="12"/>
      <c r="L641" s="11"/>
      <c r="M641" s="11"/>
      <c r="N641" s="11"/>
      <c r="O641" s="11"/>
      <c r="P641" s="11"/>
      <c r="Q641" s="11"/>
      <c r="R641" s="11"/>
      <c r="S641" s="11"/>
      <c r="T641" s="11"/>
      <c r="U641" s="11"/>
      <c r="V641" s="11"/>
      <c r="W641" s="11"/>
      <c r="X641" s="11"/>
      <c r="Y641" s="11"/>
      <c r="Z641" s="11"/>
    </row>
    <row r="642" ht="16.5" customHeight="1">
      <c r="A642" s="11"/>
      <c r="B642" s="11"/>
      <c r="C642" s="11"/>
      <c r="D642" s="11"/>
      <c r="E642" s="11"/>
      <c r="F642" s="11"/>
      <c r="G642" s="12"/>
      <c r="H642" s="11"/>
      <c r="I642" s="12"/>
      <c r="J642" s="12"/>
      <c r="K642" s="12"/>
      <c r="L642" s="11"/>
      <c r="M642" s="11"/>
      <c r="N642" s="11"/>
      <c r="O642" s="11"/>
      <c r="P642" s="11"/>
      <c r="Q642" s="11"/>
      <c r="R642" s="11"/>
      <c r="S642" s="11"/>
      <c r="T642" s="11"/>
      <c r="U642" s="11"/>
      <c r="V642" s="11"/>
      <c r="W642" s="11"/>
      <c r="X642" s="11"/>
      <c r="Y642" s="11"/>
      <c r="Z642" s="11"/>
    </row>
    <row r="643" ht="16.5" customHeight="1">
      <c r="A643" s="11"/>
      <c r="B643" s="11"/>
      <c r="C643" s="11"/>
      <c r="D643" s="11"/>
      <c r="E643" s="11"/>
      <c r="F643" s="11"/>
      <c r="G643" s="12"/>
      <c r="H643" s="11"/>
      <c r="I643" s="12"/>
      <c r="J643" s="12"/>
      <c r="K643" s="12"/>
      <c r="L643" s="11"/>
      <c r="M643" s="11"/>
      <c r="N643" s="11"/>
      <c r="O643" s="11"/>
      <c r="P643" s="11"/>
      <c r="Q643" s="11"/>
      <c r="R643" s="11"/>
      <c r="S643" s="11"/>
      <c r="T643" s="11"/>
      <c r="U643" s="11"/>
      <c r="V643" s="11"/>
      <c r="W643" s="11"/>
      <c r="X643" s="11"/>
      <c r="Y643" s="11"/>
      <c r="Z643" s="11"/>
    </row>
    <row r="644" ht="16.5" customHeight="1">
      <c r="A644" s="11"/>
      <c r="B644" s="11"/>
      <c r="C644" s="11"/>
      <c r="D644" s="11"/>
      <c r="E644" s="11"/>
      <c r="F644" s="11"/>
      <c r="G644" s="12"/>
      <c r="H644" s="11"/>
      <c r="I644" s="12"/>
      <c r="J644" s="12"/>
      <c r="K644" s="12"/>
      <c r="L644" s="11"/>
      <c r="M644" s="11"/>
      <c r="N644" s="11"/>
      <c r="O644" s="11"/>
      <c r="P644" s="11"/>
      <c r="Q644" s="11"/>
      <c r="R644" s="11"/>
      <c r="S644" s="11"/>
      <c r="T644" s="11"/>
      <c r="U644" s="11"/>
      <c r="V644" s="11"/>
      <c r="W644" s="11"/>
      <c r="X644" s="11"/>
      <c r="Y644" s="11"/>
      <c r="Z644" s="11"/>
    </row>
    <row r="645" ht="16.5" customHeight="1">
      <c r="A645" s="11"/>
      <c r="B645" s="11"/>
      <c r="C645" s="11"/>
      <c r="D645" s="11"/>
      <c r="E645" s="11"/>
      <c r="F645" s="11"/>
      <c r="G645" s="12"/>
      <c r="H645" s="11"/>
      <c r="I645" s="12"/>
      <c r="J645" s="12"/>
      <c r="K645" s="12"/>
      <c r="L645" s="11"/>
      <c r="M645" s="11"/>
      <c r="N645" s="11"/>
      <c r="O645" s="11"/>
      <c r="P645" s="11"/>
      <c r="Q645" s="11"/>
      <c r="R645" s="11"/>
      <c r="S645" s="11"/>
      <c r="T645" s="11"/>
      <c r="U645" s="11"/>
      <c r="V645" s="11"/>
      <c r="W645" s="11"/>
      <c r="X645" s="11"/>
      <c r="Y645" s="11"/>
      <c r="Z645" s="11"/>
    </row>
    <row r="646" ht="16.5" customHeight="1">
      <c r="A646" s="11"/>
      <c r="B646" s="11"/>
      <c r="C646" s="11"/>
      <c r="D646" s="11"/>
      <c r="E646" s="11"/>
      <c r="F646" s="11"/>
      <c r="G646" s="12"/>
      <c r="H646" s="11"/>
      <c r="I646" s="12"/>
      <c r="J646" s="12"/>
      <c r="K646" s="12"/>
      <c r="L646" s="11"/>
      <c r="M646" s="11"/>
      <c r="N646" s="11"/>
      <c r="O646" s="11"/>
      <c r="P646" s="11"/>
      <c r="Q646" s="11"/>
      <c r="R646" s="11"/>
      <c r="S646" s="11"/>
      <c r="T646" s="11"/>
      <c r="U646" s="11"/>
      <c r="V646" s="11"/>
      <c r="W646" s="11"/>
      <c r="X646" s="11"/>
      <c r="Y646" s="11"/>
      <c r="Z646" s="11"/>
    </row>
    <row r="647" ht="16.5" customHeight="1">
      <c r="A647" s="11"/>
      <c r="B647" s="11"/>
      <c r="C647" s="11"/>
      <c r="D647" s="11"/>
      <c r="E647" s="11"/>
      <c r="F647" s="11"/>
      <c r="G647" s="12"/>
      <c r="H647" s="11"/>
      <c r="I647" s="12"/>
      <c r="J647" s="12"/>
      <c r="K647" s="12"/>
      <c r="L647" s="11"/>
      <c r="M647" s="11"/>
      <c r="N647" s="11"/>
      <c r="O647" s="11"/>
      <c r="P647" s="11"/>
      <c r="Q647" s="11"/>
      <c r="R647" s="11"/>
      <c r="S647" s="11"/>
      <c r="T647" s="11"/>
      <c r="U647" s="11"/>
      <c r="V647" s="11"/>
      <c r="W647" s="11"/>
      <c r="X647" s="11"/>
      <c r="Y647" s="11"/>
      <c r="Z647" s="11"/>
    </row>
    <row r="648" ht="16.5" customHeight="1">
      <c r="A648" s="11"/>
      <c r="B648" s="11"/>
      <c r="C648" s="11"/>
      <c r="D648" s="11"/>
      <c r="E648" s="11"/>
      <c r="F648" s="11"/>
      <c r="G648" s="12"/>
      <c r="H648" s="11"/>
      <c r="I648" s="12"/>
      <c r="J648" s="12"/>
      <c r="K648" s="12"/>
      <c r="L648" s="11"/>
      <c r="M648" s="11"/>
      <c r="N648" s="11"/>
      <c r="O648" s="11"/>
      <c r="P648" s="11"/>
      <c r="Q648" s="11"/>
      <c r="R648" s="11"/>
      <c r="S648" s="11"/>
      <c r="T648" s="11"/>
      <c r="U648" s="11"/>
      <c r="V648" s="11"/>
      <c r="W648" s="11"/>
      <c r="X648" s="11"/>
      <c r="Y648" s="11"/>
      <c r="Z648" s="11"/>
    </row>
    <row r="649" ht="16.5" customHeight="1">
      <c r="A649" s="11"/>
      <c r="B649" s="11"/>
      <c r="C649" s="11"/>
      <c r="D649" s="11"/>
      <c r="E649" s="11"/>
      <c r="F649" s="11"/>
      <c r="G649" s="12"/>
      <c r="H649" s="11"/>
      <c r="I649" s="12"/>
      <c r="J649" s="12"/>
      <c r="K649" s="12"/>
      <c r="L649" s="11"/>
      <c r="M649" s="11"/>
      <c r="N649" s="11"/>
      <c r="O649" s="11"/>
      <c r="P649" s="11"/>
      <c r="Q649" s="11"/>
      <c r="R649" s="11"/>
      <c r="S649" s="11"/>
      <c r="T649" s="11"/>
      <c r="U649" s="11"/>
      <c r="V649" s="11"/>
      <c r="W649" s="11"/>
      <c r="X649" s="11"/>
      <c r="Y649" s="11"/>
      <c r="Z649" s="11"/>
    </row>
    <row r="650" ht="16.5" customHeight="1">
      <c r="A650" s="11"/>
      <c r="B650" s="11"/>
      <c r="C650" s="11"/>
      <c r="D650" s="11"/>
      <c r="E650" s="11"/>
      <c r="F650" s="11"/>
      <c r="G650" s="12"/>
      <c r="H650" s="11"/>
      <c r="I650" s="12"/>
      <c r="J650" s="12"/>
      <c r="K650" s="12"/>
      <c r="L650" s="11"/>
      <c r="M650" s="11"/>
      <c r="N650" s="11"/>
      <c r="O650" s="11"/>
      <c r="P650" s="11"/>
      <c r="Q650" s="11"/>
      <c r="R650" s="11"/>
      <c r="S650" s="11"/>
      <c r="T650" s="11"/>
      <c r="U650" s="11"/>
      <c r="V650" s="11"/>
      <c r="W650" s="11"/>
      <c r="X650" s="11"/>
      <c r="Y650" s="11"/>
      <c r="Z650" s="11"/>
    </row>
    <row r="651" ht="16.5" customHeight="1">
      <c r="A651" s="11"/>
      <c r="B651" s="11"/>
      <c r="C651" s="11"/>
      <c r="D651" s="11"/>
      <c r="E651" s="11"/>
      <c r="F651" s="11"/>
      <c r="G651" s="12"/>
      <c r="H651" s="11"/>
      <c r="I651" s="12"/>
      <c r="J651" s="12"/>
      <c r="K651" s="12"/>
      <c r="L651" s="11"/>
      <c r="M651" s="11"/>
      <c r="N651" s="11"/>
      <c r="O651" s="11"/>
      <c r="P651" s="11"/>
      <c r="Q651" s="11"/>
      <c r="R651" s="11"/>
      <c r="S651" s="11"/>
      <c r="T651" s="11"/>
      <c r="U651" s="11"/>
      <c r="V651" s="11"/>
      <c r="W651" s="11"/>
      <c r="X651" s="11"/>
      <c r="Y651" s="11"/>
      <c r="Z651" s="11"/>
    </row>
    <row r="652" ht="16.5" customHeight="1">
      <c r="A652" s="11"/>
      <c r="B652" s="11"/>
      <c r="C652" s="11"/>
      <c r="D652" s="11"/>
      <c r="E652" s="11"/>
      <c r="F652" s="11"/>
      <c r="G652" s="12"/>
      <c r="H652" s="11"/>
      <c r="I652" s="12"/>
      <c r="J652" s="12"/>
      <c r="K652" s="12"/>
      <c r="L652" s="11"/>
      <c r="M652" s="11"/>
      <c r="N652" s="11"/>
      <c r="O652" s="11"/>
      <c r="P652" s="11"/>
      <c r="Q652" s="11"/>
      <c r="R652" s="11"/>
      <c r="S652" s="11"/>
      <c r="T652" s="11"/>
      <c r="U652" s="11"/>
      <c r="V652" s="11"/>
      <c r="W652" s="11"/>
      <c r="X652" s="11"/>
      <c r="Y652" s="11"/>
      <c r="Z652" s="11"/>
    </row>
    <row r="653" ht="16.5" customHeight="1">
      <c r="A653" s="11"/>
      <c r="B653" s="11"/>
      <c r="C653" s="11"/>
      <c r="D653" s="11"/>
      <c r="E653" s="11"/>
      <c r="F653" s="11"/>
      <c r="G653" s="12"/>
      <c r="H653" s="11"/>
      <c r="I653" s="12"/>
      <c r="J653" s="12"/>
      <c r="K653" s="12"/>
      <c r="L653" s="11"/>
      <c r="M653" s="11"/>
      <c r="N653" s="11"/>
      <c r="O653" s="11"/>
      <c r="P653" s="11"/>
      <c r="Q653" s="11"/>
      <c r="R653" s="11"/>
      <c r="S653" s="11"/>
      <c r="T653" s="11"/>
      <c r="U653" s="11"/>
      <c r="V653" s="11"/>
      <c r="W653" s="11"/>
      <c r="X653" s="11"/>
      <c r="Y653" s="11"/>
      <c r="Z653" s="11"/>
    </row>
    <row r="654" ht="16.5" customHeight="1">
      <c r="A654" s="11"/>
      <c r="B654" s="11"/>
      <c r="C654" s="11"/>
      <c r="D654" s="11"/>
      <c r="E654" s="11"/>
      <c r="F654" s="11"/>
      <c r="G654" s="12"/>
      <c r="H654" s="11"/>
      <c r="I654" s="12"/>
      <c r="J654" s="12"/>
      <c r="K654" s="12"/>
      <c r="L654" s="11"/>
      <c r="M654" s="11"/>
      <c r="N654" s="11"/>
      <c r="O654" s="11"/>
      <c r="P654" s="11"/>
      <c r="Q654" s="11"/>
      <c r="R654" s="11"/>
      <c r="S654" s="11"/>
      <c r="T654" s="11"/>
      <c r="U654" s="11"/>
      <c r="V654" s="11"/>
      <c r="W654" s="11"/>
      <c r="X654" s="11"/>
      <c r="Y654" s="11"/>
      <c r="Z654" s="11"/>
    </row>
    <row r="655" ht="16.5" customHeight="1">
      <c r="A655" s="11"/>
      <c r="B655" s="11"/>
      <c r="C655" s="11"/>
      <c r="D655" s="11"/>
      <c r="E655" s="11"/>
      <c r="F655" s="11"/>
      <c r="G655" s="12"/>
      <c r="H655" s="11"/>
      <c r="I655" s="12"/>
      <c r="J655" s="12"/>
      <c r="K655" s="12"/>
      <c r="L655" s="11"/>
      <c r="M655" s="11"/>
      <c r="N655" s="11"/>
      <c r="O655" s="11"/>
      <c r="P655" s="11"/>
      <c r="Q655" s="11"/>
      <c r="R655" s="11"/>
      <c r="S655" s="11"/>
      <c r="T655" s="11"/>
      <c r="U655" s="11"/>
      <c r="V655" s="11"/>
      <c r="W655" s="11"/>
      <c r="X655" s="11"/>
      <c r="Y655" s="11"/>
      <c r="Z655" s="11"/>
    </row>
    <row r="656" ht="16.5" customHeight="1">
      <c r="A656" s="11"/>
      <c r="B656" s="11"/>
      <c r="C656" s="11"/>
      <c r="D656" s="11"/>
      <c r="E656" s="11"/>
      <c r="F656" s="11"/>
      <c r="G656" s="12"/>
      <c r="H656" s="11"/>
      <c r="I656" s="12"/>
      <c r="J656" s="12"/>
      <c r="K656" s="12"/>
      <c r="L656" s="11"/>
      <c r="M656" s="11"/>
      <c r="N656" s="11"/>
      <c r="O656" s="11"/>
      <c r="P656" s="11"/>
      <c r="Q656" s="11"/>
      <c r="R656" s="11"/>
      <c r="S656" s="11"/>
      <c r="T656" s="11"/>
      <c r="U656" s="11"/>
      <c r="V656" s="11"/>
      <c r="W656" s="11"/>
      <c r="X656" s="11"/>
      <c r="Y656" s="11"/>
      <c r="Z656" s="11"/>
    </row>
    <row r="657" ht="16.5" customHeight="1">
      <c r="A657" s="11"/>
      <c r="B657" s="11"/>
      <c r="C657" s="11"/>
      <c r="D657" s="11"/>
      <c r="E657" s="11"/>
      <c r="F657" s="11"/>
      <c r="G657" s="12"/>
      <c r="H657" s="11"/>
      <c r="I657" s="12"/>
      <c r="J657" s="12"/>
      <c r="K657" s="12"/>
      <c r="L657" s="11"/>
      <c r="M657" s="11"/>
      <c r="N657" s="11"/>
      <c r="O657" s="11"/>
      <c r="P657" s="11"/>
      <c r="Q657" s="11"/>
      <c r="R657" s="11"/>
      <c r="S657" s="11"/>
      <c r="T657" s="11"/>
      <c r="U657" s="11"/>
      <c r="V657" s="11"/>
      <c r="W657" s="11"/>
      <c r="X657" s="11"/>
      <c r="Y657" s="11"/>
      <c r="Z657" s="11"/>
    </row>
    <row r="658" ht="16.5" customHeight="1">
      <c r="A658" s="11"/>
      <c r="B658" s="11"/>
      <c r="C658" s="11"/>
      <c r="D658" s="11"/>
      <c r="E658" s="11"/>
      <c r="F658" s="11"/>
      <c r="G658" s="12"/>
      <c r="H658" s="11"/>
      <c r="I658" s="12"/>
      <c r="J658" s="12"/>
      <c r="K658" s="12"/>
      <c r="L658" s="11"/>
      <c r="M658" s="11"/>
      <c r="N658" s="11"/>
      <c r="O658" s="11"/>
      <c r="P658" s="11"/>
      <c r="Q658" s="11"/>
      <c r="R658" s="11"/>
      <c r="S658" s="11"/>
      <c r="T658" s="11"/>
      <c r="U658" s="11"/>
      <c r="V658" s="11"/>
      <c r="W658" s="11"/>
      <c r="X658" s="11"/>
      <c r="Y658" s="11"/>
      <c r="Z658" s="11"/>
    </row>
    <row r="659" ht="16.5" customHeight="1">
      <c r="A659" s="11"/>
      <c r="B659" s="11"/>
      <c r="C659" s="11"/>
      <c r="D659" s="11"/>
      <c r="E659" s="11"/>
      <c r="F659" s="11"/>
      <c r="G659" s="12"/>
      <c r="H659" s="11"/>
      <c r="I659" s="12"/>
      <c r="J659" s="12"/>
      <c r="K659" s="12"/>
      <c r="L659" s="11"/>
      <c r="M659" s="11"/>
      <c r="N659" s="11"/>
      <c r="O659" s="11"/>
      <c r="P659" s="11"/>
      <c r="Q659" s="11"/>
      <c r="R659" s="11"/>
      <c r="S659" s="11"/>
      <c r="T659" s="11"/>
      <c r="U659" s="11"/>
      <c r="V659" s="11"/>
      <c r="W659" s="11"/>
      <c r="X659" s="11"/>
      <c r="Y659" s="11"/>
      <c r="Z659" s="11"/>
    </row>
    <row r="660" ht="16.5" customHeight="1">
      <c r="A660" s="11"/>
      <c r="B660" s="11"/>
      <c r="C660" s="11"/>
      <c r="D660" s="11"/>
      <c r="E660" s="11"/>
      <c r="F660" s="11"/>
      <c r="G660" s="12"/>
      <c r="H660" s="11"/>
      <c r="I660" s="12"/>
      <c r="J660" s="12"/>
      <c r="K660" s="12"/>
      <c r="L660" s="11"/>
      <c r="M660" s="11"/>
      <c r="N660" s="11"/>
      <c r="O660" s="11"/>
      <c r="P660" s="11"/>
      <c r="Q660" s="11"/>
      <c r="R660" s="11"/>
      <c r="S660" s="11"/>
      <c r="T660" s="11"/>
      <c r="U660" s="11"/>
      <c r="V660" s="11"/>
      <c r="W660" s="11"/>
      <c r="X660" s="11"/>
      <c r="Y660" s="11"/>
      <c r="Z660" s="11"/>
    </row>
    <row r="661" ht="16.5" customHeight="1">
      <c r="A661" s="11"/>
      <c r="B661" s="11"/>
      <c r="C661" s="11"/>
      <c r="D661" s="11"/>
      <c r="E661" s="11"/>
      <c r="F661" s="11"/>
      <c r="G661" s="12"/>
      <c r="H661" s="11"/>
      <c r="I661" s="12"/>
      <c r="J661" s="12"/>
      <c r="K661" s="12"/>
      <c r="L661" s="11"/>
      <c r="M661" s="11"/>
      <c r="N661" s="11"/>
      <c r="O661" s="11"/>
      <c r="P661" s="11"/>
      <c r="Q661" s="11"/>
      <c r="R661" s="11"/>
      <c r="S661" s="11"/>
      <c r="T661" s="11"/>
      <c r="U661" s="11"/>
      <c r="V661" s="11"/>
      <c r="W661" s="11"/>
      <c r="X661" s="11"/>
      <c r="Y661" s="11"/>
      <c r="Z661" s="11"/>
    </row>
    <row r="662" ht="16.5" customHeight="1">
      <c r="A662" s="11"/>
      <c r="B662" s="11"/>
      <c r="C662" s="11"/>
      <c r="D662" s="11"/>
      <c r="E662" s="11"/>
      <c r="F662" s="11"/>
      <c r="G662" s="12"/>
      <c r="H662" s="11"/>
      <c r="I662" s="12"/>
      <c r="J662" s="12"/>
      <c r="K662" s="12"/>
      <c r="L662" s="11"/>
      <c r="M662" s="11"/>
      <c r="N662" s="11"/>
      <c r="O662" s="11"/>
      <c r="P662" s="11"/>
      <c r="Q662" s="11"/>
      <c r="R662" s="11"/>
      <c r="S662" s="11"/>
      <c r="T662" s="11"/>
      <c r="U662" s="11"/>
      <c r="V662" s="11"/>
      <c r="W662" s="11"/>
      <c r="X662" s="11"/>
      <c r="Y662" s="11"/>
      <c r="Z662" s="11"/>
    </row>
    <row r="663" ht="16.5" customHeight="1">
      <c r="A663" s="11"/>
      <c r="B663" s="11"/>
      <c r="C663" s="11"/>
      <c r="D663" s="11"/>
      <c r="E663" s="11"/>
      <c r="F663" s="11"/>
      <c r="G663" s="12"/>
      <c r="H663" s="11"/>
      <c r="I663" s="12"/>
      <c r="J663" s="12"/>
      <c r="K663" s="12"/>
      <c r="L663" s="11"/>
      <c r="M663" s="11"/>
      <c r="N663" s="11"/>
      <c r="O663" s="11"/>
      <c r="P663" s="11"/>
      <c r="Q663" s="11"/>
      <c r="R663" s="11"/>
      <c r="S663" s="11"/>
      <c r="T663" s="11"/>
      <c r="U663" s="11"/>
      <c r="V663" s="11"/>
      <c r="W663" s="11"/>
      <c r="X663" s="11"/>
      <c r="Y663" s="11"/>
      <c r="Z663" s="11"/>
    </row>
    <row r="664" ht="16.5" customHeight="1">
      <c r="A664" s="11"/>
      <c r="B664" s="11"/>
      <c r="C664" s="11"/>
      <c r="D664" s="11"/>
      <c r="E664" s="11"/>
      <c r="F664" s="11"/>
      <c r="G664" s="12"/>
      <c r="H664" s="11"/>
      <c r="I664" s="12"/>
      <c r="J664" s="12"/>
      <c r="K664" s="12"/>
      <c r="L664" s="11"/>
      <c r="M664" s="11"/>
      <c r="N664" s="11"/>
      <c r="O664" s="11"/>
      <c r="P664" s="11"/>
      <c r="Q664" s="11"/>
      <c r="R664" s="11"/>
      <c r="S664" s="11"/>
      <c r="T664" s="11"/>
      <c r="U664" s="11"/>
      <c r="V664" s="11"/>
      <c r="W664" s="11"/>
      <c r="X664" s="11"/>
      <c r="Y664" s="11"/>
      <c r="Z664" s="11"/>
    </row>
    <row r="665" ht="16.5" customHeight="1">
      <c r="A665" s="11"/>
      <c r="B665" s="11"/>
      <c r="C665" s="11"/>
      <c r="D665" s="11"/>
      <c r="E665" s="11"/>
      <c r="F665" s="11"/>
      <c r="G665" s="12"/>
      <c r="H665" s="11"/>
      <c r="I665" s="12"/>
      <c r="J665" s="12"/>
      <c r="K665" s="12"/>
      <c r="L665" s="11"/>
      <c r="M665" s="11"/>
      <c r="N665" s="11"/>
      <c r="O665" s="11"/>
      <c r="P665" s="11"/>
      <c r="Q665" s="11"/>
      <c r="R665" s="11"/>
      <c r="S665" s="11"/>
      <c r="T665" s="11"/>
      <c r="U665" s="11"/>
      <c r="V665" s="11"/>
      <c r="W665" s="11"/>
      <c r="X665" s="11"/>
      <c r="Y665" s="11"/>
      <c r="Z665" s="11"/>
    </row>
    <row r="666" ht="16.5" customHeight="1">
      <c r="A666" s="11"/>
      <c r="B666" s="11"/>
      <c r="C666" s="11"/>
      <c r="D666" s="11"/>
      <c r="E666" s="11"/>
      <c r="F666" s="11"/>
      <c r="G666" s="12"/>
      <c r="H666" s="11"/>
      <c r="I666" s="12"/>
      <c r="J666" s="12"/>
      <c r="K666" s="12"/>
      <c r="L666" s="11"/>
      <c r="M666" s="11"/>
      <c r="N666" s="11"/>
      <c r="O666" s="11"/>
      <c r="P666" s="11"/>
      <c r="Q666" s="11"/>
      <c r="R666" s="11"/>
      <c r="S666" s="11"/>
      <c r="T666" s="11"/>
      <c r="U666" s="11"/>
      <c r="V666" s="11"/>
      <c r="W666" s="11"/>
      <c r="X666" s="11"/>
      <c r="Y666" s="11"/>
      <c r="Z666" s="11"/>
    </row>
    <row r="667" ht="16.5" customHeight="1">
      <c r="A667" s="11"/>
      <c r="B667" s="11"/>
      <c r="C667" s="11"/>
      <c r="D667" s="11"/>
      <c r="E667" s="11"/>
      <c r="F667" s="11"/>
      <c r="G667" s="12"/>
      <c r="H667" s="11"/>
      <c r="I667" s="12"/>
      <c r="J667" s="12"/>
      <c r="K667" s="12"/>
      <c r="L667" s="11"/>
      <c r="M667" s="11"/>
      <c r="N667" s="11"/>
      <c r="O667" s="11"/>
      <c r="P667" s="11"/>
      <c r="Q667" s="11"/>
      <c r="R667" s="11"/>
      <c r="S667" s="11"/>
      <c r="T667" s="11"/>
      <c r="U667" s="11"/>
      <c r="V667" s="11"/>
      <c r="W667" s="11"/>
      <c r="X667" s="11"/>
      <c r="Y667" s="11"/>
      <c r="Z667" s="11"/>
    </row>
    <row r="668" ht="16.5" customHeight="1">
      <c r="A668" s="11"/>
      <c r="B668" s="11"/>
      <c r="C668" s="11"/>
      <c r="D668" s="11"/>
      <c r="E668" s="11"/>
      <c r="F668" s="11"/>
      <c r="G668" s="12"/>
      <c r="H668" s="11"/>
      <c r="I668" s="12"/>
      <c r="J668" s="12"/>
      <c r="K668" s="12"/>
      <c r="L668" s="11"/>
      <c r="M668" s="11"/>
      <c r="N668" s="11"/>
      <c r="O668" s="11"/>
      <c r="P668" s="11"/>
      <c r="Q668" s="11"/>
      <c r="R668" s="11"/>
      <c r="S668" s="11"/>
      <c r="T668" s="11"/>
      <c r="U668" s="11"/>
      <c r="V668" s="11"/>
      <c r="W668" s="11"/>
      <c r="X668" s="11"/>
      <c r="Y668" s="11"/>
      <c r="Z668" s="11"/>
    </row>
    <row r="669" ht="16.5" customHeight="1">
      <c r="A669" s="11"/>
      <c r="B669" s="11"/>
      <c r="C669" s="11"/>
      <c r="D669" s="11"/>
      <c r="E669" s="11"/>
      <c r="F669" s="11"/>
      <c r="G669" s="12"/>
      <c r="H669" s="11"/>
      <c r="I669" s="12"/>
      <c r="J669" s="12"/>
      <c r="K669" s="12"/>
      <c r="L669" s="11"/>
      <c r="M669" s="11"/>
      <c r="N669" s="11"/>
      <c r="O669" s="11"/>
      <c r="P669" s="11"/>
      <c r="Q669" s="11"/>
      <c r="R669" s="11"/>
      <c r="S669" s="11"/>
      <c r="T669" s="11"/>
      <c r="U669" s="11"/>
      <c r="V669" s="11"/>
      <c r="W669" s="11"/>
      <c r="X669" s="11"/>
      <c r="Y669" s="11"/>
      <c r="Z669" s="11"/>
    </row>
    <row r="670" ht="16.5" customHeight="1">
      <c r="A670" s="11"/>
      <c r="B670" s="11"/>
      <c r="C670" s="11"/>
      <c r="D670" s="11"/>
      <c r="E670" s="11"/>
      <c r="F670" s="11"/>
      <c r="G670" s="12"/>
      <c r="H670" s="11"/>
      <c r="I670" s="12"/>
      <c r="J670" s="12"/>
      <c r="K670" s="12"/>
      <c r="L670" s="11"/>
      <c r="M670" s="11"/>
      <c r="N670" s="11"/>
      <c r="O670" s="11"/>
      <c r="P670" s="11"/>
      <c r="Q670" s="11"/>
      <c r="R670" s="11"/>
      <c r="S670" s="11"/>
      <c r="T670" s="11"/>
      <c r="U670" s="11"/>
      <c r="V670" s="11"/>
      <c r="W670" s="11"/>
      <c r="X670" s="11"/>
      <c r="Y670" s="11"/>
      <c r="Z670" s="11"/>
    </row>
    <row r="671" ht="16.5" customHeight="1">
      <c r="A671" s="11"/>
      <c r="B671" s="11"/>
      <c r="C671" s="11"/>
      <c r="D671" s="11"/>
      <c r="E671" s="11"/>
      <c r="F671" s="11"/>
      <c r="G671" s="12"/>
      <c r="H671" s="11"/>
      <c r="I671" s="12"/>
      <c r="J671" s="12"/>
      <c r="K671" s="12"/>
      <c r="L671" s="11"/>
      <c r="M671" s="11"/>
      <c r="N671" s="11"/>
      <c r="O671" s="11"/>
      <c r="P671" s="11"/>
      <c r="Q671" s="11"/>
      <c r="R671" s="11"/>
      <c r="S671" s="11"/>
      <c r="T671" s="11"/>
      <c r="U671" s="11"/>
      <c r="V671" s="11"/>
      <c r="W671" s="11"/>
      <c r="X671" s="11"/>
      <c r="Y671" s="11"/>
      <c r="Z671" s="11"/>
    </row>
    <row r="672" ht="16.5" customHeight="1">
      <c r="A672" s="11"/>
      <c r="B672" s="11"/>
      <c r="C672" s="11"/>
      <c r="D672" s="11"/>
      <c r="E672" s="11"/>
      <c r="F672" s="11"/>
      <c r="G672" s="12"/>
      <c r="H672" s="11"/>
      <c r="I672" s="12"/>
      <c r="J672" s="12"/>
      <c r="K672" s="12"/>
      <c r="L672" s="11"/>
      <c r="M672" s="11"/>
      <c r="N672" s="11"/>
      <c r="O672" s="11"/>
      <c r="P672" s="11"/>
      <c r="Q672" s="11"/>
      <c r="R672" s="11"/>
      <c r="S672" s="11"/>
      <c r="T672" s="11"/>
      <c r="U672" s="11"/>
      <c r="V672" s="11"/>
      <c r="W672" s="11"/>
      <c r="X672" s="11"/>
      <c r="Y672" s="11"/>
      <c r="Z672" s="11"/>
    </row>
    <row r="673" ht="16.5" customHeight="1">
      <c r="A673" s="11"/>
      <c r="B673" s="11"/>
      <c r="C673" s="11"/>
      <c r="D673" s="11"/>
      <c r="E673" s="11"/>
      <c r="F673" s="11"/>
      <c r="G673" s="12"/>
      <c r="H673" s="11"/>
      <c r="I673" s="12"/>
      <c r="J673" s="12"/>
      <c r="K673" s="12"/>
      <c r="L673" s="11"/>
      <c r="M673" s="11"/>
      <c r="N673" s="11"/>
      <c r="O673" s="11"/>
      <c r="P673" s="11"/>
      <c r="Q673" s="11"/>
      <c r="R673" s="11"/>
      <c r="S673" s="11"/>
      <c r="T673" s="11"/>
      <c r="U673" s="11"/>
      <c r="V673" s="11"/>
      <c r="W673" s="11"/>
      <c r="X673" s="11"/>
      <c r="Y673" s="11"/>
      <c r="Z673" s="11"/>
    </row>
    <row r="674" ht="16.5" customHeight="1">
      <c r="A674" s="11"/>
      <c r="B674" s="11"/>
      <c r="C674" s="11"/>
      <c r="D674" s="11"/>
      <c r="E674" s="11"/>
      <c r="F674" s="11"/>
      <c r="G674" s="12"/>
      <c r="H674" s="11"/>
      <c r="I674" s="12"/>
      <c r="J674" s="12"/>
      <c r="K674" s="12"/>
      <c r="L674" s="11"/>
      <c r="M674" s="11"/>
      <c r="N674" s="11"/>
      <c r="O674" s="11"/>
      <c r="P674" s="11"/>
      <c r="Q674" s="11"/>
      <c r="R674" s="11"/>
      <c r="S674" s="11"/>
      <c r="T674" s="11"/>
      <c r="U674" s="11"/>
      <c r="V674" s="11"/>
      <c r="W674" s="11"/>
      <c r="X674" s="11"/>
      <c r="Y674" s="11"/>
      <c r="Z674" s="11"/>
    </row>
    <row r="675" ht="16.5" customHeight="1">
      <c r="A675" s="11"/>
      <c r="B675" s="11"/>
      <c r="C675" s="11"/>
      <c r="D675" s="11"/>
      <c r="E675" s="11"/>
      <c r="F675" s="11"/>
      <c r="G675" s="12"/>
      <c r="H675" s="11"/>
      <c r="I675" s="12"/>
      <c r="J675" s="12"/>
      <c r="K675" s="12"/>
      <c r="L675" s="11"/>
      <c r="M675" s="11"/>
      <c r="N675" s="11"/>
      <c r="O675" s="11"/>
      <c r="P675" s="11"/>
      <c r="Q675" s="11"/>
      <c r="R675" s="11"/>
      <c r="S675" s="11"/>
      <c r="T675" s="11"/>
      <c r="U675" s="11"/>
      <c r="V675" s="11"/>
      <c r="W675" s="11"/>
      <c r="X675" s="11"/>
      <c r="Y675" s="11"/>
      <c r="Z675" s="11"/>
    </row>
    <row r="676" ht="16.5" customHeight="1">
      <c r="A676" s="11"/>
      <c r="B676" s="11"/>
      <c r="C676" s="11"/>
      <c r="D676" s="11"/>
      <c r="E676" s="11"/>
      <c r="F676" s="11"/>
      <c r="G676" s="12"/>
      <c r="H676" s="11"/>
      <c r="I676" s="12"/>
      <c r="J676" s="12"/>
      <c r="K676" s="12"/>
      <c r="L676" s="11"/>
      <c r="M676" s="11"/>
      <c r="N676" s="11"/>
      <c r="O676" s="11"/>
      <c r="P676" s="11"/>
      <c r="Q676" s="11"/>
      <c r="R676" s="11"/>
      <c r="S676" s="11"/>
      <c r="T676" s="11"/>
      <c r="U676" s="11"/>
      <c r="V676" s="11"/>
      <c r="W676" s="11"/>
      <c r="X676" s="11"/>
      <c r="Y676" s="11"/>
      <c r="Z676" s="11"/>
    </row>
    <row r="677" ht="16.5" customHeight="1">
      <c r="A677" s="11"/>
      <c r="B677" s="11"/>
      <c r="C677" s="11"/>
      <c r="D677" s="11"/>
      <c r="E677" s="11"/>
      <c r="F677" s="11"/>
      <c r="G677" s="12"/>
      <c r="H677" s="11"/>
      <c r="I677" s="12"/>
      <c r="J677" s="12"/>
      <c r="K677" s="12"/>
      <c r="L677" s="11"/>
      <c r="M677" s="11"/>
      <c r="N677" s="11"/>
      <c r="O677" s="11"/>
      <c r="P677" s="11"/>
      <c r="Q677" s="11"/>
      <c r="R677" s="11"/>
      <c r="S677" s="11"/>
      <c r="T677" s="11"/>
      <c r="U677" s="11"/>
      <c r="V677" s="11"/>
      <c r="W677" s="11"/>
      <c r="X677" s="11"/>
      <c r="Y677" s="11"/>
      <c r="Z677" s="11"/>
    </row>
    <row r="678" ht="16.5" customHeight="1">
      <c r="A678" s="11"/>
      <c r="B678" s="11"/>
      <c r="C678" s="11"/>
      <c r="D678" s="11"/>
      <c r="E678" s="11"/>
      <c r="F678" s="11"/>
      <c r="G678" s="12"/>
      <c r="H678" s="11"/>
      <c r="I678" s="12"/>
      <c r="J678" s="12"/>
      <c r="K678" s="12"/>
      <c r="L678" s="11"/>
      <c r="M678" s="11"/>
      <c r="N678" s="11"/>
      <c r="O678" s="11"/>
      <c r="P678" s="11"/>
      <c r="Q678" s="11"/>
      <c r="R678" s="11"/>
      <c r="S678" s="11"/>
      <c r="T678" s="11"/>
      <c r="U678" s="11"/>
      <c r="V678" s="11"/>
      <c r="W678" s="11"/>
      <c r="X678" s="11"/>
      <c r="Y678" s="11"/>
      <c r="Z678" s="11"/>
    </row>
    <row r="679" ht="16.5" customHeight="1">
      <c r="A679" s="11"/>
      <c r="B679" s="11"/>
      <c r="C679" s="11"/>
      <c r="D679" s="11"/>
      <c r="E679" s="11"/>
      <c r="F679" s="11"/>
      <c r="G679" s="12"/>
      <c r="H679" s="11"/>
      <c r="I679" s="12"/>
      <c r="J679" s="12"/>
      <c r="K679" s="12"/>
      <c r="L679" s="11"/>
      <c r="M679" s="11"/>
      <c r="N679" s="11"/>
      <c r="O679" s="11"/>
      <c r="P679" s="11"/>
      <c r="Q679" s="11"/>
      <c r="R679" s="11"/>
      <c r="S679" s="11"/>
      <c r="T679" s="11"/>
      <c r="U679" s="11"/>
      <c r="V679" s="11"/>
      <c r="W679" s="11"/>
      <c r="X679" s="11"/>
      <c r="Y679" s="11"/>
      <c r="Z679" s="11"/>
    </row>
    <row r="680" ht="16.5" customHeight="1">
      <c r="A680" s="11"/>
      <c r="B680" s="11"/>
      <c r="C680" s="11"/>
      <c r="D680" s="11"/>
      <c r="E680" s="11"/>
      <c r="F680" s="11"/>
      <c r="G680" s="12"/>
      <c r="H680" s="11"/>
      <c r="I680" s="12"/>
      <c r="J680" s="12"/>
      <c r="K680" s="12"/>
      <c r="L680" s="11"/>
      <c r="M680" s="11"/>
      <c r="N680" s="11"/>
      <c r="O680" s="11"/>
      <c r="P680" s="11"/>
      <c r="Q680" s="11"/>
      <c r="R680" s="11"/>
      <c r="S680" s="11"/>
      <c r="T680" s="11"/>
      <c r="U680" s="11"/>
      <c r="V680" s="11"/>
      <c r="W680" s="11"/>
      <c r="X680" s="11"/>
      <c r="Y680" s="11"/>
      <c r="Z680" s="11"/>
    </row>
    <row r="681" ht="16.5" customHeight="1">
      <c r="A681" s="11"/>
      <c r="B681" s="11"/>
      <c r="C681" s="11"/>
      <c r="D681" s="11"/>
      <c r="E681" s="11"/>
      <c r="F681" s="11"/>
      <c r="G681" s="12"/>
      <c r="H681" s="11"/>
      <c r="I681" s="12"/>
      <c r="J681" s="12"/>
      <c r="K681" s="12"/>
      <c r="L681" s="11"/>
      <c r="M681" s="11"/>
      <c r="N681" s="11"/>
      <c r="O681" s="11"/>
      <c r="P681" s="11"/>
      <c r="Q681" s="11"/>
      <c r="R681" s="11"/>
      <c r="S681" s="11"/>
      <c r="T681" s="11"/>
      <c r="U681" s="11"/>
      <c r="V681" s="11"/>
      <c r="W681" s="11"/>
      <c r="X681" s="11"/>
      <c r="Y681" s="11"/>
      <c r="Z681" s="11"/>
    </row>
    <row r="682" ht="16.5" customHeight="1">
      <c r="A682" s="11"/>
      <c r="B682" s="11"/>
      <c r="C682" s="11"/>
      <c r="D682" s="11"/>
      <c r="E682" s="11"/>
      <c r="F682" s="11"/>
      <c r="G682" s="12"/>
      <c r="H682" s="11"/>
      <c r="I682" s="12"/>
      <c r="J682" s="12"/>
      <c r="K682" s="12"/>
      <c r="L682" s="11"/>
      <c r="M682" s="11"/>
      <c r="N682" s="11"/>
      <c r="O682" s="11"/>
      <c r="P682" s="11"/>
      <c r="Q682" s="11"/>
      <c r="R682" s="11"/>
      <c r="S682" s="11"/>
      <c r="T682" s="11"/>
      <c r="U682" s="11"/>
      <c r="V682" s="11"/>
      <c r="W682" s="11"/>
      <c r="X682" s="11"/>
      <c r="Y682" s="11"/>
      <c r="Z682" s="11"/>
    </row>
    <row r="683" ht="16.5" customHeight="1">
      <c r="A683" s="11"/>
      <c r="B683" s="11"/>
      <c r="C683" s="11"/>
      <c r="D683" s="11"/>
      <c r="E683" s="11"/>
      <c r="F683" s="11"/>
      <c r="G683" s="12"/>
      <c r="H683" s="11"/>
      <c r="I683" s="12"/>
      <c r="J683" s="12"/>
      <c r="K683" s="12"/>
      <c r="L683" s="11"/>
      <c r="M683" s="11"/>
      <c r="N683" s="11"/>
      <c r="O683" s="11"/>
      <c r="P683" s="11"/>
      <c r="Q683" s="11"/>
      <c r="R683" s="11"/>
      <c r="S683" s="11"/>
      <c r="T683" s="11"/>
      <c r="U683" s="11"/>
      <c r="V683" s="11"/>
      <c r="W683" s="11"/>
      <c r="X683" s="11"/>
      <c r="Y683" s="11"/>
      <c r="Z683" s="11"/>
    </row>
    <row r="684" ht="16.5" customHeight="1">
      <c r="A684" s="11"/>
      <c r="B684" s="11"/>
      <c r="C684" s="11"/>
      <c r="D684" s="11"/>
      <c r="E684" s="11"/>
      <c r="F684" s="11"/>
      <c r="G684" s="12"/>
      <c r="H684" s="11"/>
      <c r="I684" s="12"/>
      <c r="J684" s="12"/>
      <c r="K684" s="12"/>
      <c r="L684" s="11"/>
      <c r="M684" s="11"/>
      <c r="N684" s="11"/>
      <c r="O684" s="11"/>
      <c r="P684" s="11"/>
      <c r="Q684" s="11"/>
      <c r="R684" s="11"/>
      <c r="S684" s="11"/>
      <c r="T684" s="11"/>
      <c r="U684" s="11"/>
      <c r="V684" s="11"/>
      <c r="W684" s="11"/>
      <c r="X684" s="11"/>
      <c r="Y684" s="11"/>
      <c r="Z684" s="11"/>
    </row>
    <row r="685" ht="16.5" customHeight="1">
      <c r="A685" s="11"/>
      <c r="B685" s="11"/>
      <c r="C685" s="11"/>
      <c r="D685" s="11"/>
      <c r="E685" s="11"/>
      <c r="F685" s="11"/>
      <c r="G685" s="12"/>
      <c r="H685" s="11"/>
      <c r="I685" s="12"/>
      <c r="J685" s="12"/>
      <c r="K685" s="12"/>
      <c r="L685" s="11"/>
      <c r="M685" s="11"/>
      <c r="N685" s="11"/>
      <c r="O685" s="11"/>
      <c r="P685" s="11"/>
      <c r="Q685" s="11"/>
      <c r="R685" s="11"/>
      <c r="S685" s="11"/>
      <c r="T685" s="11"/>
      <c r="U685" s="11"/>
      <c r="V685" s="11"/>
      <c r="W685" s="11"/>
      <c r="X685" s="11"/>
      <c r="Y685" s="11"/>
      <c r="Z685" s="11"/>
    </row>
    <row r="686" ht="16.5" customHeight="1">
      <c r="A686" s="11"/>
      <c r="B686" s="11"/>
      <c r="C686" s="11"/>
      <c r="D686" s="11"/>
      <c r="E686" s="11"/>
      <c r="F686" s="11"/>
      <c r="G686" s="12"/>
      <c r="H686" s="11"/>
      <c r="I686" s="12"/>
      <c r="J686" s="12"/>
      <c r="K686" s="12"/>
      <c r="L686" s="11"/>
      <c r="M686" s="11"/>
      <c r="N686" s="11"/>
      <c r="O686" s="11"/>
      <c r="P686" s="11"/>
      <c r="Q686" s="11"/>
      <c r="R686" s="11"/>
      <c r="S686" s="11"/>
      <c r="T686" s="11"/>
      <c r="U686" s="11"/>
      <c r="V686" s="11"/>
      <c r="W686" s="11"/>
      <c r="X686" s="11"/>
      <c r="Y686" s="11"/>
      <c r="Z686" s="11"/>
    </row>
    <row r="687" ht="16.5" customHeight="1">
      <c r="A687" s="11"/>
      <c r="B687" s="11"/>
      <c r="C687" s="11"/>
      <c r="D687" s="11"/>
      <c r="E687" s="11"/>
      <c r="F687" s="11"/>
      <c r="G687" s="12"/>
      <c r="H687" s="11"/>
      <c r="I687" s="12"/>
      <c r="J687" s="12"/>
      <c r="K687" s="12"/>
      <c r="L687" s="11"/>
      <c r="M687" s="11"/>
      <c r="N687" s="11"/>
      <c r="O687" s="11"/>
      <c r="P687" s="11"/>
      <c r="Q687" s="11"/>
      <c r="R687" s="11"/>
      <c r="S687" s="11"/>
      <c r="T687" s="11"/>
      <c r="U687" s="11"/>
      <c r="V687" s="11"/>
      <c r="W687" s="11"/>
      <c r="X687" s="11"/>
      <c r="Y687" s="11"/>
      <c r="Z687" s="11"/>
    </row>
    <row r="688" ht="16.5" customHeight="1">
      <c r="A688" s="11"/>
      <c r="B688" s="11"/>
      <c r="C688" s="11"/>
      <c r="D688" s="11"/>
      <c r="E688" s="11"/>
      <c r="F688" s="11"/>
      <c r="G688" s="12"/>
      <c r="H688" s="11"/>
      <c r="I688" s="12"/>
      <c r="J688" s="12"/>
      <c r="K688" s="12"/>
      <c r="L688" s="11"/>
      <c r="M688" s="11"/>
      <c r="N688" s="11"/>
      <c r="O688" s="11"/>
      <c r="P688" s="11"/>
      <c r="Q688" s="11"/>
      <c r="R688" s="11"/>
      <c r="S688" s="11"/>
      <c r="T688" s="11"/>
      <c r="U688" s="11"/>
      <c r="V688" s="11"/>
      <c r="W688" s="11"/>
      <c r="X688" s="11"/>
      <c r="Y688" s="11"/>
      <c r="Z688" s="11"/>
    </row>
    <row r="689" ht="16.5" customHeight="1">
      <c r="A689" s="11"/>
      <c r="B689" s="11"/>
      <c r="C689" s="11"/>
      <c r="D689" s="11"/>
      <c r="E689" s="11"/>
      <c r="F689" s="11"/>
      <c r="G689" s="12"/>
      <c r="H689" s="11"/>
      <c r="I689" s="12"/>
      <c r="J689" s="12"/>
      <c r="K689" s="12"/>
      <c r="L689" s="11"/>
      <c r="M689" s="11"/>
      <c r="N689" s="11"/>
      <c r="O689" s="11"/>
      <c r="P689" s="11"/>
      <c r="Q689" s="11"/>
      <c r="R689" s="11"/>
      <c r="S689" s="11"/>
      <c r="T689" s="11"/>
      <c r="U689" s="11"/>
      <c r="V689" s="11"/>
      <c r="W689" s="11"/>
      <c r="X689" s="11"/>
      <c r="Y689" s="11"/>
      <c r="Z689" s="11"/>
    </row>
    <row r="690" ht="16.5" customHeight="1">
      <c r="A690" s="11"/>
      <c r="B690" s="11"/>
      <c r="C690" s="11"/>
      <c r="D690" s="11"/>
      <c r="E690" s="11"/>
      <c r="F690" s="11"/>
      <c r="G690" s="12"/>
      <c r="H690" s="11"/>
      <c r="I690" s="12"/>
      <c r="J690" s="12"/>
      <c r="K690" s="12"/>
      <c r="L690" s="11"/>
      <c r="M690" s="11"/>
      <c r="N690" s="11"/>
      <c r="O690" s="11"/>
      <c r="P690" s="11"/>
      <c r="Q690" s="11"/>
      <c r="R690" s="11"/>
      <c r="S690" s="11"/>
      <c r="T690" s="11"/>
      <c r="U690" s="11"/>
      <c r="V690" s="11"/>
      <c r="W690" s="11"/>
      <c r="X690" s="11"/>
      <c r="Y690" s="11"/>
      <c r="Z690" s="11"/>
    </row>
    <row r="691" ht="16.5" customHeight="1">
      <c r="A691" s="11"/>
      <c r="B691" s="11"/>
      <c r="C691" s="11"/>
      <c r="D691" s="11"/>
      <c r="E691" s="11"/>
      <c r="F691" s="11"/>
      <c r="G691" s="12"/>
      <c r="H691" s="11"/>
      <c r="I691" s="12"/>
      <c r="J691" s="12"/>
      <c r="K691" s="12"/>
      <c r="L691" s="11"/>
      <c r="M691" s="11"/>
      <c r="N691" s="11"/>
      <c r="O691" s="11"/>
      <c r="P691" s="11"/>
      <c r="Q691" s="11"/>
      <c r="R691" s="11"/>
      <c r="S691" s="11"/>
      <c r="T691" s="11"/>
      <c r="U691" s="11"/>
      <c r="V691" s="11"/>
      <c r="W691" s="11"/>
      <c r="X691" s="11"/>
      <c r="Y691" s="11"/>
      <c r="Z691" s="11"/>
    </row>
    <row r="692" ht="16.5" customHeight="1">
      <c r="A692" s="11"/>
      <c r="B692" s="11"/>
      <c r="C692" s="11"/>
      <c r="D692" s="11"/>
      <c r="E692" s="11"/>
      <c r="F692" s="11"/>
      <c r="G692" s="12"/>
      <c r="H692" s="11"/>
      <c r="I692" s="12"/>
      <c r="J692" s="12"/>
      <c r="K692" s="12"/>
      <c r="L692" s="11"/>
      <c r="M692" s="11"/>
      <c r="N692" s="11"/>
      <c r="O692" s="11"/>
      <c r="P692" s="11"/>
      <c r="Q692" s="11"/>
      <c r="R692" s="11"/>
      <c r="S692" s="11"/>
      <c r="T692" s="11"/>
      <c r="U692" s="11"/>
      <c r="V692" s="11"/>
      <c r="W692" s="11"/>
      <c r="X692" s="11"/>
      <c r="Y692" s="11"/>
      <c r="Z692" s="11"/>
    </row>
    <row r="693" ht="16.5" customHeight="1">
      <c r="A693" s="11"/>
      <c r="B693" s="11"/>
      <c r="C693" s="11"/>
      <c r="D693" s="11"/>
      <c r="E693" s="11"/>
      <c r="F693" s="11"/>
      <c r="G693" s="12"/>
      <c r="H693" s="11"/>
      <c r="I693" s="12"/>
      <c r="J693" s="12"/>
      <c r="K693" s="12"/>
      <c r="L693" s="11"/>
      <c r="M693" s="11"/>
      <c r="N693" s="11"/>
      <c r="O693" s="11"/>
      <c r="P693" s="11"/>
      <c r="Q693" s="11"/>
      <c r="R693" s="11"/>
      <c r="S693" s="11"/>
      <c r="T693" s="11"/>
      <c r="U693" s="11"/>
      <c r="V693" s="11"/>
      <c r="W693" s="11"/>
      <c r="X693" s="11"/>
      <c r="Y693" s="11"/>
      <c r="Z693" s="11"/>
    </row>
    <row r="694" ht="16.5" customHeight="1">
      <c r="A694" s="11"/>
      <c r="B694" s="11"/>
      <c r="C694" s="11"/>
      <c r="D694" s="11"/>
      <c r="E694" s="11"/>
      <c r="F694" s="11"/>
      <c r="G694" s="12"/>
      <c r="H694" s="11"/>
      <c r="I694" s="12"/>
      <c r="J694" s="12"/>
      <c r="K694" s="12"/>
      <c r="L694" s="11"/>
      <c r="M694" s="11"/>
      <c r="N694" s="11"/>
      <c r="O694" s="11"/>
      <c r="P694" s="11"/>
      <c r="Q694" s="11"/>
      <c r="R694" s="11"/>
      <c r="S694" s="11"/>
      <c r="T694" s="11"/>
      <c r="U694" s="11"/>
      <c r="V694" s="11"/>
      <c r="W694" s="11"/>
      <c r="X694" s="11"/>
      <c r="Y694" s="11"/>
      <c r="Z694" s="11"/>
    </row>
    <row r="695" ht="16.5" customHeight="1">
      <c r="A695" s="11"/>
      <c r="B695" s="11"/>
      <c r="C695" s="11"/>
      <c r="D695" s="11"/>
      <c r="E695" s="11"/>
      <c r="F695" s="11"/>
      <c r="G695" s="12"/>
      <c r="H695" s="11"/>
      <c r="I695" s="12"/>
      <c r="J695" s="12"/>
      <c r="K695" s="12"/>
      <c r="L695" s="11"/>
      <c r="M695" s="11"/>
      <c r="N695" s="11"/>
      <c r="O695" s="11"/>
      <c r="P695" s="11"/>
      <c r="Q695" s="11"/>
      <c r="R695" s="11"/>
      <c r="S695" s="11"/>
      <c r="T695" s="11"/>
      <c r="U695" s="11"/>
      <c r="V695" s="11"/>
      <c r="W695" s="11"/>
      <c r="X695" s="11"/>
      <c r="Y695" s="11"/>
      <c r="Z695" s="11"/>
    </row>
    <row r="696" ht="16.5" customHeight="1">
      <c r="A696" s="11"/>
      <c r="B696" s="11"/>
      <c r="C696" s="11"/>
      <c r="D696" s="11"/>
      <c r="E696" s="11"/>
      <c r="F696" s="11"/>
      <c r="G696" s="12"/>
      <c r="H696" s="11"/>
      <c r="I696" s="12"/>
      <c r="J696" s="12"/>
      <c r="K696" s="12"/>
      <c r="L696" s="11"/>
      <c r="M696" s="11"/>
      <c r="N696" s="11"/>
      <c r="O696" s="11"/>
      <c r="P696" s="11"/>
      <c r="Q696" s="11"/>
      <c r="R696" s="11"/>
      <c r="S696" s="11"/>
      <c r="T696" s="11"/>
      <c r="U696" s="11"/>
      <c r="V696" s="11"/>
      <c r="W696" s="11"/>
      <c r="X696" s="11"/>
      <c r="Y696" s="11"/>
      <c r="Z696" s="11"/>
    </row>
    <row r="697" ht="16.5" customHeight="1">
      <c r="A697" s="11"/>
      <c r="B697" s="11"/>
      <c r="C697" s="11"/>
      <c r="D697" s="11"/>
      <c r="E697" s="11"/>
      <c r="F697" s="11"/>
      <c r="G697" s="12"/>
      <c r="H697" s="11"/>
      <c r="I697" s="12"/>
      <c r="J697" s="12"/>
      <c r="K697" s="12"/>
      <c r="L697" s="11"/>
      <c r="M697" s="11"/>
      <c r="N697" s="11"/>
      <c r="O697" s="11"/>
      <c r="P697" s="11"/>
      <c r="Q697" s="11"/>
      <c r="R697" s="11"/>
      <c r="S697" s="11"/>
      <c r="T697" s="11"/>
      <c r="U697" s="11"/>
      <c r="V697" s="11"/>
      <c r="W697" s="11"/>
      <c r="X697" s="11"/>
      <c r="Y697" s="11"/>
      <c r="Z697" s="11"/>
    </row>
    <row r="698" ht="16.5" customHeight="1">
      <c r="A698" s="11"/>
      <c r="B698" s="11"/>
      <c r="C698" s="11"/>
      <c r="D698" s="11"/>
      <c r="E698" s="11"/>
      <c r="F698" s="11"/>
      <c r="G698" s="12"/>
      <c r="H698" s="11"/>
      <c r="I698" s="12"/>
      <c r="J698" s="12"/>
      <c r="K698" s="12"/>
      <c r="L698" s="11"/>
      <c r="M698" s="11"/>
      <c r="N698" s="11"/>
      <c r="O698" s="11"/>
      <c r="P698" s="11"/>
      <c r="Q698" s="11"/>
      <c r="R698" s="11"/>
      <c r="S698" s="11"/>
      <c r="T698" s="11"/>
      <c r="U698" s="11"/>
      <c r="V698" s="11"/>
      <c r="W698" s="11"/>
      <c r="X698" s="11"/>
      <c r="Y698" s="11"/>
      <c r="Z698" s="11"/>
    </row>
    <row r="699" ht="16.5" customHeight="1">
      <c r="A699" s="11"/>
      <c r="B699" s="11"/>
      <c r="C699" s="11"/>
      <c r="D699" s="11"/>
      <c r="E699" s="11"/>
      <c r="F699" s="11"/>
      <c r="G699" s="12"/>
      <c r="H699" s="11"/>
      <c r="I699" s="12"/>
      <c r="J699" s="12"/>
      <c r="K699" s="12"/>
      <c r="L699" s="11"/>
      <c r="M699" s="11"/>
      <c r="N699" s="11"/>
      <c r="O699" s="11"/>
      <c r="P699" s="11"/>
      <c r="Q699" s="11"/>
      <c r="R699" s="11"/>
      <c r="S699" s="11"/>
      <c r="T699" s="11"/>
      <c r="U699" s="11"/>
      <c r="V699" s="11"/>
      <c r="W699" s="11"/>
      <c r="X699" s="11"/>
      <c r="Y699" s="11"/>
      <c r="Z699" s="11"/>
    </row>
    <row r="700" ht="16.5" customHeight="1">
      <c r="A700" s="11"/>
      <c r="B700" s="11"/>
      <c r="C700" s="11"/>
      <c r="D700" s="11"/>
      <c r="E700" s="11"/>
      <c r="F700" s="11"/>
      <c r="G700" s="12"/>
      <c r="H700" s="11"/>
      <c r="I700" s="12"/>
      <c r="J700" s="12"/>
      <c r="K700" s="12"/>
      <c r="L700" s="11"/>
      <c r="M700" s="11"/>
      <c r="N700" s="11"/>
      <c r="O700" s="11"/>
      <c r="P700" s="11"/>
      <c r="Q700" s="11"/>
      <c r="R700" s="11"/>
      <c r="S700" s="11"/>
      <c r="T700" s="11"/>
      <c r="U700" s="11"/>
      <c r="V700" s="11"/>
      <c r="W700" s="11"/>
      <c r="X700" s="11"/>
      <c r="Y700" s="11"/>
      <c r="Z700" s="11"/>
    </row>
    <row r="701" ht="16.5" customHeight="1">
      <c r="A701" s="11"/>
      <c r="B701" s="11"/>
      <c r="C701" s="11"/>
      <c r="D701" s="11"/>
      <c r="E701" s="11"/>
      <c r="F701" s="11"/>
      <c r="G701" s="12"/>
      <c r="H701" s="11"/>
      <c r="I701" s="12"/>
      <c r="J701" s="12"/>
      <c r="K701" s="12"/>
      <c r="L701" s="11"/>
      <c r="M701" s="11"/>
      <c r="N701" s="11"/>
      <c r="O701" s="11"/>
      <c r="P701" s="11"/>
      <c r="Q701" s="11"/>
      <c r="R701" s="11"/>
      <c r="S701" s="11"/>
      <c r="T701" s="11"/>
      <c r="U701" s="11"/>
      <c r="V701" s="11"/>
      <c r="W701" s="11"/>
      <c r="X701" s="11"/>
      <c r="Y701" s="11"/>
      <c r="Z701" s="11"/>
    </row>
    <row r="702" ht="16.5" customHeight="1">
      <c r="A702" s="11"/>
      <c r="B702" s="11"/>
      <c r="C702" s="11"/>
      <c r="D702" s="11"/>
      <c r="E702" s="11"/>
      <c r="F702" s="11"/>
      <c r="G702" s="12"/>
      <c r="H702" s="11"/>
      <c r="I702" s="12"/>
      <c r="J702" s="12"/>
      <c r="K702" s="12"/>
      <c r="L702" s="11"/>
      <c r="M702" s="11"/>
      <c r="N702" s="11"/>
      <c r="O702" s="11"/>
      <c r="P702" s="11"/>
      <c r="Q702" s="11"/>
      <c r="R702" s="11"/>
      <c r="S702" s="11"/>
      <c r="T702" s="11"/>
      <c r="U702" s="11"/>
      <c r="V702" s="11"/>
      <c r="W702" s="11"/>
      <c r="X702" s="11"/>
      <c r="Y702" s="11"/>
      <c r="Z702" s="11"/>
    </row>
    <row r="703" ht="16.5" customHeight="1">
      <c r="A703" s="11"/>
      <c r="B703" s="11"/>
      <c r="C703" s="11"/>
      <c r="D703" s="11"/>
      <c r="E703" s="11"/>
      <c r="F703" s="11"/>
      <c r="G703" s="12"/>
      <c r="H703" s="11"/>
      <c r="I703" s="12"/>
      <c r="J703" s="12"/>
      <c r="K703" s="12"/>
      <c r="L703" s="11"/>
      <c r="M703" s="11"/>
      <c r="N703" s="11"/>
      <c r="O703" s="11"/>
      <c r="P703" s="11"/>
      <c r="Q703" s="11"/>
      <c r="R703" s="11"/>
      <c r="S703" s="11"/>
      <c r="T703" s="11"/>
      <c r="U703" s="11"/>
      <c r="V703" s="11"/>
      <c r="W703" s="11"/>
      <c r="X703" s="11"/>
      <c r="Y703" s="11"/>
      <c r="Z703" s="11"/>
    </row>
    <row r="704" ht="16.5" customHeight="1">
      <c r="A704" s="11"/>
      <c r="B704" s="11"/>
      <c r="C704" s="11"/>
      <c r="D704" s="11"/>
      <c r="E704" s="11"/>
      <c r="F704" s="11"/>
      <c r="G704" s="12"/>
      <c r="H704" s="11"/>
      <c r="I704" s="12"/>
      <c r="J704" s="12"/>
      <c r="K704" s="12"/>
      <c r="L704" s="11"/>
      <c r="M704" s="11"/>
      <c r="N704" s="11"/>
      <c r="O704" s="11"/>
      <c r="P704" s="11"/>
      <c r="Q704" s="11"/>
      <c r="R704" s="11"/>
      <c r="S704" s="11"/>
      <c r="T704" s="11"/>
      <c r="U704" s="11"/>
      <c r="V704" s="11"/>
      <c r="W704" s="11"/>
      <c r="X704" s="11"/>
      <c r="Y704" s="11"/>
      <c r="Z704" s="11"/>
    </row>
    <row r="705" ht="16.5" customHeight="1">
      <c r="A705" s="11"/>
      <c r="B705" s="11"/>
      <c r="C705" s="11"/>
      <c r="D705" s="11"/>
      <c r="E705" s="11"/>
      <c r="F705" s="11"/>
      <c r="G705" s="12"/>
      <c r="H705" s="11"/>
      <c r="I705" s="12"/>
      <c r="J705" s="12"/>
      <c r="K705" s="12"/>
      <c r="L705" s="11"/>
      <c r="M705" s="11"/>
      <c r="N705" s="11"/>
      <c r="O705" s="11"/>
      <c r="P705" s="11"/>
      <c r="Q705" s="11"/>
      <c r="R705" s="11"/>
      <c r="S705" s="11"/>
      <c r="T705" s="11"/>
      <c r="U705" s="11"/>
      <c r="V705" s="11"/>
      <c r="W705" s="11"/>
      <c r="X705" s="11"/>
      <c r="Y705" s="11"/>
      <c r="Z705" s="11"/>
    </row>
    <row r="706" ht="16.5" customHeight="1">
      <c r="A706" s="11"/>
      <c r="B706" s="11"/>
      <c r="C706" s="11"/>
      <c r="D706" s="11"/>
      <c r="E706" s="11"/>
      <c r="F706" s="11"/>
      <c r="G706" s="12"/>
      <c r="H706" s="11"/>
      <c r="I706" s="12"/>
      <c r="J706" s="12"/>
      <c r="K706" s="12"/>
      <c r="L706" s="11"/>
      <c r="M706" s="11"/>
      <c r="N706" s="11"/>
      <c r="O706" s="11"/>
      <c r="P706" s="11"/>
      <c r="Q706" s="11"/>
      <c r="R706" s="11"/>
      <c r="S706" s="11"/>
      <c r="T706" s="11"/>
      <c r="U706" s="11"/>
      <c r="V706" s="11"/>
      <c r="W706" s="11"/>
      <c r="X706" s="11"/>
      <c r="Y706" s="11"/>
      <c r="Z706" s="11"/>
    </row>
    <row r="707" ht="16.5" customHeight="1">
      <c r="A707" s="11"/>
      <c r="B707" s="11"/>
      <c r="C707" s="11"/>
      <c r="D707" s="11"/>
      <c r="E707" s="11"/>
      <c r="F707" s="11"/>
      <c r="G707" s="12"/>
      <c r="H707" s="11"/>
      <c r="I707" s="12"/>
      <c r="J707" s="12"/>
      <c r="K707" s="12"/>
      <c r="L707" s="11"/>
      <c r="M707" s="11"/>
      <c r="N707" s="11"/>
      <c r="O707" s="11"/>
      <c r="P707" s="11"/>
      <c r="Q707" s="11"/>
      <c r="R707" s="11"/>
      <c r="S707" s="11"/>
      <c r="T707" s="11"/>
      <c r="U707" s="11"/>
      <c r="V707" s="11"/>
      <c r="W707" s="11"/>
      <c r="X707" s="11"/>
      <c r="Y707" s="11"/>
      <c r="Z707" s="11"/>
    </row>
    <row r="708" ht="16.5" customHeight="1">
      <c r="A708" s="11"/>
      <c r="B708" s="11"/>
      <c r="C708" s="11"/>
      <c r="D708" s="11"/>
      <c r="E708" s="11"/>
      <c r="F708" s="11"/>
      <c r="G708" s="12"/>
      <c r="H708" s="11"/>
      <c r="I708" s="12"/>
      <c r="J708" s="12"/>
      <c r="K708" s="12"/>
      <c r="L708" s="11"/>
      <c r="M708" s="11"/>
      <c r="N708" s="11"/>
      <c r="O708" s="11"/>
      <c r="P708" s="11"/>
      <c r="Q708" s="11"/>
      <c r="R708" s="11"/>
      <c r="S708" s="11"/>
      <c r="T708" s="11"/>
      <c r="U708" s="11"/>
      <c r="V708" s="11"/>
      <c r="W708" s="11"/>
      <c r="X708" s="11"/>
      <c r="Y708" s="11"/>
      <c r="Z708" s="11"/>
    </row>
    <row r="709" ht="16.5" customHeight="1">
      <c r="A709" s="11"/>
      <c r="B709" s="11"/>
      <c r="C709" s="11"/>
      <c r="D709" s="11"/>
      <c r="E709" s="11"/>
      <c r="F709" s="11"/>
      <c r="G709" s="12"/>
      <c r="H709" s="11"/>
      <c r="I709" s="12"/>
      <c r="J709" s="12"/>
      <c r="K709" s="12"/>
      <c r="L709" s="11"/>
      <c r="M709" s="11"/>
      <c r="N709" s="11"/>
      <c r="O709" s="11"/>
      <c r="P709" s="11"/>
      <c r="Q709" s="11"/>
      <c r="R709" s="11"/>
      <c r="S709" s="11"/>
      <c r="T709" s="11"/>
      <c r="U709" s="11"/>
      <c r="V709" s="11"/>
      <c r="W709" s="11"/>
      <c r="X709" s="11"/>
      <c r="Y709" s="11"/>
      <c r="Z709" s="11"/>
    </row>
    <row r="710" ht="16.5" customHeight="1">
      <c r="A710" s="11"/>
      <c r="B710" s="11"/>
      <c r="C710" s="11"/>
      <c r="D710" s="11"/>
      <c r="E710" s="11"/>
      <c r="F710" s="11"/>
      <c r="G710" s="12"/>
      <c r="H710" s="11"/>
      <c r="I710" s="12"/>
      <c r="J710" s="12"/>
      <c r="K710" s="12"/>
      <c r="L710" s="11"/>
      <c r="M710" s="11"/>
      <c r="N710" s="11"/>
      <c r="O710" s="11"/>
      <c r="P710" s="11"/>
      <c r="Q710" s="11"/>
      <c r="R710" s="11"/>
      <c r="S710" s="11"/>
      <c r="T710" s="11"/>
      <c r="U710" s="11"/>
      <c r="V710" s="11"/>
      <c r="W710" s="11"/>
      <c r="X710" s="11"/>
      <c r="Y710" s="11"/>
      <c r="Z710" s="11"/>
    </row>
    <row r="711" ht="16.5" customHeight="1">
      <c r="A711" s="11"/>
      <c r="B711" s="11"/>
      <c r="C711" s="11"/>
      <c r="D711" s="11"/>
      <c r="E711" s="11"/>
      <c r="F711" s="11"/>
      <c r="G711" s="12"/>
      <c r="H711" s="11"/>
      <c r="I711" s="12"/>
      <c r="J711" s="12"/>
      <c r="K711" s="12"/>
      <c r="L711" s="11"/>
      <c r="M711" s="11"/>
      <c r="N711" s="11"/>
      <c r="O711" s="11"/>
      <c r="P711" s="11"/>
      <c r="Q711" s="11"/>
      <c r="R711" s="11"/>
      <c r="S711" s="11"/>
      <c r="T711" s="11"/>
      <c r="U711" s="11"/>
      <c r="V711" s="11"/>
      <c r="W711" s="11"/>
      <c r="X711" s="11"/>
      <c r="Y711" s="11"/>
      <c r="Z711" s="11"/>
    </row>
    <row r="712" ht="16.5" customHeight="1">
      <c r="A712" s="11"/>
      <c r="B712" s="11"/>
      <c r="C712" s="11"/>
      <c r="D712" s="11"/>
      <c r="E712" s="11"/>
      <c r="F712" s="11"/>
      <c r="G712" s="12"/>
      <c r="H712" s="11"/>
      <c r="I712" s="12"/>
      <c r="J712" s="12"/>
      <c r="K712" s="12"/>
      <c r="L712" s="11"/>
      <c r="M712" s="11"/>
      <c r="N712" s="11"/>
      <c r="O712" s="11"/>
      <c r="P712" s="11"/>
      <c r="Q712" s="11"/>
      <c r="R712" s="11"/>
      <c r="S712" s="11"/>
      <c r="T712" s="11"/>
      <c r="U712" s="11"/>
      <c r="V712" s="11"/>
      <c r="W712" s="11"/>
      <c r="X712" s="11"/>
      <c r="Y712" s="11"/>
      <c r="Z712" s="11"/>
    </row>
    <row r="713" ht="16.5" customHeight="1">
      <c r="A713" s="11"/>
      <c r="B713" s="11"/>
      <c r="C713" s="11"/>
      <c r="D713" s="11"/>
      <c r="E713" s="11"/>
      <c r="F713" s="11"/>
      <c r="G713" s="12"/>
      <c r="H713" s="11"/>
      <c r="I713" s="12"/>
      <c r="J713" s="12"/>
      <c r="K713" s="12"/>
      <c r="L713" s="11"/>
      <c r="M713" s="11"/>
      <c r="N713" s="11"/>
      <c r="O713" s="11"/>
      <c r="P713" s="11"/>
      <c r="Q713" s="11"/>
      <c r="R713" s="11"/>
      <c r="S713" s="11"/>
      <c r="T713" s="11"/>
      <c r="U713" s="11"/>
      <c r="V713" s="11"/>
      <c r="W713" s="11"/>
      <c r="X713" s="11"/>
      <c r="Y713" s="11"/>
      <c r="Z713" s="11"/>
    </row>
    <row r="714" ht="16.5" customHeight="1">
      <c r="A714" s="11"/>
      <c r="B714" s="11"/>
      <c r="C714" s="11"/>
      <c r="D714" s="11"/>
      <c r="E714" s="11"/>
      <c r="F714" s="11"/>
      <c r="G714" s="12"/>
      <c r="H714" s="11"/>
      <c r="I714" s="12"/>
      <c r="J714" s="12"/>
      <c r="K714" s="12"/>
      <c r="L714" s="11"/>
      <c r="M714" s="11"/>
      <c r="N714" s="11"/>
      <c r="O714" s="11"/>
      <c r="P714" s="11"/>
      <c r="Q714" s="11"/>
      <c r="R714" s="11"/>
      <c r="S714" s="11"/>
      <c r="T714" s="11"/>
      <c r="U714" s="11"/>
      <c r="V714" s="11"/>
      <c r="W714" s="11"/>
      <c r="X714" s="11"/>
      <c r="Y714" s="11"/>
      <c r="Z714" s="11"/>
    </row>
    <row r="715" ht="16.5" customHeight="1">
      <c r="A715" s="11"/>
      <c r="B715" s="11"/>
      <c r="C715" s="11"/>
      <c r="D715" s="11"/>
      <c r="E715" s="11"/>
      <c r="F715" s="11"/>
      <c r="G715" s="12"/>
      <c r="H715" s="11"/>
      <c r="I715" s="12"/>
      <c r="J715" s="12"/>
      <c r="K715" s="12"/>
      <c r="L715" s="11"/>
      <c r="M715" s="11"/>
      <c r="N715" s="11"/>
      <c r="O715" s="11"/>
      <c r="P715" s="11"/>
      <c r="Q715" s="11"/>
      <c r="R715" s="11"/>
      <c r="S715" s="11"/>
      <c r="T715" s="11"/>
      <c r="U715" s="11"/>
      <c r="V715" s="11"/>
      <c r="W715" s="11"/>
      <c r="X715" s="11"/>
      <c r="Y715" s="11"/>
      <c r="Z715" s="11"/>
    </row>
    <row r="716" ht="16.5" customHeight="1">
      <c r="A716" s="11"/>
      <c r="B716" s="11"/>
      <c r="C716" s="11"/>
      <c r="D716" s="11"/>
      <c r="E716" s="11"/>
      <c r="F716" s="11"/>
      <c r="G716" s="12"/>
      <c r="H716" s="11"/>
      <c r="I716" s="12"/>
      <c r="J716" s="12"/>
      <c r="K716" s="12"/>
      <c r="L716" s="11"/>
      <c r="M716" s="11"/>
      <c r="N716" s="11"/>
      <c r="O716" s="11"/>
      <c r="P716" s="11"/>
      <c r="Q716" s="11"/>
      <c r="R716" s="11"/>
      <c r="S716" s="11"/>
      <c r="T716" s="11"/>
      <c r="U716" s="11"/>
      <c r="V716" s="11"/>
      <c r="W716" s="11"/>
      <c r="X716" s="11"/>
      <c r="Y716" s="11"/>
      <c r="Z716" s="11"/>
    </row>
    <row r="717" ht="16.5" customHeight="1">
      <c r="A717" s="11"/>
      <c r="B717" s="11"/>
      <c r="C717" s="11"/>
      <c r="D717" s="11"/>
      <c r="E717" s="11"/>
      <c r="F717" s="11"/>
      <c r="G717" s="12"/>
      <c r="H717" s="11"/>
      <c r="I717" s="12"/>
      <c r="J717" s="12"/>
      <c r="K717" s="12"/>
      <c r="L717" s="11"/>
      <c r="M717" s="11"/>
      <c r="N717" s="11"/>
      <c r="O717" s="11"/>
      <c r="P717" s="11"/>
      <c r="Q717" s="11"/>
      <c r="R717" s="11"/>
      <c r="S717" s="11"/>
      <c r="T717" s="11"/>
      <c r="U717" s="11"/>
      <c r="V717" s="11"/>
      <c r="W717" s="11"/>
      <c r="X717" s="11"/>
      <c r="Y717" s="11"/>
      <c r="Z717" s="11"/>
    </row>
    <row r="718" ht="16.5" customHeight="1">
      <c r="A718" s="11"/>
      <c r="B718" s="11"/>
      <c r="C718" s="11"/>
      <c r="D718" s="11"/>
      <c r="E718" s="11"/>
      <c r="F718" s="11"/>
      <c r="G718" s="12"/>
      <c r="H718" s="11"/>
      <c r="I718" s="12"/>
      <c r="J718" s="12"/>
      <c r="K718" s="12"/>
      <c r="L718" s="11"/>
      <c r="M718" s="11"/>
      <c r="N718" s="11"/>
      <c r="O718" s="11"/>
      <c r="P718" s="11"/>
      <c r="Q718" s="11"/>
      <c r="R718" s="11"/>
      <c r="S718" s="11"/>
      <c r="T718" s="11"/>
      <c r="U718" s="11"/>
      <c r="V718" s="11"/>
      <c r="W718" s="11"/>
      <c r="X718" s="11"/>
      <c r="Y718" s="11"/>
      <c r="Z718" s="11"/>
    </row>
    <row r="719" ht="16.5" customHeight="1">
      <c r="A719" s="11"/>
      <c r="B719" s="11"/>
      <c r="C719" s="11"/>
      <c r="D719" s="11"/>
      <c r="E719" s="11"/>
      <c r="F719" s="11"/>
      <c r="G719" s="12"/>
      <c r="H719" s="11"/>
      <c r="I719" s="12"/>
      <c r="J719" s="12"/>
      <c r="K719" s="12"/>
      <c r="L719" s="11"/>
      <c r="M719" s="11"/>
      <c r="N719" s="11"/>
      <c r="O719" s="11"/>
      <c r="P719" s="11"/>
      <c r="Q719" s="11"/>
      <c r="R719" s="11"/>
      <c r="S719" s="11"/>
      <c r="T719" s="11"/>
      <c r="U719" s="11"/>
      <c r="V719" s="11"/>
      <c r="W719" s="11"/>
      <c r="X719" s="11"/>
      <c r="Y719" s="11"/>
      <c r="Z719" s="11"/>
    </row>
    <row r="720" ht="16.5" customHeight="1">
      <c r="A720" s="11"/>
      <c r="B720" s="11"/>
      <c r="C720" s="11"/>
      <c r="D720" s="11"/>
      <c r="E720" s="11"/>
      <c r="F720" s="11"/>
      <c r="G720" s="12"/>
      <c r="H720" s="11"/>
      <c r="I720" s="12"/>
      <c r="J720" s="12"/>
      <c r="K720" s="12"/>
      <c r="L720" s="11"/>
      <c r="M720" s="11"/>
      <c r="N720" s="11"/>
      <c r="O720" s="11"/>
      <c r="P720" s="11"/>
      <c r="Q720" s="11"/>
      <c r="R720" s="11"/>
      <c r="S720" s="11"/>
      <c r="T720" s="11"/>
      <c r="U720" s="11"/>
      <c r="V720" s="11"/>
      <c r="W720" s="11"/>
      <c r="X720" s="11"/>
      <c r="Y720" s="11"/>
      <c r="Z720" s="11"/>
    </row>
    <row r="721" ht="16.5" customHeight="1">
      <c r="A721" s="11"/>
      <c r="B721" s="11"/>
      <c r="C721" s="11"/>
      <c r="D721" s="11"/>
      <c r="E721" s="11"/>
      <c r="F721" s="11"/>
      <c r="G721" s="12"/>
      <c r="H721" s="11"/>
      <c r="I721" s="12"/>
      <c r="J721" s="12"/>
      <c r="K721" s="12"/>
      <c r="L721" s="11"/>
      <c r="M721" s="11"/>
      <c r="N721" s="11"/>
      <c r="O721" s="11"/>
      <c r="P721" s="11"/>
      <c r="Q721" s="11"/>
      <c r="R721" s="11"/>
      <c r="S721" s="11"/>
      <c r="T721" s="11"/>
      <c r="U721" s="11"/>
      <c r="V721" s="11"/>
      <c r="W721" s="11"/>
      <c r="X721" s="11"/>
      <c r="Y721" s="11"/>
      <c r="Z721" s="11"/>
    </row>
    <row r="722" ht="16.5" customHeight="1">
      <c r="A722" s="11"/>
      <c r="B722" s="11"/>
      <c r="C722" s="11"/>
      <c r="D722" s="11"/>
      <c r="E722" s="11"/>
      <c r="F722" s="11"/>
      <c r="G722" s="12"/>
      <c r="H722" s="11"/>
      <c r="I722" s="12"/>
      <c r="J722" s="12"/>
      <c r="K722" s="12"/>
      <c r="L722" s="11"/>
      <c r="M722" s="11"/>
      <c r="N722" s="11"/>
      <c r="O722" s="11"/>
      <c r="P722" s="11"/>
      <c r="Q722" s="11"/>
      <c r="R722" s="11"/>
      <c r="S722" s="11"/>
      <c r="T722" s="11"/>
      <c r="U722" s="11"/>
      <c r="V722" s="11"/>
      <c r="W722" s="11"/>
      <c r="X722" s="11"/>
      <c r="Y722" s="11"/>
      <c r="Z722" s="11"/>
    </row>
    <row r="723" ht="16.5" customHeight="1">
      <c r="A723" s="11"/>
      <c r="B723" s="11"/>
      <c r="C723" s="11"/>
      <c r="D723" s="11"/>
      <c r="E723" s="11"/>
      <c r="F723" s="11"/>
      <c r="G723" s="12"/>
      <c r="H723" s="11"/>
      <c r="I723" s="12"/>
      <c r="J723" s="12"/>
      <c r="K723" s="12"/>
      <c r="L723" s="11"/>
      <c r="M723" s="11"/>
      <c r="N723" s="11"/>
      <c r="O723" s="11"/>
      <c r="P723" s="11"/>
      <c r="Q723" s="11"/>
      <c r="R723" s="11"/>
      <c r="S723" s="11"/>
      <c r="T723" s="11"/>
      <c r="U723" s="11"/>
      <c r="V723" s="11"/>
      <c r="W723" s="11"/>
      <c r="X723" s="11"/>
      <c r="Y723" s="11"/>
      <c r="Z723" s="11"/>
    </row>
    <row r="724" ht="16.5" customHeight="1">
      <c r="A724" s="11"/>
      <c r="B724" s="11"/>
      <c r="C724" s="11"/>
      <c r="D724" s="11"/>
      <c r="E724" s="11"/>
      <c r="F724" s="11"/>
      <c r="G724" s="12"/>
      <c r="H724" s="11"/>
      <c r="I724" s="12"/>
      <c r="J724" s="12"/>
      <c r="K724" s="12"/>
      <c r="L724" s="11"/>
      <c r="M724" s="11"/>
      <c r="N724" s="11"/>
      <c r="O724" s="11"/>
      <c r="P724" s="11"/>
      <c r="Q724" s="11"/>
      <c r="R724" s="11"/>
      <c r="S724" s="11"/>
      <c r="T724" s="11"/>
      <c r="U724" s="11"/>
      <c r="V724" s="11"/>
      <c r="W724" s="11"/>
      <c r="X724" s="11"/>
      <c r="Y724" s="11"/>
      <c r="Z724" s="11"/>
    </row>
    <row r="725" ht="16.5" customHeight="1">
      <c r="A725" s="11"/>
      <c r="B725" s="11"/>
      <c r="C725" s="11"/>
      <c r="D725" s="11"/>
      <c r="E725" s="11"/>
      <c r="F725" s="11"/>
      <c r="G725" s="12"/>
      <c r="H725" s="11"/>
      <c r="I725" s="12"/>
      <c r="J725" s="12"/>
      <c r="K725" s="12"/>
      <c r="L725" s="11"/>
      <c r="M725" s="11"/>
      <c r="N725" s="11"/>
      <c r="O725" s="11"/>
      <c r="P725" s="11"/>
      <c r="Q725" s="11"/>
      <c r="R725" s="11"/>
      <c r="S725" s="11"/>
      <c r="T725" s="11"/>
      <c r="U725" s="11"/>
      <c r="V725" s="11"/>
      <c r="W725" s="11"/>
      <c r="X725" s="11"/>
      <c r="Y725" s="11"/>
      <c r="Z725" s="11"/>
    </row>
    <row r="726" ht="16.5" customHeight="1">
      <c r="A726" s="11"/>
      <c r="B726" s="11"/>
      <c r="C726" s="11"/>
      <c r="D726" s="11"/>
      <c r="E726" s="11"/>
      <c r="F726" s="11"/>
      <c r="G726" s="12"/>
      <c r="H726" s="11"/>
      <c r="I726" s="12"/>
      <c r="J726" s="12"/>
      <c r="K726" s="12"/>
      <c r="L726" s="11"/>
      <c r="M726" s="11"/>
      <c r="N726" s="11"/>
      <c r="O726" s="11"/>
      <c r="P726" s="11"/>
      <c r="Q726" s="11"/>
      <c r="R726" s="11"/>
      <c r="S726" s="11"/>
      <c r="T726" s="11"/>
      <c r="U726" s="11"/>
      <c r="V726" s="11"/>
      <c r="W726" s="11"/>
      <c r="X726" s="11"/>
      <c r="Y726" s="11"/>
      <c r="Z726" s="11"/>
    </row>
    <row r="727" ht="16.5" customHeight="1">
      <c r="A727" s="11"/>
      <c r="B727" s="11"/>
      <c r="C727" s="11"/>
      <c r="D727" s="11"/>
      <c r="E727" s="11"/>
      <c r="F727" s="11"/>
      <c r="G727" s="12"/>
      <c r="H727" s="11"/>
      <c r="I727" s="12"/>
      <c r="J727" s="12"/>
      <c r="K727" s="12"/>
      <c r="L727" s="11"/>
      <c r="M727" s="11"/>
      <c r="N727" s="11"/>
      <c r="O727" s="11"/>
      <c r="P727" s="11"/>
      <c r="Q727" s="11"/>
      <c r="R727" s="11"/>
      <c r="S727" s="11"/>
      <c r="T727" s="11"/>
      <c r="U727" s="11"/>
      <c r="V727" s="11"/>
      <c r="W727" s="11"/>
      <c r="X727" s="11"/>
      <c r="Y727" s="11"/>
      <c r="Z727" s="11"/>
    </row>
    <row r="728" ht="16.5" customHeight="1">
      <c r="A728" s="11"/>
      <c r="B728" s="11"/>
      <c r="C728" s="11"/>
      <c r="D728" s="11"/>
      <c r="E728" s="11"/>
      <c r="F728" s="11"/>
      <c r="G728" s="12"/>
      <c r="H728" s="11"/>
      <c r="I728" s="12"/>
      <c r="J728" s="12"/>
      <c r="K728" s="12"/>
      <c r="L728" s="11"/>
      <c r="M728" s="11"/>
      <c r="N728" s="11"/>
      <c r="O728" s="11"/>
      <c r="P728" s="11"/>
      <c r="Q728" s="11"/>
      <c r="R728" s="11"/>
      <c r="S728" s="11"/>
      <c r="T728" s="11"/>
      <c r="U728" s="11"/>
      <c r="V728" s="11"/>
      <c r="W728" s="11"/>
      <c r="X728" s="11"/>
      <c r="Y728" s="11"/>
      <c r="Z728" s="11"/>
    </row>
    <row r="729" ht="16.5" customHeight="1">
      <c r="A729" s="11"/>
      <c r="B729" s="11"/>
      <c r="C729" s="11"/>
      <c r="D729" s="11"/>
      <c r="E729" s="11"/>
      <c r="F729" s="11"/>
      <c r="G729" s="12"/>
      <c r="H729" s="11"/>
      <c r="I729" s="12"/>
      <c r="J729" s="12"/>
      <c r="K729" s="12"/>
      <c r="L729" s="11"/>
      <c r="M729" s="11"/>
      <c r="N729" s="11"/>
      <c r="O729" s="11"/>
      <c r="P729" s="11"/>
      <c r="Q729" s="11"/>
      <c r="R729" s="11"/>
      <c r="S729" s="11"/>
      <c r="T729" s="11"/>
      <c r="U729" s="11"/>
      <c r="V729" s="11"/>
      <c r="W729" s="11"/>
      <c r="X729" s="11"/>
      <c r="Y729" s="11"/>
      <c r="Z729" s="11"/>
    </row>
    <row r="730" ht="16.5" customHeight="1">
      <c r="A730" s="11"/>
      <c r="B730" s="11"/>
      <c r="C730" s="11"/>
      <c r="D730" s="11"/>
      <c r="E730" s="11"/>
      <c r="F730" s="11"/>
      <c r="G730" s="12"/>
      <c r="H730" s="11"/>
      <c r="I730" s="12"/>
      <c r="J730" s="12"/>
      <c r="K730" s="12"/>
      <c r="L730" s="11"/>
      <c r="M730" s="11"/>
      <c r="N730" s="11"/>
      <c r="O730" s="11"/>
      <c r="P730" s="11"/>
      <c r="Q730" s="11"/>
      <c r="R730" s="11"/>
      <c r="S730" s="11"/>
      <c r="T730" s="11"/>
      <c r="U730" s="11"/>
      <c r="V730" s="11"/>
      <c r="W730" s="11"/>
      <c r="X730" s="11"/>
      <c r="Y730" s="11"/>
      <c r="Z730" s="11"/>
    </row>
    <row r="731" ht="16.5" customHeight="1">
      <c r="A731" s="11"/>
      <c r="B731" s="11"/>
      <c r="C731" s="11"/>
      <c r="D731" s="11"/>
      <c r="E731" s="11"/>
      <c r="F731" s="11"/>
      <c r="G731" s="12"/>
      <c r="H731" s="11"/>
      <c r="I731" s="12"/>
      <c r="J731" s="12"/>
      <c r="K731" s="12"/>
      <c r="L731" s="11"/>
      <c r="M731" s="11"/>
      <c r="N731" s="11"/>
      <c r="O731" s="11"/>
      <c r="P731" s="11"/>
      <c r="Q731" s="11"/>
      <c r="R731" s="11"/>
      <c r="S731" s="11"/>
      <c r="T731" s="11"/>
      <c r="U731" s="11"/>
      <c r="V731" s="11"/>
      <c r="W731" s="11"/>
      <c r="X731" s="11"/>
      <c r="Y731" s="11"/>
      <c r="Z731" s="11"/>
    </row>
    <row r="732" ht="16.5" customHeight="1">
      <c r="A732" s="11"/>
      <c r="B732" s="11"/>
      <c r="C732" s="11"/>
      <c r="D732" s="11"/>
      <c r="E732" s="11"/>
      <c r="F732" s="11"/>
      <c r="G732" s="12"/>
      <c r="H732" s="11"/>
      <c r="I732" s="12"/>
      <c r="J732" s="12"/>
      <c r="K732" s="12"/>
      <c r="L732" s="11"/>
      <c r="M732" s="11"/>
      <c r="N732" s="11"/>
      <c r="O732" s="11"/>
      <c r="P732" s="11"/>
      <c r="Q732" s="11"/>
      <c r="R732" s="11"/>
      <c r="S732" s="11"/>
      <c r="T732" s="11"/>
      <c r="U732" s="11"/>
      <c r="V732" s="11"/>
      <c r="W732" s="11"/>
      <c r="X732" s="11"/>
      <c r="Y732" s="11"/>
      <c r="Z732" s="11"/>
    </row>
    <row r="733" ht="16.5" customHeight="1">
      <c r="A733" s="11"/>
      <c r="B733" s="11"/>
      <c r="C733" s="11"/>
      <c r="D733" s="11"/>
      <c r="E733" s="11"/>
      <c r="F733" s="11"/>
      <c r="G733" s="12"/>
      <c r="H733" s="11"/>
      <c r="I733" s="12"/>
      <c r="J733" s="12"/>
      <c r="K733" s="12"/>
      <c r="L733" s="11"/>
      <c r="M733" s="11"/>
      <c r="N733" s="11"/>
      <c r="O733" s="11"/>
      <c r="P733" s="11"/>
      <c r="Q733" s="11"/>
      <c r="R733" s="11"/>
      <c r="S733" s="11"/>
      <c r="T733" s="11"/>
      <c r="U733" s="11"/>
      <c r="V733" s="11"/>
      <c r="W733" s="11"/>
      <c r="X733" s="11"/>
      <c r="Y733" s="11"/>
      <c r="Z733" s="11"/>
    </row>
    <row r="734" ht="16.5" customHeight="1">
      <c r="A734" s="11"/>
      <c r="B734" s="11"/>
      <c r="C734" s="11"/>
      <c r="D734" s="11"/>
      <c r="E734" s="11"/>
      <c r="F734" s="11"/>
      <c r="G734" s="12"/>
      <c r="H734" s="11"/>
      <c r="I734" s="12"/>
      <c r="J734" s="12"/>
      <c r="K734" s="12"/>
      <c r="L734" s="11"/>
      <c r="M734" s="11"/>
      <c r="N734" s="11"/>
      <c r="O734" s="11"/>
      <c r="P734" s="11"/>
      <c r="Q734" s="11"/>
      <c r="R734" s="11"/>
      <c r="S734" s="11"/>
      <c r="T734" s="11"/>
      <c r="U734" s="11"/>
      <c r="V734" s="11"/>
      <c r="W734" s="11"/>
      <c r="X734" s="11"/>
      <c r="Y734" s="11"/>
      <c r="Z734" s="11"/>
    </row>
    <row r="735" ht="16.5" customHeight="1">
      <c r="A735" s="11"/>
      <c r="B735" s="11"/>
      <c r="C735" s="11"/>
      <c r="D735" s="11"/>
      <c r="E735" s="11"/>
      <c r="F735" s="11"/>
      <c r="G735" s="12"/>
      <c r="H735" s="11"/>
      <c r="I735" s="12"/>
      <c r="J735" s="12"/>
      <c r="K735" s="12"/>
      <c r="L735" s="11"/>
      <c r="M735" s="11"/>
      <c r="N735" s="11"/>
      <c r="O735" s="11"/>
      <c r="P735" s="11"/>
      <c r="Q735" s="11"/>
      <c r="R735" s="11"/>
      <c r="S735" s="11"/>
      <c r="T735" s="11"/>
      <c r="U735" s="11"/>
      <c r="V735" s="11"/>
      <c r="W735" s="11"/>
      <c r="X735" s="11"/>
      <c r="Y735" s="11"/>
      <c r="Z735" s="11"/>
    </row>
    <row r="736" ht="16.5" customHeight="1">
      <c r="A736" s="11"/>
      <c r="B736" s="11"/>
      <c r="C736" s="11"/>
      <c r="D736" s="11"/>
      <c r="E736" s="11"/>
      <c r="F736" s="11"/>
      <c r="G736" s="12"/>
      <c r="H736" s="11"/>
      <c r="I736" s="12"/>
      <c r="J736" s="12"/>
      <c r="K736" s="12"/>
      <c r="L736" s="11"/>
      <c r="M736" s="11"/>
      <c r="N736" s="11"/>
      <c r="O736" s="11"/>
      <c r="P736" s="11"/>
      <c r="Q736" s="11"/>
      <c r="R736" s="11"/>
      <c r="S736" s="11"/>
      <c r="T736" s="11"/>
      <c r="U736" s="11"/>
      <c r="V736" s="11"/>
      <c r="W736" s="11"/>
      <c r="X736" s="11"/>
      <c r="Y736" s="11"/>
      <c r="Z736" s="11"/>
    </row>
    <row r="737" ht="16.5" customHeight="1">
      <c r="A737" s="11"/>
      <c r="B737" s="11"/>
      <c r="C737" s="11"/>
      <c r="D737" s="11"/>
      <c r="E737" s="11"/>
      <c r="F737" s="11"/>
      <c r="G737" s="12"/>
      <c r="H737" s="11"/>
      <c r="I737" s="12"/>
      <c r="J737" s="12"/>
      <c r="K737" s="12"/>
      <c r="L737" s="11"/>
      <c r="M737" s="11"/>
      <c r="N737" s="11"/>
      <c r="O737" s="11"/>
      <c r="P737" s="11"/>
      <c r="Q737" s="11"/>
      <c r="R737" s="11"/>
      <c r="S737" s="11"/>
      <c r="T737" s="11"/>
      <c r="U737" s="11"/>
      <c r="V737" s="11"/>
      <c r="W737" s="11"/>
      <c r="X737" s="11"/>
      <c r="Y737" s="11"/>
      <c r="Z737" s="11"/>
    </row>
    <row r="738" ht="16.5" customHeight="1">
      <c r="A738" s="11"/>
      <c r="B738" s="11"/>
      <c r="C738" s="11"/>
      <c r="D738" s="11"/>
      <c r="E738" s="11"/>
      <c r="F738" s="11"/>
      <c r="G738" s="12"/>
      <c r="H738" s="11"/>
      <c r="I738" s="12"/>
      <c r="J738" s="12"/>
      <c r="K738" s="12"/>
      <c r="L738" s="11"/>
      <c r="M738" s="11"/>
      <c r="N738" s="11"/>
      <c r="O738" s="11"/>
      <c r="P738" s="11"/>
      <c r="Q738" s="11"/>
      <c r="R738" s="11"/>
      <c r="S738" s="11"/>
      <c r="T738" s="11"/>
      <c r="U738" s="11"/>
      <c r="V738" s="11"/>
      <c r="W738" s="11"/>
      <c r="X738" s="11"/>
      <c r="Y738" s="11"/>
      <c r="Z738" s="11"/>
    </row>
    <row r="739" ht="16.5" customHeight="1">
      <c r="A739" s="11"/>
      <c r="B739" s="11"/>
      <c r="C739" s="11"/>
      <c r="D739" s="11"/>
      <c r="E739" s="11"/>
      <c r="F739" s="11"/>
      <c r="G739" s="12"/>
      <c r="H739" s="11"/>
      <c r="I739" s="12"/>
      <c r="J739" s="12"/>
      <c r="K739" s="12"/>
      <c r="L739" s="11"/>
      <c r="M739" s="11"/>
      <c r="N739" s="11"/>
      <c r="O739" s="11"/>
      <c r="P739" s="11"/>
      <c r="Q739" s="11"/>
      <c r="R739" s="11"/>
      <c r="S739" s="11"/>
      <c r="T739" s="11"/>
      <c r="U739" s="11"/>
      <c r="V739" s="11"/>
      <c r="W739" s="11"/>
      <c r="X739" s="11"/>
      <c r="Y739" s="11"/>
      <c r="Z739" s="11"/>
    </row>
    <row r="740" ht="16.5" customHeight="1">
      <c r="A740" s="11"/>
      <c r="B740" s="11"/>
      <c r="C740" s="11"/>
      <c r="D740" s="11"/>
      <c r="E740" s="11"/>
      <c r="F740" s="11"/>
      <c r="G740" s="12"/>
      <c r="H740" s="11"/>
      <c r="I740" s="12"/>
      <c r="J740" s="12"/>
      <c r="K740" s="12"/>
      <c r="L740" s="11"/>
      <c r="M740" s="11"/>
      <c r="N740" s="11"/>
      <c r="O740" s="11"/>
      <c r="P740" s="11"/>
      <c r="Q740" s="11"/>
      <c r="R740" s="11"/>
      <c r="S740" s="11"/>
      <c r="T740" s="11"/>
      <c r="U740" s="11"/>
      <c r="V740" s="11"/>
      <c r="W740" s="11"/>
      <c r="X740" s="11"/>
      <c r="Y740" s="11"/>
      <c r="Z740" s="11"/>
    </row>
    <row r="741" ht="16.5" customHeight="1">
      <c r="A741" s="11"/>
      <c r="B741" s="11"/>
      <c r="C741" s="11"/>
      <c r="D741" s="11"/>
      <c r="E741" s="11"/>
      <c r="F741" s="11"/>
      <c r="G741" s="12"/>
      <c r="H741" s="11"/>
      <c r="I741" s="12"/>
      <c r="J741" s="12"/>
      <c r="K741" s="12"/>
      <c r="L741" s="11"/>
      <c r="M741" s="11"/>
      <c r="N741" s="11"/>
      <c r="O741" s="11"/>
      <c r="P741" s="11"/>
      <c r="Q741" s="11"/>
      <c r="R741" s="11"/>
      <c r="S741" s="11"/>
      <c r="T741" s="11"/>
      <c r="U741" s="11"/>
      <c r="V741" s="11"/>
      <c r="W741" s="11"/>
      <c r="X741" s="11"/>
      <c r="Y741" s="11"/>
      <c r="Z741" s="11"/>
    </row>
    <row r="742" ht="16.5" customHeight="1">
      <c r="A742" s="11"/>
      <c r="B742" s="11"/>
      <c r="C742" s="11"/>
      <c r="D742" s="11"/>
      <c r="E742" s="11"/>
      <c r="F742" s="11"/>
      <c r="G742" s="12"/>
      <c r="H742" s="11"/>
      <c r="I742" s="12"/>
      <c r="J742" s="12"/>
      <c r="K742" s="12"/>
      <c r="L742" s="11"/>
      <c r="M742" s="11"/>
      <c r="N742" s="11"/>
      <c r="O742" s="11"/>
      <c r="P742" s="11"/>
      <c r="Q742" s="11"/>
      <c r="R742" s="11"/>
      <c r="S742" s="11"/>
      <c r="T742" s="11"/>
      <c r="U742" s="11"/>
      <c r="V742" s="11"/>
      <c r="W742" s="11"/>
      <c r="X742" s="11"/>
      <c r="Y742" s="11"/>
      <c r="Z742" s="11"/>
    </row>
    <row r="743" ht="16.5" customHeight="1">
      <c r="A743" s="11"/>
      <c r="B743" s="11"/>
      <c r="C743" s="11"/>
      <c r="D743" s="11"/>
      <c r="E743" s="11"/>
      <c r="F743" s="11"/>
      <c r="G743" s="12"/>
      <c r="H743" s="11"/>
      <c r="I743" s="12"/>
      <c r="J743" s="12"/>
      <c r="K743" s="12"/>
      <c r="L743" s="11"/>
      <c r="M743" s="11"/>
      <c r="N743" s="11"/>
      <c r="O743" s="11"/>
      <c r="P743" s="11"/>
      <c r="Q743" s="11"/>
      <c r="R743" s="11"/>
      <c r="S743" s="11"/>
      <c r="T743" s="11"/>
      <c r="U743" s="11"/>
      <c r="V743" s="11"/>
      <c r="W743" s="11"/>
      <c r="X743" s="11"/>
      <c r="Y743" s="11"/>
      <c r="Z743" s="11"/>
    </row>
    <row r="744" ht="16.5" customHeight="1">
      <c r="A744" s="11"/>
      <c r="B744" s="11"/>
      <c r="C744" s="11"/>
      <c r="D744" s="11"/>
      <c r="E744" s="11"/>
      <c r="F744" s="11"/>
      <c r="G744" s="12"/>
      <c r="H744" s="11"/>
      <c r="I744" s="12"/>
      <c r="J744" s="12"/>
      <c r="K744" s="12"/>
      <c r="L744" s="11"/>
      <c r="M744" s="11"/>
      <c r="N744" s="11"/>
      <c r="O744" s="11"/>
      <c r="P744" s="11"/>
      <c r="Q744" s="11"/>
      <c r="R744" s="11"/>
      <c r="S744" s="11"/>
      <c r="T744" s="11"/>
      <c r="U744" s="11"/>
      <c r="V744" s="11"/>
      <c r="W744" s="11"/>
      <c r="X744" s="11"/>
      <c r="Y744" s="11"/>
      <c r="Z744" s="11"/>
    </row>
    <row r="745" ht="16.5" customHeight="1">
      <c r="A745" s="11"/>
      <c r="B745" s="11"/>
      <c r="C745" s="11"/>
      <c r="D745" s="11"/>
      <c r="E745" s="11"/>
      <c r="F745" s="11"/>
      <c r="G745" s="12"/>
      <c r="H745" s="11"/>
      <c r="I745" s="12"/>
      <c r="J745" s="12"/>
      <c r="K745" s="12"/>
      <c r="L745" s="11"/>
      <c r="M745" s="11"/>
      <c r="N745" s="11"/>
      <c r="O745" s="11"/>
      <c r="P745" s="11"/>
      <c r="Q745" s="11"/>
      <c r="R745" s="11"/>
      <c r="S745" s="11"/>
      <c r="T745" s="11"/>
      <c r="U745" s="11"/>
      <c r="V745" s="11"/>
      <c r="W745" s="11"/>
      <c r="X745" s="11"/>
      <c r="Y745" s="11"/>
      <c r="Z745" s="11"/>
    </row>
    <row r="746" ht="16.5" customHeight="1">
      <c r="A746" s="11"/>
      <c r="B746" s="11"/>
      <c r="C746" s="11"/>
      <c r="D746" s="11"/>
      <c r="E746" s="11"/>
      <c r="F746" s="11"/>
      <c r="G746" s="12"/>
      <c r="H746" s="11"/>
      <c r="I746" s="12"/>
      <c r="J746" s="12"/>
      <c r="K746" s="12"/>
      <c r="L746" s="11"/>
      <c r="M746" s="11"/>
      <c r="N746" s="11"/>
      <c r="O746" s="11"/>
      <c r="P746" s="11"/>
      <c r="Q746" s="11"/>
      <c r="R746" s="11"/>
      <c r="S746" s="11"/>
      <c r="T746" s="11"/>
      <c r="U746" s="11"/>
      <c r="V746" s="11"/>
      <c r="W746" s="11"/>
      <c r="X746" s="11"/>
      <c r="Y746" s="11"/>
      <c r="Z746" s="11"/>
    </row>
    <row r="747" ht="16.5" customHeight="1">
      <c r="A747" s="11"/>
      <c r="B747" s="11"/>
      <c r="C747" s="11"/>
      <c r="D747" s="11"/>
      <c r="E747" s="11"/>
      <c r="F747" s="11"/>
      <c r="G747" s="12"/>
      <c r="H747" s="11"/>
      <c r="I747" s="12"/>
      <c r="J747" s="12"/>
      <c r="K747" s="12"/>
      <c r="L747" s="11"/>
      <c r="M747" s="11"/>
      <c r="N747" s="11"/>
      <c r="O747" s="11"/>
      <c r="P747" s="11"/>
      <c r="Q747" s="11"/>
      <c r="R747" s="11"/>
      <c r="S747" s="11"/>
      <c r="T747" s="11"/>
      <c r="U747" s="11"/>
      <c r="V747" s="11"/>
      <c r="W747" s="11"/>
      <c r="X747" s="11"/>
      <c r="Y747" s="11"/>
      <c r="Z747" s="11"/>
    </row>
    <row r="748" ht="16.5" customHeight="1">
      <c r="A748" s="11"/>
      <c r="B748" s="11"/>
      <c r="C748" s="11"/>
      <c r="D748" s="11"/>
      <c r="E748" s="11"/>
      <c r="F748" s="11"/>
      <c r="G748" s="12"/>
      <c r="H748" s="11"/>
      <c r="I748" s="12"/>
      <c r="J748" s="12"/>
      <c r="K748" s="12"/>
      <c r="L748" s="11"/>
      <c r="M748" s="11"/>
      <c r="N748" s="11"/>
      <c r="O748" s="11"/>
      <c r="P748" s="11"/>
      <c r="Q748" s="11"/>
      <c r="R748" s="11"/>
      <c r="S748" s="11"/>
      <c r="T748" s="11"/>
      <c r="U748" s="11"/>
      <c r="V748" s="11"/>
      <c r="W748" s="11"/>
      <c r="X748" s="11"/>
      <c r="Y748" s="11"/>
      <c r="Z748" s="11"/>
    </row>
    <row r="749" ht="16.5" customHeight="1">
      <c r="A749" s="11"/>
      <c r="B749" s="11"/>
      <c r="C749" s="11"/>
      <c r="D749" s="11"/>
      <c r="E749" s="11"/>
      <c r="F749" s="11"/>
      <c r="G749" s="12"/>
      <c r="H749" s="11"/>
      <c r="I749" s="12"/>
      <c r="J749" s="12"/>
      <c r="K749" s="12"/>
      <c r="L749" s="11"/>
      <c r="M749" s="11"/>
      <c r="N749" s="11"/>
      <c r="O749" s="11"/>
      <c r="P749" s="11"/>
      <c r="Q749" s="11"/>
      <c r="R749" s="11"/>
      <c r="S749" s="11"/>
      <c r="T749" s="11"/>
      <c r="U749" s="11"/>
      <c r="V749" s="11"/>
      <c r="W749" s="11"/>
      <c r="X749" s="11"/>
      <c r="Y749" s="11"/>
      <c r="Z749" s="11"/>
    </row>
    <row r="750" ht="16.5" customHeight="1">
      <c r="A750" s="11"/>
      <c r="B750" s="11"/>
      <c r="C750" s="11"/>
      <c r="D750" s="11"/>
      <c r="E750" s="11"/>
      <c r="F750" s="11"/>
      <c r="G750" s="12"/>
      <c r="H750" s="11"/>
      <c r="I750" s="12"/>
      <c r="J750" s="12"/>
      <c r="K750" s="12"/>
      <c r="L750" s="11"/>
      <c r="M750" s="11"/>
      <c r="N750" s="11"/>
      <c r="O750" s="11"/>
      <c r="P750" s="11"/>
      <c r="Q750" s="11"/>
      <c r="R750" s="11"/>
      <c r="S750" s="11"/>
      <c r="T750" s="11"/>
      <c r="U750" s="11"/>
      <c r="V750" s="11"/>
      <c r="W750" s="11"/>
      <c r="X750" s="11"/>
      <c r="Y750" s="11"/>
      <c r="Z750" s="11"/>
    </row>
    <row r="751" ht="16.5" customHeight="1">
      <c r="A751" s="11"/>
      <c r="B751" s="11"/>
      <c r="C751" s="11"/>
      <c r="D751" s="11"/>
      <c r="E751" s="11"/>
      <c r="F751" s="11"/>
      <c r="G751" s="12"/>
      <c r="H751" s="11"/>
      <c r="I751" s="12"/>
      <c r="J751" s="12"/>
      <c r="K751" s="12"/>
      <c r="L751" s="11"/>
      <c r="M751" s="11"/>
      <c r="N751" s="11"/>
      <c r="O751" s="11"/>
      <c r="P751" s="11"/>
      <c r="Q751" s="11"/>
      <c r="R751" s="11"/>
      <c r="S751" s="11"/>
      <c r="T751" s="11"/>
      <c r="U751" s="11"/>
      <c r="V751" s="11"/>
      <c r="W751" s="11"/>
      <c r="X751" s="11"/>
      <c r="Y751" s="11"/>
      <c r="Z751" s="11"/>
    </row>
    <row r="752" ht="16.5" customHeight="1">
      <c r="A752" s="11"/>
      <c r="B752" s="11"/>
      <c r="C752" s="11"/>
      <c r="D752" s="11"/>
      <c r="E752" s="11"/>
      <c r="F752" s="11"/>
      <c r="G752" s="12"/>
      <c r="H752" s="11"/>
      <c r="I752" s="12"/>
      <c r="J752" s="12"/>
      <c r="K752" s="12"/>
      <c r="L752" s="11"/>
      <c r="M752" s="11"/>
      <c r="N752" s="11"/>
      <c r="O752" s="11"/>
      <c r="P752" s="11"/>
      <c r="Q752" s="11"/>
      <c r="R752" s="11"/>
      <c r="S752" s="11"/>
      <c r="T752" s="11"/>
      <c r="U752" s="11"/>
      <c r="V752" s="11"/>
      <c r="W752" s="11"/>
      <c r="X752" s="11"/>
      <c r="Y752" s="11"/>
      <c r="Z752" s="11"/>
    </row>
    <row r="753" ht="16.5" customHeight="1">
      <c r="A753" s="11"/>
      <c r="B753" s="11"/>
      <c r="C753" s="11"/>
      <c r="D753" s="11"/>
      <c r="E753" s="11"/>
      <c r="F753" s="11"/>
      <c r="G753" s="12"/>
      <c r="H753" s="11"/>
      <c r="I753" s="12"/>
      <c r="J753" s="12"/>
      <c r="K753" s="12"/>
      <c r="L753" s="11"/>
      <c r="M753" s="11"/>
      <c r="N753" s="11"/>
      <c r="O753" s="11"/>
      <c r="P753" s="11"/>
      <c r="Q753" s="11"/>
      <c r="R753" s="11"/>
      <c r="S753" s="11"/>
      <c r="T753" s="11"/>
      <c r="U753" s="11"/>
      <c r="V753" s="11"/>
      <c r="W753" s="11"/>
      <c r="X753" s="11"/>
      <c r="Y753" s="11"/>
      <c r="Z753" s="11"/>
    </row>
    <row r="754" ht="16.5" customHeight="1">
      <c r="A754" s="11"/>
      <c r="B754" s="11"/>
      <c r="C754" s="11"/>
      <c r="D754" s="11"/>
      <c r="E754" s="11"/>
      <c r="F754" s="11"/>
      <c r="G754" s="12"/>
      <c r="H754" s="11"/>
      <c r="I754" s="12"/>
      <c r="J754" s="12"/>
      <c r="K754" s="12"/>
      <c r="L754" s="11"/>
      <c r="M754" s="11"/>
      <c r="N754" s="11"/>
      <c r="O754" s="11"/>
      <c r="P754" s="11"/>
      <c r="Q754" s="11"/>
      <c r="R754" s="11"/>
      <c r="S754" s="11"/>
      <c r="T754" s="11"/>
      <c r="U754" s="11"/>
      <c r="V754" s="11"/>
      <c r="W754" s="11"/>
      <c r="X754" s="11"/>
      <c r="Y754" s="11"/>
      <c r="Z754" s="11"/>
    </row>
    <row r="755" ht="16.5" customHeight="1">
      <c r="A755" s="11"/>
      <c r="B755" s="11"/>
      <c r="C755" s="11"/>
      <c r="D755" s="11"/>
      <c r="E755" s="11"/>
      <c r="F755" s="11"/>
      <c r="G755" s="12"/>
      <c r="H755" s="11"/>
      <c r="I755" s="12"/>
      <c r="J755" s="12"/>
      <c r="K755" s="12"/>
      <c r="L755" s="11"/>
      <c r="M755" s="11"/>
      <c r="N755" s="11"/>
      <c r="O755" s="11"/>
      <c r="P755" s="11"/>
      <c r="Q755" s="11"/>
      <c r="R755" s="11"/>
      <c r="S755" s="11"/>
      <c r="T755" s="11"/>
      <c r="U755" s="11"/>
      <c r="V755" s="11"/>
      <c r="W755" s="11"/>
      <c r="X755" s="11"/>
      <c r="Y755" s="11"/>
      <c r="Z755" s="11"/>
    </row>
    <row r="756" ht="16.5" customHeight="1">
      <c r="A756" s="11"/>
      <c r="B756" s="11"/>
      <c r="C756" s="11"/>
      <c r="D756" s="11"/>
      <c r="E756" s="11"/>
      <c r="F756" s="11"/>
      <c r="G756" s="12"/>
      <c r="H756" s="11"/>
      <c r="I756" s="12"/>
      <c r="J756" s="12"/>
      <c r="K756" s="12"/>
      <c r="L756" s="11"/>
      <c r="M756" s="11"/>
      <c r="N756" s="11"/>
      <c r="O756" s="11"/>
      <c r="P756" s="11"/>
      <c r="Q756" s="11"/>
      <c r="R756" s="11"/>
      <c r="S756" s="11"/>
      <c r="T756" s="11"/>
      <c r="U756" s="11"/>
      <c r="V756" s="11"/>
      <c r="W756" s="11"/>
      <c r="X756" s="11"/>
      <c r="Y756" s="11"/>
      <c r="Z756" s="11"/>
    </row>
    <row r="757" ht="16.5" customHeight="1">
      <c r="A757" s="11"/>
      <c r="B757" s="11"/>
      <c r="C757" s="11"/>
      <c r="D757" s="11"/>
      <c r="E757" s="11"/>
      <c r="F757" s="11"/>
      <c r="G757" s="12"/>
      <c r="H757" s="11"/>
      <c r="I757" s="12"/>
      <c r="J757" s="12"/>
      <c r="K757" s="12"/>
      <c r="L757" s="11"/>
      <c r="M757" s="11"/>
      <c r="N757" s="11"/>
      <c r="O757" s="11"/>
      <c r="P757" s="11"/>
      <c r="Q757" s="11"/>
      <c r="R757" s="11"/>
      <c r="S757" s="11"/>
      <c r="T757" s="11"/>
      <c r="U757" s="11"/>
      <c r="V757" s="11"/>
      <c r="W757" s="11"/>
      <c r="X757" s="11"/>
      <c r="Y757" s="11"/>
      <c r="Z757" s="11"/>
    </row>
    <row r="758" ht="16.5" customHeight="1">
      <c r="A758" s="11"/>
      <c r="B758" s="11"/>
      <c r="C758" s="11"/>
      <c r="D758" s="11"/>
      <c r="E758" s="11"/>
      <c r="F758" s="11"/>
      <c r="G758" s="12"/>
      <c r="H758" s="11"/>
      <c r="I758" s="12"/>
      <c r="J758" s="12"/>
      <c r="K758" s="12"/>
      <c r="L758" s="11"/>
      <c r="M758" s="11"/>
      <c r="N758" s="11"/>
      <c r="O758" s="11"/>
      <c r="P758" s="11"/>
      <c r="Q758" s="11"/>
      <c r="R758" s="11"/>
      <c r="S758" s="11"/>
      <c r="T758" s="11"/>
      <c r="U758" s="11"/>
      <c r="V758" s="11"/>
      <c r="W758" s="11"/>
      <c r="X758" s="11"/>
      <c r="Y758" s="11"/>
      <c r="Z758" s="11"/>
    </row>
    <row r="759" ht="16.5" customHeight="1">
      <c r="A759" s="11"/>
      <c r="B759" s="11"/>
      <c r="C759" s="11"/>
      <c r="D759" s="11"/>
      <c r="E759" s="11"/>
      <c r="F759" s="11"/>
      <c r="G759" s="12"/>
      <c r="H759" s="11"/>
      <c r="I759" s="12"/>
      <c r="J759" s="12"/>
      <c r="K759" s="12"/>
      <c r="L759" s="11"/>
      <c r="M759" s="11"/>
      <c r="N759" s="11"/>
      <c r="O759" s="11"/>
      <c r="P759" s="11"/>
      <c r="Q759" s="11"/>
      <c r="R759" s="11"/>
      <c r="S759" s="11"/>
      <c r="T759" s="11"/>
      <c r="U759" s="11"/>
      <c r="V759" s="11"/>
      <c r="W759" s="11"/>
      <c r="X759" s="11"/>
      <c r="Y759" s="11"/>
      <c r="Z759" s="11"/>
    </row>
    <row r="760" ht="16.5" customHeight="1">
      <c r="A760" s="11"/>
      <c r="B760" s="11"/>
      <c r="C760" s="11"/>
      <c r="D760" s="11"/>
      <c r="E760" s="11"/>
      <c r="F760" s="11"/>
      <c r="G760" s="12"/>
      <c r="H760" s="11"/>
      <c r="I760" s="12"/>
      <c r="J760" s="12"/>
      <c r="K760" s="12"/>
      <c r="L760" s="11"/>
      <c r="M760" s="11"/>
      <c r="N760" s="11"/>
      <c r="O760" s="11"/>
      <c r="P760" s="11"/>
      <c r="Q760" s="11"/>
      <c r="R760" s="11"/>
      <c r="S760" s="11"/>
      <c r="T760" s="11"/>
      <c r="U760" s="11"/>
      <c r="V760" s="11"/>
      <c r="W760" s="11"/>
      <c r="X760" s="11"/>
      <c r="Y760" s="11"/>
      <c r="Z760" s="11"/>
    </row>
    <row r="761" ht="16.5" customHeight="1">
      <c r="A761" s="11"/>
      <c r="B761" s="11"/>
      <c r="C761" s="11"/>
      <c r="D761" s="11"/>
      <c r="E761" s="11"/>
      <c r="F761" s="11"/>
      <c r="G761" s="12"/>
      <c r="H761" s="11"/>
      <c r="I761" s="12"/>
      <c r="J761" s="12"/>
      <c r="K761" s="12"/>
      <c r="L761" s="11"/>
      <c r="M761" s="11"/>
      <c r="N761" s="11"/>
      <c r="O761" s="11"/>
      <c r="P761" s="11"/>
      <c r="Q761" s="11"/>
      <c r="R761" s="11"/>
      <c r="S761" s="11"/>
      <c r="T761" s="11"/>
      <c r="U761" s="11"/>
      <c r="V761" s="11"/>
      <c r="W761" s="11"/>
      <c r="X761" s="11"/>
      <c r="Y761" s="11"/>
      <c r="Z761" s="11"/>
    </row>
    <row r="762" ht="16.5" customHeight="1">
      <c r="A762" s="11"/>
      <c r="B762" s="11"/>
      <c r="C762" s="11"/>
      <c r="D762" s="11"/>
      <c r="E762" s="11"/>
      <c r="F762" s="11"/>
      <c r="G762" s="12"/>
      <c r="H762" s="11"/>
      <c r="I762" s="12"/>
      <c r="J762" s="12"/>
      <c r="K762" s="12"/>
      <c r="L762" s="11"/>
      <c r="M762" s="11"/>
      <c r="N762" s="11"/>
      <c r="O762" s="11"/>
      <c r="P762" s="11"/>
      <c r="Q762" s="11"/>
      <c r="R762" s="11"/>
      <c r="S762" s="11"/>
      <c r="T762" s="11"/>
      <c r="U762" s="11"/>
      <c r="V762" s="11"/>
      <c r="W762" s="11"/>
      <c r="X762" s="11"/>
      <c r="Y762" s="11"/>
      <c r="Z762" s="11"/>
    </row>
    <row r="763" ht="16.5" customHeight="1">
      <c r="A763" s="11"/>
      <c r="B763" s="11"/>
      <c r="C763" s="11"/>
      <c r="D763" s="11"/>
      <c r="E763" s="11"/>
      <c r="F763" s="11"/>
      <c r="G763" s="12"/>
      <c r="H763" s="11"/>
      <c r="I763" s="12"/>
      <c r="J763" s="12"/>
      <c r="K763" s="12"/>
      <c r="L763" s="11"/>
      <c r="M763" s="11"/>
      <c r="N763" s="11"/>
      <c r="O763" s="11"/>
      <c r="P763" s="11"/>
      <c r="Q763" s="11"/>
      <c r="R763" s="11"/>
      <c r="S763" s="11"/>
      <c r="T763" s="11"/>
      <c r="U763" s="11"/>
      <c r="V763" s="11"/>
      <c r="W763" s="11"/>
      <c r="X763" s="11"/>
      <c r="Y763" s="11"/>
      <c r="Z763" s="11"/>
    </row>
    <row r="764" ht="16.5" customHeight="1">
      <c r="A764" s="11"/>
      <c r="B764" s="11"/>
      <c r="C764" s="11"/>
      <c r="D764" s="11"/>
      <c r="E764" s="11"/>
      <c r="F764" s="11"/>
      <c r="G764" s="12"/>
      <c r="H764" s="11"/>
      <c r="I764" s="12"/>
      <c r="J764" s="12"/>
      <c r="K764" s="12"/>
      <c r="L764" s="11"/>
      <c r="M764" s="11"/>
      <c r="N764" s="11"/>
      <c r="O764" s="11"/>
      <c r="P764" s="11"/>
      <c r="Q764" s="11"/>
      <c r="R764" s="11"/>
      <c r="S764" s="11"/>
      <c r="T764" s="11"/>
      <c r="U764" s="11"/>
      <c r="V764" s="11"/>
      <c r="W764" s="11"/>
      <c r="X764" s="11"/>
      <c r="Y764" s="11"/>
      <c r="Z764" s="11"/>
    </row>
    <row r="765" ht="16.5" customHeight="1">
      <c r="A765" s="11"/>
      <c r="B765" s="11"/>
      <c r="C765" s="11"/>
      <c r="D765" s="11"/>
      <c r="E765" s="11"/>
      <c r="F765" s="11"/>
      <c r="G765" s="12"/>
      <c r="H765" s="11"/>
      <c r="I765" s="12"/>
      <c r="J765" s="12"/>
      <c r="K765" s="12"/>
      <c r="L765" s="11"/>
      <c r="M765" s="11"/>
      <c r="N765" s="11"/>
      <c r="O765" s="11"/>
      <c r="P765" s="11"/>
      <c r="Q765" s="11"/>
      <c r="R765" s="11"/>
      <c r="S765" s="11"/>
      <c r="T765" s="11"/>
      <c r="U765" s="11"/>
      <c r="V765" s="11"/>
      <c r="W765" s="11"/>
      <c r="X765" s="11"/>
      <c r="Y765" s="11"/>
      <c r="Z765" s="11"/>
    </row>
    <row r="766" ht="16.5" customHeight="1">
      <c r="A766" s="11"/>
      <c r="B766" s="11"/>
      <c r="C766" s="11"/>
      <c r="D766" s="11"/>
      <c r="E766" s="11"/>
      <c r="F766" s="11"/>
      <c r="G766" s="12"/>
      <c r="H766" s="11"/>
      <c r="I766" s="12"/>
      <c r="J766" s="12"/>
      <c r="K766" s="12"/>
      <c r="L766" s="11"/>
      <c r="M766" s="11"/>
      <c r="N766" s="11"/>
      <c r="O766" s="11"/>
      <c r="P766" s="11"/>
      <c r="Q766" s="11"/>
      <c r="R766" s="11"/>
      <c r="S766" s="11"/>
      <c r="T766" s="11"/>
      <c r="U766" s="11"/>
      <c r="V766" s="11"/>
      <c r="W766" s="11"/>
      <c r="X766" s="11"/>
      <c r="Y766" s="11"/>
      <c r="Z766" s="11"/>
    </row>
    <row r="767" ht="16.5" customHeight="1">
      <c r="A767" s="11"/>
      <c r="B767" s="11"/>
      <c r="C767" s="11"/>
      <c r="D767" s="11"/>
      <c r="E767" s="11"/>
      <c r="F767" s="11"/>
      <c r="G767" s="12"/>
      <c r="H767" s="11"/>
      <c r="I767" s="12"/>
      <c r="J767" s="12"/>
      <c r="K767" s="12"/>
      <c r="L767" s="11"/>
      <c r="M767" s="11"/>
      <c r="N767" s="11"/>
      <c r="O767" s="11"/>
      <c r="P767" s="11"/>
      <c r="Q767" s="11"/>
      <c r="R767" s="11"/>
      <c r="S767" s="11"/>
      <c r="T767" s="11"/>
      <c r="U767" s="11"/>
      <c r="V767" s="11"/>
      <c r="W767" s="11"/>
      <c r="X767" s="11"/>
      <c r="Y767" s="11"/>
      <c r="Z767" s="11"/>
    </row>
    <row r="768" ht="16.5" customHeight="1">
      <c r="A768" s="11"/>
      <c r="B768" s="11"/>
      <c r="C768" s="11"/>
      <c r="D768" s="11"/>
      <c r="E768" s="11"/>
      <c r="F768" s="11"/>
      <c r="G768" s="12"/>
      <c r="H768" s="11"/>
      <c r="I768" s="12"/>
      <c r="J768" s="12"/>
      <c r="K768" s="12"/>
      <c r="L768" s="11"/>
      <c r="M768" s="11"/>
      <c r="N768" s="11"/>
      <c r="O768" s="11"/>
      <c r="P768" s="11"/>
      <c r="Q768" s="11"/>
      <c r="R768" s="11"/>
      <c r="S768" s="11"/>
      <c r="T768" s="11"/>
      <c r="U768" s="11"/>
      <c r="V768" s="11"/>
      <c r="W768" s="11"/>
      <c r="X768" s="11"/>
      <c r="Y768" s="11"/>
      <c r="Z768" s="11"/>
    </row>
    <row r="769" ht="16.5" customHeight="1">
      <c r="A769" s="11"/>
      <c r="B769" s="11"/>
      <c r="C769" s="11"/>
      <c r="D769" s="11"/>
      <c r="E769" s="11"/>
      <c r="F769" s="11"/>
      <c r="G769" s="12"/>
      <c r="H769" s="11"/>
      <c r="I769" s="12"/>
      <c r="J769" s="12"/>
      <c r="K769" s="12"/>
      <c r="L769" s="11"/>
      <c r="M769" s="11"/>
      <c r="N769" s="11"/>
      <c r="O769" s="11"/>
      <c r="P769" s="11"/>
      <c r="Q769" s="11"/>
      <c r="R769" s="11"/>
      <c r="S769" s="11"/>
      <c r="T769" s="11"/>
      <c r="U769" s="11"/>
      <c r="V769" s="11"/>
      <c r="W769" s="11"/>
      <c r="X769" s="11"/>
      <c r="Y769" s="11"/>
      <c r="Z769" s="11"/>
    </row>
    <row r="770" ht="16.5" customHeight="1">
      <c r="A770" s="11"/>
      <c r="B770" s="11"/>
      <c r="C770" s="11"/>
      <c r="D770" s="11"/>
      <c r="E770" s="11"/>
      <c r="F770" s="11"/>
      <c r="G770" s="12"/>
      <c r="H770" s="11"/>
      <c r="I770" s="12"/>
      <c r="J770" s="12"/>
      <c r="K770" s="12"/>
      <c r="L770" s="11"/>
      <c r="M770" s="11"/>
      <c r="N770" s="11"/>
      <c r="O770" s="11"/>
      <c r="P770" s="11"/>
      <c r="Q770" s="11"/>
      <c r="R770" s="11"/>
      <c r="S770" s="11"/>
      <c r="T770" s="11"/>
      <c r="U770" s="11"/>
      <c r="V770" s="11"/>
      <c r="W770" s="11"/>
      <c r="X770" s="11"/>
      <c r="Y770" s="11"/>
      <c r="Z770" s="11"/>
    </row>
    <row r="771" ht="16.5" customHeight="1">
      <c r="A771" s="11"/>
      <c r="B771" s="11"/>
      <c r="C771" s="11"/>
      <c r="D771" s="11"/>
      <c r="E771" s="11"/>
      <c r="F771" s="11"/>
      <c r="G771" s="12"/>
      <c r="H771" s="11"/>
      <c r="I771" s="12"/>
      <c r="J771" s="12"/>
      <c r="K771" s="12"/>
      <c r="L771" s="11"/>
      <c r="M771" s="11"/>
      <c r="N771" s="11"/>
      <c r="O771" s="11"/>
      <c r="P771" s="11"/>
      <c r="Q771" s="11"/>
      <c r="R771" s="11"/>
      <c r="S771" s="11"/>
      <c r="T771" s="11"/>
      <c r="U771" s="11"/>
      <c r="V771" s="11"/>
      <c r="W771" s="11"/>
      <c r="X771" s="11"/>
      <c r="Y771" s="11"/>
      <c r="Z771" s="11"/>
    </row>
    <row r="772" ht="16.5" customHeight="1">
      <c r="A772" s="11"/>
      <c r="B772" s="11"/>
      <c r="C772" s="11"/>
      <c r="D772" s="11"/>
      <c r="E772" s="11"/>
      <c r="F772" s="11"/>
      <c r="G772" s="12"/>
      <c r="H772" s="11"/>
      <c r="I772" s="12"/>
      <c r="J772" s="12"/>
      <c r="K772" s="12"/>
      <c r="L772" s="11"/>
      <c r="M772" s="11"/>
      <c r="N772" s="11"/>
      <c r="O772" s="11"/>
      <c r="P772" s="11"/>
      <c r="Q772" s="11"/>
      <c r="R772" s="11"/>
      <c r="S772" s="11"/>
      <c r="T772" s="11"/>
      <c r="U772" s="11"/>
      <c r="V772" s="11"/>
      <c r="W772" s="11"/>
      <c r="X772" s="11"/>
      <c r="Y772" s="11"/>
      <c r="Z772" s="11"/>
    </row>
    <row r="773" ht="16.5" customHeight="1">
      <c r="A773" s="11"/>
      <c r="B773" s="11"/>
      <c r="C773" s="11"/>
      <c r="D773" s="11"/>
      <c r="E773" s="11"/>
      <c r="F773" s="11"/>
      <c r="G773" s="12"/>
      <c r="H773" s="11"/>
      <c r="I773" s="12"/>
      <c r="J773" s="12"/>
      <c r="K773" s="12"/>
      <c r="L773" s="11"/>
      <c r="M773" s="11"/>
      <c r="N773" s="11"/>
      <c r="O773" s="11"/>
      <c r="P773" s="11"/>
      <c r="Q773" s="11"/>
      <c r="R773" s="11"/>
      <c r="S773" s="11"/>
      <c r="T773" s="11"/>
      <c r="U773" s="11"/>
      <c r="V773" s="11"/>
      <c r="W773" s="11"/>
      <c r="X773" s="11"/>
      <c r="Y773" s="11"/>
      <c r="Z773" s="11"/>
    </row>
    <row r="774" ht="16.5" customHeight="1">
      <c r="A774" s="11"/>
      <c r="B774" s="11"/>
      <c r="C774" s="11"/>
      <c r="D774" s="11"/>
      <c r="E774" s="11"/>
      <c r="F774" s="11"/>
      <c r="G774" s="12"/>
      <c r="H774" s="11"/>
      <c r="I774" s="12"/>
      <c r="J774" s="12"/>
      <c r="K774" s="12"/>
      <c r="L774" s="11"/>
      <c r="M774" s="11"/>
      <c r="N774" s="11"/>
      <c r="O774" s="11"/>
      <c r="P774" s="11"/>
      <c r="Q774" s="11"/>
      <c r="R774" s="11"/>
      <c r="S774" s="11"/>
      <c r="T774" s="11"/>
      <c r="U774" s="11"/>
      <c r="V774" s="11"/>
      <c r="W774" s="11"/>
      <c r="X774" s="11"/>
      <c r="Y774" s="11"/>
      <c r="Z774" s="11"/>
    </row>
    <row r="775" ht="16.5" customHeight="1">
      <c r="A775" s="11"/>
      <c r="B775" s="11"/>
      <c r="C775" s="11"/>
      <c r="D775" s="11"/>
      <c r="E775" s="11"/>
      <c r="F775" s="11"/>
      <c r="G775" s="12"/>
      <c r="H775" s="11"/>
      <c r="I775" s="12"/>
      <c r="J775" s="12"/>
      <c r="K775" s="12"/>
      <c r="L775" s="11"/>
      <c r="M775" s="11"/>
      <c r="N775" s="11"/>
      <c r="O775" s="11"/>
      <c r="P775" s="11"/>
      <c r="Q775" s="11"/>
      <c r="R775" s="11"/>
      <c r="S775" s="11"/>
      <c r="T775" s="11"/>
      <c r="U775" s="11"/>
      <c r="V775" s="11"/>
      <c r="W775" s="11"/>
      <c r="X775" s="11"/>
      <c r="Y775" s="11"/>
      <c r="Z775" s="11"/>
    </row>
    <row r="776" ht="16.5" customHeight="1">
      <c r="A776" s="11"/>
      <c r="B776" s="11"/>
      <c r="C776" s="11"/>
      <c r="D776" s="11"/>
      <c r="E776" s="11"/>
      <c r="F776" s="11"/>
      <c r="G776" s="12"/>
      <c r="H776" s="11"/>
      <c r="I776" s="12"/>
      <c r="J776" s="12"/>
      <c r="K776" s="12"/>
      <c r="L776" s="11"/>
      <c r="M776" s="11"/>
      <c r="N776" s="11"/>
      <c r="O776" s="11"/>
      <c r="P776" s="11"/>
      <c r="Q776" s="11"/>
      <c r="R776" s="11"/>
      <c r="S776" s="11"/>
      <c r="T776" s="11"/>
      <c r="U776" s="11"/>
      <c r="V776" s="11"/>
      <c r="W776" s="11"/>
      <c r="X776" s="11"/>
      <c r="Y776" s="11"/>
      <c r="Z776" s="11"/>
    </row>
    <row r="777" ht="16.5" customHeight="1">
      <c r="A777" s="11"/>
      <c r="B777" s="11"/>
      <c r="C777" s="11"/>
      <c r="D777" s="11"/>
      <c r="E777" s="11"/>
      <c r="F777" s="11"/>
      <c r="G777" s="12"/>
      <c r="H777" s="11"/>
      <c r="I777" s="12"/>
      <c r="J777" s="12"/>
      <c r="K777" s="12"/>
      <c r="L777" s="11"/>
      <c r="M777" s="11"/>
      <c r="N777" s="11"/>
      <c r="O777" s="11"/>
      <c r="P777" s="11"/>
      <c r="Q777" s="11"/>
      <c r="R777" s="11"/>
      <c r="S777" s="11"/>
      <c r="T777" s="11"/>
      <c r="U777" s="11"/>
      <c r="V777" s="11"/>
      <c r="W777" s="11"/>
      <c r="X777" s="11"/>
      <c r="Y777" s="11"/>
      <c r="Z777" s="11"/>
    </row>
    <row r="778" ht="16.5" customHeight="1">
      <c r="A778" s="11"/>
      <c r="B778" s="11"/>
      <c r="C778" s="11"/>
      <c r="D778" s="11"/>
      <c r="E778" s="11"/>
      <c r="F778" s="11"/>
      <c r="G778" s="12"/>
      <c r="H778" s="11"/>
      <c r="I778" s="12"/>
      <c r="J778" s="12"/>
      <c r="K778" s="12"/>
      <c r="L778" s="11"/>
      <c r="M778" s="11"/>
      <c r="N778" s="11"/>
      <c r="O778" s="11"/>
      <c r="P778" s="11"/>
      <c r="Q778" s="11"/>
      <c r="R778" s="11"/>
      <c r="S778" s="11"/>
      <c r="T778" s="11"/>
      <c r="U778" s="11"/>
      <c r="V778" s="11"/>
      <c r="W778" s="11"/>
      <c r="X778" s="11"/>
      <c r="Y778" s="11"/>
      <c r="Z778" s="11"/>
    </row>
    <row r="779" ht="16.5" customHeight="1">
      <c r="A779" s="11"/>
      <c r="B779" s="11"/>
      <c r="C779" s="11"/>
      <c r="D779" s="11"/>
      <c r="E779" s="11"/>
      <c r="F779" s="11"/>
      <c r="G779" s="12"/>
      <c r="H779" s="11"/>
      <c r="I779" s="12"/>
      <c r="J779" s="12"/>
      <c r="K779" s="12"/>
      <c r="L779" s="11"/>
      <c r="M779" s="11"/>
      <c r="N779" s="11"/>
      <c r="O779" s="11"/>
      <c r="P779" s="11"/>
      <c r="Q779" s="11"/>
      <c r="R779" s="11"/>
      <c r="S779" s="11"/>
      <c r="T779" s="11"/>
      <c r="U779" s="11"/>
      <c r="V779" s="11"/>
      <c r="W779" s="11"/>
      <c r="X779" s="11"/>
      <c r="Y779" s="11"/>
      <c r="Z779" s="11"/>
    </row>
    <row r="780" ht="16.5" customHeight="1">
      <c r="A780" s="11"/>
      <c r="B780" s="11"/>
      <c r="C780" s="11"/>
      <c r="D780" s="11"/>
      <c r="E780" s="11"/>
      <c r="F780" s="11"/>
      <c r="G780" s="12"/>
      <c r="H780" s="11"/>
      <c r="I780" s="12"/>
      <c r="J780" s="12"/>
      <c r="K780" s="12"/>
      <c r="L780" s="11"/>
      <c r="M780" s="11"/>
      <c r="N780" s="11"/>
      <c r="O780" s="11"/>
      <c r="P780" s="11"/>
      <c r="Q780" s="11"/>
      <c r="R780" s="11"/>
      <c r="S780" s="11"/>
      <c r="T780" s="11"/>
      <c r="U780" s="11"/>
      <c r="V780" s="11"/>
      <c r="W780" s="11"/>
      <c r="X780" s="11"/>
      <c r="Y780" s="11"/>
      <c r="Z780" s="11"/>
    </row>
    <row r="781" ht="16.5" customHeight="1">
      <c r="A781" s="11"/>
      <c r="B781" s="11"/>
      <c r="C781" s="11"/>
      <c r="D781" s="11"/>
      <c r="E781" s="11"/>
      <c r="F781" s="11"/>
      <c r="G781" s="12"/>
      <c r="H781" s="11"/>
      <c r="I781" s="12"/>
      <c r="J781" s="12"/>
      <c r="K781" s="12"/>
      <c r="L781" s="11"/>
      <c r="M781" s="11"/>
      <c r="N781" s="11"/>
      <c r="O781" s="11"/>
      <c r="P781" s="11"/>
      <c r="Q781" s="11"/>
      <c r="R781" s="11"/>
      <c r="S781" s="11"/>
      <c r="T781" s="11"/>
      <c r="U781" s="11"/>
      <c r="V781" s="11"/>
      <c r="W781" s="11"/>
      <c r="X781" s="11"/>
      <c r="Y781" s="11"/>
      <c r="Z781" s="11"/>
    </row>
    <row r="782" ht="16.5" customHeight="1">
      <c r="A782" s="11"/>
      <c r="B782" s="11"/>
      <c r="C782" s="11"/>
      <c r="D782" s="11"/>
      <c r="E782" s="11"/>
      <c r="F782" s="11"/>
      <c r="G782" s="12"/>
      <c r="H782" s="11"/>
      <c r="I782" s="12"/>
      <c r="J782" s="12"/>
      <c r="K782" s="12"/>
      <c r="L782" s="11"/>
      <c r="M782" s="11"/>
      <c r="N782" s="11"/>
      <c r="O782" s="11"/>
      <c r="P782" s="11"/>
      <c r="Q782" s="11"/>
      <c r="R782" s="11"/>
      <c r="S782" s="11"/>
      <c r="T782" s="11"/>
      <c r="U782" s="11"/>
      <c r="V782" s="11"/>
      <c r="W782" s="11"/>
      <c r="X782" s="11"/>
      <c r="Y782" s="11"/>
      <c r="Z782" s="11"/>
    </row>
    <row r="783" ht="16.5" customHeight="1">
      <c r="A783" s="11"/>
      <c r="B783" s="11"/>
      <c r="C783" s="11"/>
      <c r="D783" s="11"/>
      <c r="E783" s="11"/>
      <c r="F783" s="11"/>
      <c r="G783" s="12"/>
      <c r="H783" s="11"/>
      <c r="I783" s="12"/>
      <c r="J783" s="12"/>
      <c r="K783" s="12"/>
      <c r="L783" s="11"/>
      <c r="M783" s="11"/>
      <c r="N783" s="11"/>
      <c r="O783" s="11"/>
      <c r="P783" s="11"/>
      <c r="Q783" s="11"/>
      <c r="R783" s="11"/>
      <c r="S783" s="11"/>
      <c r="T783" s="11"/>
      <c r="U783" s="11"/>
      <c r="V783" s="11"/>
      <c r="W783" s="11"/>
      <c r="X783" s="11"/>
      <c r="Y783" s="11"/>
      <c r="Z783" s="11"/>
    </row>
    <row r="784" ht="16.5" customHeight="1">
      <c r="A784" s="11"/>
      <c r="B784" s="11"/>
      <c r="C784" s="11"/>
      <c r="D784" s="11"/>
      <c r="E784" s="11"/>
      <c r="F784" s="11"/>
      <c r="G784" s="12"/>
      <c r="H784" s="11"/>
      <c r="I784" s="12"/>
      <c r="J784" s="12"/>
      <c r="K784" s="12"/>
      <c r="L784" s="11"/>
      <c r="M784" s="11"/>
      <c r="N784" s="11"/>
      <c r="O784" s="11"/>
      <c r="P784" s="11"/>
      <c r="Q784" s="11"/>
      <c r="R784" s="11"/>
      <c r="S784" s="11"/>
      <c r="T784" s="11"/>
      <c r="U784" s="11"/>
      <c r="V784" s="11"/>
      <c r="W784" s="11"/>
      <c r="X784" s="11"/>
      <c r="Y784" s="11"/>
      <c r="Z784" s="11"/>
    </row>
    <row r="785" ht="16.5" customHeight="1">
      <c r="A785" s="11"/>
      <c r="B785" s="11"/>
      <c r="C785" s="11"/>
      <c r="D785" s="11"/>
      <c r="E785" s="11"/>
      <c r="F785" s="11"/>
      <c r="G785" s="12"/>
      <c r="H785" s="11"/>
      <c r="I785" s="12"/>
      <c r="J785" s="12"/>
      <c r="K785" s="12"/>
      <c r="L785" s="11"/>
      <c r="M785" s="11"/>
      <c r="N785" s="11"/>
      <c r="O785" s="11"/>
      <c r="P785" s="11"/>
      <c r="Q785" s="11"/>
      <c r="R785" s="11"/>
      <c r="S785" s="11"/>
      <c r="T785" s="11"/>
      <c r="U785" s="11"/>
      <c r="V785" s="11"/>
      <c r="W785" s="11"/>
      <c r="X785" s="11"/>
      <c r="Y785" s="11"/>
      <c r="Z785" s="11"/>
    </row>
    <row r="786" ht="16.5" customHeight="1">
      <c r="A786" s="11"/>
      <c r="B786" s="11"/>
      <c r="C786" s="11"/>
      <c r="D786" s="11"/>
      <c r="E786" s="11"/>
      <c r="F786" s="11"/>
      <c r="G786" s="12"/>
      <c r="H786" s="11"/>
      <c r="I786" s="12"/>
      <c r="J786" s="12"/>
      <c r="K786" s="12"/>
      <c r="L786" s="11"/>
      <c r="M786" s="11"/>
      <c r="N786" s="11"/>
      <c r="O786" s="11"/>
      <c r="P786" s="11"/>
      <c r="Q786" s="11"/>
      <c r="R786" s="11"/>
      <c r="S786" s="11"/>
      <c r="T786" s="11"/>
      <c r="U786" s="11"/>
      <c r="V786" s="11"/>
      <c r="W786" s="11"/>
      <c r="X786" s="11"/>
      <c r="Y786" s="11"/>
      <c r="Z786" s="11"/>
    </row>
    <row r="787" ht="16.5" customHeight="1">
      <c r="A787" s="11"/>
      <c r="B787" s="11"/>
      <c r="C787" s="11"/>
      <c r="D787" s="11"/>
      <c r="E787" s="11"/>
      <c r="F787" s="11"/>
      <c r="G787" s="12"/>
      <c r="H787" s="11"/>
      <c r="I787" s="12"/>
      <c r="J787" s="12"/>
      <c r="K787" s="12"/>
      <c r="L787" s="11"/>
      <c r="M787" s="11"/>
      <c r="N787" s="11"/>
      <c r="O787" s="11"/>
      <c r="P787" s="11"/>
      <c r="Q787" s="11"/>
      <c r="R787" s="11"/>
      <c r="S787" s="11"/>
      <c r="T787" s="11"/>
      <c r="U787" s="11"/>
      <c r="V787" s="11"/>
      <c r="W787" s="11"/>
      <c r="X787" s="11"/>
      <c r="Y787" s="11"/>
      <c r="Z787" s="11"/>
    </row>
    <row r="788" ht="16.5" customHeight="1">
      <c r="A788" s="11"/>
      <c r="B788" s="11"/>
      <c r="C788" s="11"/>
      <c r="D788" s="11"/>
      <c r="E788" s="11"/>
      <c r="F788" s="11"/>
      <c r="G788" s="12"/>
      <c r="H788" s="11"/>
      <c r="I788" s="12"/>
      <c r="J788" s="12"/>
      <c r="K788" s="12"/>
      <c r="L788" s="11"/>
      <c r="M788" s="11"/>
      <c r="N788" s="11"/>
      <c r="O788" s="11"/>
      <c r="P788" s="11"/>
      <c r="Q788" s="11"/>
      <c r="R788" s="11"/>
      <c r="S788" s="11"/>
      <c r="T788" s="11"/>
      <c r="U788" s="11"/>
      <c r="V788" s="11"/>
      <c r="W788" s="11"/>
      <c r="X788" s="11"/>
      <c r="Y788" s="11"/>
      <c r="Z788" s="11"/>
    </row>
    <row r="789" ht="16.5" customHeight="1">
      <c r="A789" s="11"/>
      <c r="B789" s="11"/>
      <c r="C789" s="11"/>
      <c r="D789" s="11"/>
      <c r="E789" s="11"/>
      <c r="F789" s="11"/>
      <c r="G789" s="12"/>
      <c r="H789" s="11"/>
      <c r="I789" s="12"/>
      <c r="J789" s="12"/>
      <c r="K789" s="12"/>
      <c r="L789" s="11"/>
      <c r="M789" s="11"/>
      <c r="N789" s="11"/>
      <c r="O789" s="11"/>
      <c r="P789" s="11"/>
      <c r="Q789" s="11"/>
      <c r="R789" s="11"/>
      <c r="S789" s="11"/>
      <c r="T789" s="11"/>
      <c r="U789" s="11"/>
      <c r="V789" s="11"/>
      <c r="W789" s="11"/>
      <c r="X789" s="11"/>
      <c r="Y789" s="11"/>
      <c r="Z789" s="11"/>
    </row>
    <row r="790" ht="16.5" customHeight="1">
      <c r="A790" s="11"/>
      <c r="B790" s="11"/>
      <c r="C790" s="11"/>
      <c r="D790" s="11"/>
      <c r="E790" s="11"/>
      <c r="F790" s="11"/>
      <c r="G790" s="12"/>
      <c r="H790" s="11"/>
      <c r="I790" s="12"/>
      <c r="J790" s="12"/>
      <c r="K790" s="12"/>
      <c r="L790" s="11"/>
      <c r="M790" s="11"/>
      <c r="N790" s="11"/>
      <c r="O790" s="11"/>
      <c r="P790" s="11"/>
      <c r="Q790" s="11"/>
      <c r="R790" s="11"/>
      <c r="S790" s="11"/>
      <c r="T790" s="11"/>
      <c r="U790" s="11"/>
      <c r="V790" s="11"/>
      <c r="W790" s="11"/>
      <c r="X790" s="11"/>
      <c r="Y790" s="11"/>
      <c r="Z790" s="11"/>
    </row>
    <row r="791" ht="16.5" customHeight="1">
      <c r="A791" s="11"/>
      <c r="B791" s="11"/>
      <c r="C791" s="11"/>
      <c r="D791" s="11"/>
      <c r="E791" s="11"/>
      <c r="F791" s="11"/>
      <c r="G791" s="12"/>
      <c r="H791" s="11"/>
      <c r="I791" s="12"/>
      <c r="J791" s="12"/>
      <c r="K791" s="12"/>
      <c r="L791" s="11"/>
      <c r="M791" s="11"/>
      <c r="N791" s="11"/>
      <c r="O791" s="11"/>
      <c r="P791" s="11"/>
      <c r="Q791" s="11"/>
      <c r="R791" s="11"/>
      <c r="S791" s="11"/>
      <c r="T791" s="11"/>
      <c r="U791" s="11"/>
      <c r="V791" s="11"/>
      <c r="W791" s="11"/>
      <c r="X791" s="11"/>
      <c r="Y791" s="11"/>
      <c r="Z791" s="11"/>
    </row>
    <row r="792" ht="16.5" customHeight="1">
      <c r="A792" s="11"/>
      <c r="B792" s="11"/>
      <c r="C792" s="11"/>
      <c r="D792" s="11"/>
      <c r="E792" s="11"/>
      <c r="F792" s="11"/>
      <c r="G792" s="12"/>
      <c r="H792" s="11"/>
      <c r="I792" s="12"/>
      <c r="J792" s="12"/>
      <c r="K792" s="12"/>
      <c r="L792" s="11"/>
      <c r="M792" s="11"/>
      <c r="N792" s="11"/>
      <c r="O792" s="11"/>
      <c r="P792" s="11"/>
      <c r="Q792" s="11"/>
      <c r="R792" s="11"/>
      <c r="S792" s="11"/>
      <c r="T792" s="11"/>
      <c r="U792" s="11"/>
      <c r="V792" s="11"/>
      <c r="W792" s="11"/>
      <c r="X792" s="11"/>
      <c r="Y792" s="11"/>
      <c r="Z792" s="11"/>
    </row>
    <row r="793" ht="16.5" customHeight="1">
      <c r="A793" s="11"/>
      <c r="B793" s="11"/>
      <c r="C793" s="11"/>
      <c r="D793" s="11"/>
      <c r="E793" s="11"/>
      <c r="F793" s="11"/>
      <c r="G793" s="12"/>
      <c r="H793" s="11"/>
      <c r="I793" s="12"/>
      <c r="J793" s="12"/>
      <c r="K793" s="12"/>
      <c r="L793" s="11"/>
      <c r="M793" s="11"/>
      <c r="N793" s="11"/>
      <c r="O793" s="11"/>
      <c r="P793" s="11"/>
      <c r="Q793" s="11"/>
      <c r="R793" s="11"/>
      <c r="S793" s="11"/>
      <c r="T793" s="11"/>
      <c r="U793" s="11"/>
      <c r="V793" s="11"/>
      <c r="W793" s="11"/>
      <c r="X793" s="11"/>
      <c r="Y793" s="11"/>
      <c r="Z793" s="11"/>
    </row>
    <row r="794" ht="16.5" customHeight="1">
      <c r="A794" s="11"/>
      <c r="B794" s="11"/>
      <c r="C794" s="11"/>
      <c r="D794" s="11"/>
      <c r="E794" s="11"/>
      <c r="F794" s="11"/>
      <c r="G794" s="12"/>
      <c r="H794" s="11"/>
      <c r="I794" s="12"/>
      <c r="J794" s="12"/>
      <c r="K794" s="12"/>
      <c r="L794" s="11"/>
      <c r="M794" s="11"/>
      <c r="N794" s="11"/>
      <c r="O794" s="11"/>
      <c r="P794" s="11"/>
      <c r="Q794" s="11"/>
      <c r="R794" s="11"/>
      <c r="S794" s="11"/>
      <c r="T794" s="11"/>
      <c r="U794" s="11"/>
      <c r="V794" s="11"/>
      <c r="W794" s="11"/>
      <c r="X794" s="11"/>
      <c r="Y794" s="11"/>
      <c r="Z794" s="11"/>
    </row>
    <row r="795" ht="16.5" customHeight="1">
      <c r="A795" s="11"/>
      <c r="B795" s="11"/>
      <c r="C795" s="11"/>
      <c r="D795" s="11"/>
      <c r="E795" s="11"/>
      <c r="F795" s="11"/>
      <c r="G795" s="12"/>
      <c r="H795" s="11"/>
      <c r="I795" s="12"/>
      <c r="J795" s="12"/>
      <c r="K795" s="12"/>
      <c r="L795" s="11"/>
      <c r="M795" s="11"/>
      <c r="N795" s="11"/>
      <c r="O795" s="11"/>
      <c r="P795" s="11"/>
      <c r="Q795" s="11"/>
      <c r="R795" s="11"/>
      <c r="S795" s="11"/>
      <c r="T795" s="11"/>
      <c r="U795" s="11"/>
      <c r="V795" s="11"/>
      <c r="W795" s="11"/>
      <c r="X795" s="11"/>
      <c r="Y795" s="11"/>
      <c r="Z795" s="11"/>
    </row>
    <row r="796" ht="16.5" customHeight="1">
      <c r="A796" s="11"/>
      <c r="B796" s="11"/>
      <c r="C796" s="11"/>
      <c r="D796" s="11"/>
      <c r="E796" s="11"/>
      <c r="F796" s="11"/>
      <c r="G796" s="12"/>
      <c r="H796" s="11"/>
      <c r="I796" s="12"/>
      <c r="J796" s="12"/>
      <c r="K796" s="12"/>
      <c r="L796" s="11"/>
      <c r="M796" s="11"/>
      <c r="N796" s="11"/>
      <c r="O796" s="11"/>
      <c r="P796" s="11"/>
      <c r="Q796" s="11"/>
      <c r="R796" s="11"/>
      <c r="S796" s="11"/>
      <c r="T796" s="11"/>
      <c r="U796" s="11"/>
      <c r="V796" s="11"/>
      <c r="W796" s="11"/>
      <c r="X796" s="11"/>
      <c r="Y796" s="11"/>
      <c r="Z796" s="11"/>
    </row>
    <row r="797" ht="16.5" customHeight="1">
      <c r="A797" s="11"/>
      <c r="B797" s="11"/>
      <c r="C797" s="11"/>
      <c r="D797" s="11"/>
      <c r="E797" s="11"/>
      <c r="F797" s="11"/>
      <c r="G797" s="12"/>
      <c r="H797" s="11"/>
      <c r="I797" s="12"/>
      <c r="J797" s="12"/>
      <c r="K797" s="12"/>
      <c r="L797" s="11"/>
      <c r="M797" s="11"/>
      <c r="N797" s="11"/>
      <c r="O797" s="11"/>
      <c r="P797" s="11"/>
      <c r="Q797" s="11"/>
      <c r="R797" s="11"/>
      <c r="S797" s="11"/>
      <c r="T797" s="11"/>
      <c r="U797" s="11"/>
      <c r="V797" s="11"/>
      <c r="W797" s="11"/>
      <c r="X797" s="11"/>
      <c r="Y797" s="11"/>
      <c r="Z797" s="11"/>
    </row>
    <row r="798" ht="16.5" customHeight="1">
      <c r="A798" s="11"/>
      <c r="B798" s="11"/>
      <c r="C798" s="11"/>
      <c r="D798" s="11"/>
      <c r="E798" s="11"/>
      <c r="F798" s="11"/>
      <c r="G798" s="12"/>
      <c r="H798" s="11"/>
      <c r="I798" s="12"/>
      <c r="J798" s="12"/>
      <c r="K798" s="12"/>
      <c r="L798" s="11"/>
      <c r="M798" s="11"/>
      <c r="N798" s="11"/>
      <c r="O798" s="11"/>
      <c r="P798" s="11"/>
      <c r="Q798" s="11"/>
      <c r="R798" s="11"/>
      <c r="S798" s="11"/>
      <c r="T798" s="11"/>
      <c r="U798" s="11"/>
      <c r="V798" s="11"/>
      <c r="W798" s="11"/>
      <c r="X798" s="11"/>
      <c r="Y798" s="11"/>
      <c r="Z798" s="11"/>
    </row>
    <row r="799" ht="16.5" customHeight="1">
      <c r="A799" s="11"/>
      <c r="B799" s="11"/>
      <c r="C799" s="11"/>
      <c r="D799" s="11"/>
      <c r="E799" s="11"/>
      <c r="F799" s="11"/>
      <c r="G799" s="12"/>
      <c r="H799" s="11"/>
      <c r="I799" s="12"/>
      <c r="J799" s="12"/>
      <c r="K799" s="12"/>
      <c r="L799" s="11"/>
      <c r="M799" s="11"/>
      <c r="N799" s="11"/>
      <c r="O799" s="11"/>
      <c r="P799" s="11"/>
      <c r="Q799" s="11"/>
      <c r="R799" s="11"/>
      <c r="S799" s="11"/>
      <c r="T799" s="11"/>
      <c r="U799" s="11"/>
      <c r="V799" s="11"/>
      <c r="W799" s="11"/>
      <c r="X799" s="11"/>
      <c r="Y799" s="11"/>
      <c r="Z799" s="11"/>
    </row>
    <row r="800" ht="16.5" customHeight="1">
      <c r="A800" s="11"/>
      <c r="B800" s="11"/>
      <c r="C800" s="11"/>
      <c r="D800" s="11"/>
      <c r="E800" s="11"/>
      <c r="F800" s="11"/>
      <c r="G800" s="12"/>
      <c r="H800" s="11"/>
      <c r="I800" s="12"/>
      <c r="J800" s="12"/>
      <c r="K800" s="12"/>
      <c r="L800" s="11"/>
      <c r="M800" s="11"/>
      <c r="N800" s="11"/>
      <c r="O800" s="11"/>
      <c r="P800" s="11"/>
      <c r="Q800" s="11"/>
      <c r="R800" s="11"/>
      <c r="S800" s="11"/>
      <c r="T800" s="11"/>
      <c r="U800" s="11"/>
      <c r="V800" s="11"/>
      <c r="W800" s="11"/>
      <c r="X800" s="11"/>
      <c r="Y800" s="11"/>
      <c r="Z800" s="11"/>
    </row>
    <row r="801" ht="16.5" customHeight="1">
      <c r="A801" s="11"/>
      <c r="B801" s="11"/>
      <c r="C801" s="11"/>
      <c r="D801" s="11"/>
      <c r="E801" s="11"/>
      <c r="F801" s="11"/>
      <c r="G801" s="12"/>
      <c r="H801" s="11"/>
      <c r="I801" s="12"/>
      <c r="J801" s="12"/>
      <c r="K801" s="12"/>
      <c r="L801" s="11"/>
      <c r="M801" s="11"/>
      <c r="N801" s="11"/>
      <c r="O801" s="11"/>
      <c r="P801" s="11"/>
      <c r="Q801" s="11"/>
      <c r="R801" s="11"/>
      <c r="S801" s="11"/>
      <c r="T801" s="11"/>
      <c r="U801" s="11"/>
      <c r="V801" s="11"/>
      <c r="W801" s="11"/>
      <c r="X801" s="11"/>
      <c r="Y801" s="11"/>
      <c r="Z801" s="11"/>
    </row>
    <row r="802" ht="16.5" customHeight="1">
      <c r="A802" s="11"/>
      <c r="B802" s="11"/>
      <c r="C802" s="11"/>
      <c r="D802" s="11"/>
      <c r="E802" s="11"/>
      <c r="F802" s="11"/>
      <c r="G802" s="12"/>
      <c r="H802" s="11"/>
      <c r="I802" s="12"/>
      <c r="J802" s="12"/>
      <c r="K802" s="12"/>
      <c r="L802" s="11"/>
      <c r="M802" s="11"/>
      <c r="N802" s="11"/>
      <c r="O802" s="11"/>
      <c r="P802" s="11"/>
      <c r="Q802" s="11"/>
      <c r="R802" s="11"/>
      <c r="S802" s="11"/>
      <c r="T802" s="11"/>
      <c r="U802" s="11"/>
      <c r="V802" s="11"/>
      <c r="W802" s="11"/>
      <c r="X802" s="11"/>
      <c r="Y802" s="11"/>
      <c r="Z802" s="11"/>
    </row>
    <row r="803" ht="16.5" customHeight="1">
      <c r="A803" s="11"/>
      <c r="B803" s="11"/>
      <c r="C803" s="11"/>
      <c r="D803" s="11"/>
      <c r="E803" s="11"/>
      <c r="F803" s="11"/>
      <c r="G803" s="12"/>
      <c r="H803" s="11"/>
      <c r="I803" s="12"/>
      <c r="J803" s="12"/>
      <c r="K803" s="12"/>
      <c r="L803" s="11"/>
      <c r="M803" s="11"/>
      <c r="N803" s="11"/>
      <c r="O803" s="11"/>
      <c r="P803" s="11"/>
      <c r="Q803" s="11"/>
      <c r="R803" s="11"/>
      <c r="S803" s="11"/>
      <c r="T803" s="11"/>
      <c r="U803" s="11"/>
      <c r="V803" s="11"/>
      <c r="W803" s="11"/>
      <c r="X803" s="11"/>
      <c r="Y803" s="11"/>
      <c r="Z803" s="11"/>
    </row>
    <row r="804" ht="16.5" customHeight="1">
      <c r="A804" s="11"/>
      <c r="B804" s="11"/>
      <c r="C804" s="11"/>
      <c r="D804" s="11"/>
      <c r="E804" s="11"/>
      <c r="F804" s="11"/>
      <c r="G804" s="12"/>
      <c r="H804" s="11"/>
      <c r="I804" s="12"/>
      <c r="J804" s="12"/>
      <c r="K804" s="12"/>
      <c r="L804" s="11"/>
      <c r="M804" s="11"/>
      <c r="N804" s="11"/>
      <c r="O804" s="11"/>
      <c r="P804" s="11"/>
      <c r="Q804" s="11"/>
      <c r="R804" s="11"/>
      <c r="S804" s="11"/>
      <c r="T804" s="11"/>
      <c r="U804" s="11"/>
      <c r="V804" s="11"/>
      <c r="W804" s="11"/>
      <c r="X804" s="11"/>
      <c r="Y804" s="11"/>
      <c r="Z804" s="11"/>
    </row>
    <row r="805" ht="16.5" customHeight="1">
      <c r="A805" s="11"/>
      <c r="B805" s="11"/>
      <c r="C805" s="11"/>
      <c r="D805" s="11"/>
      <c r="E805" s="11"/>
      <c r="F805" s="11"/>
      <c r="G805" s="12"/>
      <c r="H805" s="11"/>
      <c r="I805" s="12"/>
      <c r="J805" s="12"/>
      <c r="K805" s="12"/>
      <c r="L805" s="11"/>
      <c r="M805" s="11"/>
      <c r="N805" s="11"/>
      <c r="O805" s="11"/>
      <c r="P805" s="11"/>
      <c r="Q805" s="11"/>
      <c r="R805" s="11"/>
      <c r="S805" s="11"/>
      <c r="T805" s="11"/>
      <c r="U805" s="11"/>
      <c r="V805" s="11"/>
      <c r="W805" s="11"/>
      <c r="X805" s="11"/>
      <c r="Y805" s="11"/>
      <c r="Z805" s="11"/>
    </row>
    <row r="806" ht="16.5" customHeight="1">
      <c r="A806" s="11"/>
      <c r="B806" s="11"/>
      <c r="C806" s="11"/>
      <c r="D806" s="11"/>
      <c r="E806" s="11"/>
      <c r="F806" s="11"/>
      <c r="G806" s="12"/>
      <c r="H806" s="11"/>
      <c r="I806" s="12"/>
      <c r="J806" s="12"/>
      <c r="K806" s="12"/>
      <c r="L806" s="11"/>
      <c r="M806" s="11"/>
      <c r="N806" s="11"/>
      <c r="O806" s="11"/>
      <c r="P806" s="11"/>
      <c r="Q806" s="11"/>
      <c r="R806" s="11"/>
      <c r="S806" s="11"/>
      <c r="T806" s="11"/>
      <c r="U806" s="11"/>
      <c r="V806" s="11"/>
      <c r="W806" s="11"/>
      <c r="X806" s="11"/>
      <c r="Y806" s="11"/>
      <c r="Z806" s="11"/>
    </row>
    <row r="807" ht="16.5" customHeight="1">
      <c r="A807" s="11"/>
      <c r="B807" s="11"/>
      <c r="C807" s="11"/>
      <c r="D807" s="11"/>
      <c r="E807" s="11"/>
      <c r="F807" s="11"/>
      <c r="G807" s="12"/>
      <c r="H807" s="11"/>
      <c r="I807" s="12"/>
      <c r="J807" s="12"/>
      <c r="K807" s="12"/>
      <c r="L807" s="11"/>
      <c r="M807" s="11"/>
      <c r="N807" s="11"/>
      <c r="O807" s="11"/>
      <c r="P807" s="11"/>
      <c r="Q807" s="11"/>
      <c r="R807" s="11"/>
      <c r="S807" s="11"/>
      <c r="T807" s="11"/>
      <c r="U807" s="11"/>
      <c r="V807" s="11"/>
      <c r="W807" s="11"/>
      <c r="X807" s="11"/>
      <c r="Y807" s="11"/>
      <c r="Z807" s="11"/>
    </row>
    <row r="808" ht="16.5" customHeight="1">
      <c r="A808" s="11"/>
      <c r="B808" s="11"/>
      <c r="C808" s="11"/>
      <c r="D808" s="11"/>
      <c r="E808" s="11"/>
      <c r="F808" s="11"/>
      <c r="G808" s="12"/>
      <c r="H808" s="11"/>
      <c r="I808" s="12"/>
      <c r="J808" s="12"/>
      <c r="K808" s="12"/>
      <c r="L808" s="11"/>
      <c r="M808" s="11"/>
      <c r="N808" s="11"/>
      <c r="O808" s="11"/>
      <c r="P808" s="11"/>
      <c r="Q808" s="11"/>
      <c r="R808" s="11"/>
      <c r="S808" s="11"/>
      <c r="T808" s="11"/>
      <c r="U808" s="11"/>
      <c r="V808" s="11"/>
      <c r="W808" s="11"/>
      <c r="X808" s="11"/>
      <c r="Y808" s="11"/>
      <c r="Z808" s="11"/>
    </row>
    <row r="809" ht="16.5" customHeight="1">
      <c r="A809" s="11"/>
      <c r="B809" s="11"/>
      <c r="C809" s="11"/>
      <c r="D809" s="11"/>
      <c r="E809" s="11"/>
      <c r="F809" s="11"/>
      <c r="G809" s="12"/>
      <c r="H809" s="11"/>
      <c r="I809" s="12"/>
      <c r="J809" s="12"/>
      <c r="K809" s="12"/>
      <c r="L809" s="11"/>
      <c r="M809" s="11"/>
      <c r="N809" s="11"/>
      <c r="O809" s="11"/>
      <c r="P809" s="11"/>
      <c r="Q809" s="11"/>
      <c r="R809" s="11"/>
      <c r="S809" s="11"/>
      <c r="T809" s="11"/>
      <c r="U809" s="11"/>
      <c r="V809" s="11"/>
      <c r="W809" s="11"/>
      <c r="X809" s="11"/>
      <c r="Y809" s="11"/>
      <c r="Z809" s="11"/>
    </row>
    <row r="810" ht="16.5" customHeight="1">
      <c r="A810" s="11"/>
      <c r="B810" s="11"/>
      <c r="C810" s="11"/>
      <c r="D810" s="11"/>
      <c r="E810" s="11"/>
      <c r="F810" s="11"/>
      <c r="G810" s="12"/>
      <c r="H810" s="11"/>
      <c r="I810" s="12"/>
      <c r="J810" s="12"/>
      <c r="K810" s="12"/>
      <c r="L810" s="11"/>
      <c r="M810" s="11"/>
      <c r="N810" s="11"/>
      <c r="O810" s="11"/>
      <c r="P810" s="11"/>
      <c r="Q810" s="11"/>
      <c r="R810" s="11"/>
      <c r="S810" s="11"/>
      <c r="T810" s="11"/>
      <c r="U810" s="11"/>
      <c r="V810" s="11"/>
      <c r="W810" s="11"/>
      <c r="X810" s="11"/>
      <c r="Y810" s="11"/>
      <c r="Z810" s="11"/>
    </row>
    <row r="811" ht="16.5" customHeight="1">
      <c r="A811" s="11"/>
      <c r="B811" s="11"/>
      <c r="C811" s="11"/>
      <c r="D811" s="11"/>
      <c r="E811" s="11"/>
      <c r="F811" s="11"/>
      <c r="G811" s="12"/>
      <c r="H811" s="11"/>
      <c r="I811" s="12"/>
      <c r="J811" s="12"/>
      <c r="K811" s="12"/>
      <c r="L811" s="11"/>
      <c r="M811" s="11"/>
      <c r="N811" s="11"/>
      <c r="O811" s="11"/>
      <c r="P811" s="11"/>
      <c r="Q811" s="11"/>
      <c r="R811" s="11"/>
      <c r="S811" s="11"/>
      <c r="T811" s="11"/>
      <c r="U811" s="11"/>
      <c r="V811" s="11"/>
      <c r="W811" s="11"/>
      <c r="X811" s="11"/>
      <c r="Y811" s="11"/>
      <c r="Z811" s="11"/>
    </row>
    <row r="812" ht="16.5" customHeight="1">
      <c r="A812" s="11"/>
      <c r="B812" s="11"/>
      <c r="C812" s="11"/>
      <c r="D812" s="11"/>
      <c r="E812" s="11"/>
      <c r="F812" s="11"/>
      <c r="G812" s="12"/>
      <c r="H812" s="11"/>
      <c r="I812" s="12"/>
      <c r="J812" s="12"/>
      <c r="K812" s="12"/>
      <c r="L812" s="11"/>
      <c r="M812" s="11"/>
      <c r="N812" s="11"/>
      <c r="O812" s="11"/>
      <c r="P812" s="11"/>
      <c r="Q812" s="11"/>
      <c r="R812" s="11"/>
      <c r="S812" s="11"/>
      <c r="T812" s="11"/>
      <c r="U812" s="11"/>
      <c r="V812" s="11"/>
      <c r="W812" s="11"/>
      <c r="X812" s="11"/>
      <c r="Y812" s="11"/>
      <c r="Z812" s="11"/>
    </row>
    <row r="813" ht="16.5" customHeight="1">
      <c r="A813" s="11"/>
      <c r="B813" s="11"/>
      <c r="C813" s="11"/>
      <c r="D813" s="11"/>
      <c r="E813" s="11"/>
      <c r="F813" s="11"/>
      <c r="G813" s="12"/>
      <c r="H813" s="11"/>
      <c r="I813" s="12"/>
      <c r="J813" s="12"/>
      <c r="K813" s="12"/>
      <c r="L813" s="11"/>
      <c r="M813" s="11"/>
      <c r="N813" s="11"/>
      <c r="O813" s="11"/>
      <c r="P813" s="11"/>
      <c r="Q813" s="11"/>
      <c r="R813" s="11"/>
      <c r="S813" s="11"/>
      <c r="T813" s="11"/>
      <c r="U813" s="11"/>
      <c r="V813" s="11"/>
      <c r="W813" s="11"/>
      <c r="X813" s="11"/>
      <c r="Y813" s="11"/>
      <c r="Z813" s="11"/>
    </row>
    <row r="814" ht="16.5" customHeight="1">
      <c r="A814" s="11"/>
      <c r="B814" s="11"/>
      <c r="C814" s="11"/>
      <c r="D814" s="11"/>
      <c r="E814" s="11"/>
      <c r="F814" s="11"/>
      <c r="G814" s="12"/>
      <c r="H814" s="11"/>
      <c r="I814" s="12"/>
      <c r="J814" s="12"/>
      <c r="K814" s="12"/>
      <c r="L814" s="11"/>
      <c r="M814" s="11"/>
      <c r="N814" s="11"/>
      <c r="O814" s="11"/>
      <c r="P814" s="11"/>
      <c r="Q814" s="11"/>
      <c r="R814" s="11"/>
      <c r="S814" s="11"/>
      <c r="T814" s="11"/>
      <c r="U814" s="11"/>
      <c r="V814" s="11"/>
      <c r="W814" s="11"/>
      <c r="X814" s="11"/>
      <c r="Y814" s="11"/>
      <c r="Z814" s="11"/>
    </row>
    <row r="815" ht="16.5" customHeight="1">
      <c r="A815" s="11"/>
      <c r="B815" s="11"/>
      <c r="C815" s="11"/>
      <c r="D815" s="11"/>
      <c r="E815" s="11"/>
      <c r="F815" s="11"/>
      <c r="G815" s="12"/>
      <c r="H815" s="11"/>
      <c r="I815" s="12"/>
      <c r="J815" s="12"/>
      <c r="K815" s="12"/>
      <c r="L815" s="11"/>
      <c r="M815" s="11"/>
      <c r="N815" s="11"/>
      <c r="O815" s="11"/>
      <c r="P815" s="11"/>
      <c r="Q815" s="11"/>
      <c r="R815" s="11"/>
      <c r="S815" s="11"/>
      <c r="T815" s="11"/>
      <c r="U815" s="11"/>
      <c r="V815" s="11"/>
      <c r="W815" s="11"/>
      <c r="X815" s="11"/>
      <c r="Y815" s="11"/>
      <c r="Z815" s="11"/>
    </row>
    <row r="816" ht="16.5" customHeight="1">
      <c r="A816" s="11"/>
      <c r="B816" s="11"/>
      <c r="C816" s="11"/>
      <c r="D816" s="11"/>
      <c r="E816" s="11"/>
      <c r="F816" s="11"/>
      <c r="G816" s="12"/>
      <c r="H816" s="11"/>
      <c r="I816" s="12"/>
      <c r="J816" s="12"/>
      <c r="K816" s="12"/>
      <c r="L816" s="11"/>
      <c r="M816" s="11"/>
      <c r="N816" s="11"/>
      <c r="O816" s="11"/>
      <c r="P816" s="11"/>
      <c r="Q816" s="11"/>
      <c r="R816" s="11"/>
      <c r="S816" s="11"/>
      <c r="T816" s="11"/>
      <c r="U816" s="11"/>
      <c r="V816" s="11"/>
      <c r="W816" s="11"/>
      <c r="X816" s="11"/>
      <c r="Y816" s="11"/>
      <c r="Z816" s="11"/>
    </row>
    <row r="817" ht="16.5" customHeight="1">
      <c r="A817" s="11"/>
      <c r="B817" s="11"/>
      <c r="C817" s="11"/>
      <c r="D817" s="11"/>
      <c r="E817" s="11"/>
      <c r="F817" s="11"/>
      <c r="G817" s="12"/>
      <c r="H817" s="11"/>
      <c r="I817" s="12"/>
      <c r="J817" s="12"/>
      <c r="K817" s="12"/>
      <c r="L817" s="11"/>
      <c r="M817" s="11"/>
      <c r="N817" s="11"/>
      <c r="O817" s="11"/>
      <c r="P817" s="11"/>
      <c r="Q817" s="11"/>
      <c r="R817" s="11"/>
      <c r="S817" s="11"/>
      <c r="T817" s="11"/>
      <c r="U817" s="11"/>
      <c r="V817" s="11"/>
      <c r="W817" s="11"/>
      <c r="X817" s="11"/>
      <c r="Y817" s="11"/>
      <c r="Z817" s="11"/>
    </row>
    <row r="818" ht="16.5" customHeight="1">
      <c r="A818" s="11"/>
      <c r="B818" s="11"/>
      <c r="C818" s="11"/>
      <c r="D818" s="11"/>
      <c r="E818" s="11"/>
      <c r="F818" s="11"/>
      <c r="G818" s="12"/>
      <c r="H818" s="11"/>
      <c r="I818" s="12"/>
      <c r="J818" s="12"/>
      <c r="K818" s="12"/>
      <c r="L818" s="11"/>
      <c r="M818" s="11"/>
      <c r="N818" s="11"/>
      <c r="O818" s="11"/>
      <c r="P818" s="11"/>
      <c r="Q818" s="11"/>
      <c r="R818" s="11"/>
      <c r="S818" s="11"/>
      <c r="T818" s="11"/>
      <c r="U818" s="11"/>
      <c r="V818" s="11"/>
      <c r="W818" s="11"/>
      <c r="X818" s="11"/>
      <c r="Y818" s="11"/>
      <c r="Z818" s="11"/>
    </row>
    <row r="819" ht="16.5" customHeight="1">
      <c r="A819" s="11"/>
      <c r="B819" s="11"/>
      <c r="C819" s="11"/>
      <c r="D819" s="11"/>
      <c r="E819" s="11"/>
      <c r="F819" s="11"/>
      <c r="G819" s="12"/>
      <c r="H819" s="11"/>
      <c r="I819" s="12"/>
      <c r="J819" s="12"/>
      <c r="K819" s="12"/>
      <c r="L819" s="11"/>
      <c r="M819" s="11"/>
      <c r="N819" s="11"/>
      <c r="O819" s="11"/>
      <c r="P819" s="11"/>
      <c r="Q819" s="11"/>
      <c r="R819" s="11"/>
      <c r="S819" s="11"/>
      <c r="T819" s="11"/>
      <c r="U819" s="11"/>
      <c r="V819" s="11"/>
      <c r="W819" s="11"/>
      <c r="X819" s="11"/>
      <c r="Y819" s="11"/>
      <c r="Z819" s="11"/>
    </row>
    <row r="820" ht="16.5" customHeight="1">
      <c r="A820" s="11"/>
      <c r="B820" s="11"/>
      <c r="C820" s="11"/>
      <c r="D820" s="11"/>
      <c r="E820" s="11"/>
      <c r="F820" s="11"/>
      <c r="G820" s="12"/>
      <c r="H820" s="11"/>
      <c r="I820" s="12"/>
      <c r="J820" s="12"/>
      <c r="K820" s="12"/>
      <c r="L820" s="11"/>
      <c r="M820" s="11"/>
      <c r="N820" s="11"/>
      <c r="O820" s="11"/>
      <c r="P820" s="11"/>
      <c r="Q820" s="11"/>
      <c r="R820" s="11"/>
      <c r="S820" s="11"/>
      <c r="T820" s="11"/>
      <c r="U820" s="11"/>
      <c r="V820" s="11"/>
      <c r="W820" s="11"/>
      <c r="X820" s="11"/>
      <c r="Y820" s="11"/>
      <c r="Z820" s="11"/>
    </row>
    <row r="821" ht="16.5" customHeight="1">
      <c r="A821" s="11"/>
      <c r="B821" s="11"/>
      <c r="C821" s="11"/>
      <c r="D821" s="11"/>
      <c r="E821" s="11"/>
      <c r="F821" s="11"/>
      <c r="G821" s="12"/>
      <c r="H821" s="11"/>
      <c r="I821" s="12"/>
      <c r="J821" s="12"/>
      <c r="K821" s="12"/>
      <c r="L821" s="11"/>
      <c r="M821" s="11"/>
      <c r="N821" s="11"/>
      <c r="O821" s="11"/>
      <c r="P821" s="11"/>
      <c r="Q821" s="11"/>
      <c r="R821" s="11"/>
      <c r="S821" s="11"/>
      <c r="T821" s="11"/>
      <c r="U821" s="11"/>
      <c r="V821" s="11"/>
      <c r="W821" s="11"/>
      <c r="X821" s="11"/>
      <c r="Y821" s="11"/>
      <c r="Z821" s="11"/>
    </row>
    <row r="822" ht="16.5" customHeight="1">
      <c r="A822" s="11"/>
      <c r="B822" s="11"/>
      <c r="C822" s="11"/>
      <c r="D822" s="11"/>
      <c r="E822" s="11"/>
      <c r="F822" s="11"/>
      <c r="G822" s="12"/>
      <c r="H822" s="11"/>
      <c r="I822" s="12"/>
      <c r="J822" s="12"/>
      <c r="K822" s="12"/>
      <c r="L822" s="11"/>
      <c r="M822" s="11"/>
      <c r="N822" s="11"/>
      <c r="O822" s="11"/>
      <c r="P822" s="11"/>
      <c r="Q822" s="11"/>
      <c r="R822" s="11"/>
      <c r="S822" s="11"/>
      <c r="T822" s="11"/>
      <c r="U822" s="11"/>
      <c r="V822" s="11"/>
      <c r="W822" s="11"/>
      <c r="X822" s="11"/>
      <c r="Y822" s="11"/>
      <c r="Z822" s="11"/>
    </row>
    <row r="823" ht="16.5" customHeight="1">
      <c r="A823" s="11"/>
      <c r="B823" s="11"/>
      <c r="C823" s="11"/>
      <c r="D823" s="11"/>
      <c r="E823" s="11"/>
      <c r="F823" s="11"/>
      <c r="G823" s="12"/>
      <c r="H823" s="11"/>
      <c r="I823" s="12"/>
      <c r="J823" s="12"/>
      <c r="K823" s="12"/>
      <c r="L823" s="11"/>
      <c r="M823" s="11"/>
      <c r="N823" s="11"/>
      <c r="O823" s="11"/>
      <c r="P823" s="11"/>
      <c r="Q823" s="11"/>
      <c r="R823" s="11"/>
      <c r="S823" s="11"/>
      <c r="T823" s="11"/>
      <c r="U823" s="11"/>
      <c r="V823" s="11"/>
      <c r="W823" s="11"/>
      <c r="X823" s="11"/>
      <c r="Y823" s="11"/>
      <c r="Z823" s="11"/>
    </row>
    <row r="824" ht="16.5" customHeight="1">
      <c r="A824" s="11"/>
      <c r="B824" s="11"/>
      <c r="C824" s="11"/>
      <c r="D824" s="11"/>
      <c r="E824" s="11"/>
      <c r="F824" s="11"/>
      <c r="G824" s="12"/>
      <c r="H824" s="11"/>
      <c r="I824" s="12"/>
      <c r="J824" s="12"/>
      <c r="K824" s="12"/>
      <c r="L824" s="11"/>
      <c r="M824" s="11"/>
      <c r="N824" s="11"/>
      <c r="O824" s="11"/>
      <c r="P824" s="11"/>
      <c r="Q824" s="11"/>
      <c r="R824" s="11"/>
      <c r="S824" s="11"/>
      <c r="T824" s="11"/>
      <c r="U824" s="11"/>
      <c r="V824" s="11"/>
      <c r="W824" s="11"/>
      <c r="X824" s="11"/>
      <c r="Y824" s="11"/>
      <c r="Z824" s="11"/>
    </row>
    <row r="825" ht="16.5" customHeight="1">
      <c r="A825" s="11"/>
      <c r="B825" s="11"/>
      <c r="C825" s="11"/>
      <c r="D825" s="11"/>
      <c r="E825" s="11"/>
      <c r="F825" s="11"/>
      <c r="G825" s="12"/>
      <c r="H825" s="11"/>
      <c r="I825" s="12"/>
      <c r="J825" s="12"/>
      <c r="K825" s="12"/>
      <c r="L825" s="11"/>
      <c r="M825" s="11"/>
      <c r="N825" s="11"/>
      <c r="O825" s="11"/>
      <c r="P825" s="11"/>
      <c r="Q825" s="11"/>
      <c r="R825" s="11"/>
      <c r="S825" s="11"/>
      <c r="T825" s="11"/>
      <c r="U825" s="11"/>
      <c r="V825" s="11"/>
      <c r="W825" s="11"/>
      <c r="X825" s="11"/>
      <c r="Y825" s="11"/>
      <c r="Z825" s="11"/>
    </row>
    <row r="826" ht="16.5" customHeight="1">
      <c r="A826" s="11"/>
      <c r="B826" s="11"/>
      <c r="C826" s="11"/>
      <c r="D826" s="11"/>
      <c r="E826" s="11"/>
      <c r="F826" s="11"/>
      <c r="G826" s="12"/>
      <c r="H826" s="11"/>
      <c r="I826" s="12"/>
      <c r="J826" s="12"/>
      <c r="K826" s="12"/>
      <c r="L826" s="11"/>
      <c r="M826" s="11"/>
      <c r="N826" s="11"/>
      <c r="O826" s="11"/>
      <c r="P826" s="11"/>
      <c r="Q826" s="11"/>
      <c r="R826" s="11"/>
      <c r="S826" s="11"/>
      <c r="T826" s="11"/>
      <c r="U826" s="11"/>
      <c r="V826" s="11"/>
      <c r="W826" s="11"/>
      <c r="X826" s="11"/>
      <c r="Y826" s="11"/>
      <c r="Z826" s="11"/>
    </row>
    <row r="827" ht="16.5" customHeight="1">
      <c r="A827" s="11"/>
      <c r="B827" s="11"/>
      <c r="C827" s="11"/>
      <c r="D827" s="11"/>
      <c r="E827" s="11"/>
      <c r="F827" s="11"/>
      <c r="G827" s="12"/>
      <c r="H827" s="11"/>
      <c r="I827" s="12"/>
      <c r="J827" s="12"/>
      <c r="K827" s="12"/>
      <c r="L827" s="11"/>
      <c r="M827" s="11"/>
      <c r="N827" s="11"/>
      <c r="O827" s="11"/>
      <c r="P827" s="11"/>
      <c r="Q827" s="11"/>
      <c r="R827" s="11"/>
      <c r="S827" s="11"/>
      <c r="T827" s="11"/>
      <c r="U827" s="11"/>
      <c r="V827" s="11"/>
      <c r="W827" s="11"/>
      <c r="X827" s="11"/>
      <c r="Y827" s="11"/>
      <c r="Z827" s="11"/>
    </row>
    <row r="828" ht="16.5" customHeight="1">
      <c r="A828" s="11"/>
      <c r="B828" s="11"/>
      <c r="C828" s="11"/>
      <c r="D828" s="11"/>
      <c r="E828" s="11"/>
      <c r="F828" s="11"/>
      <c r="G828" s="12"/>
      <c r="H828" s="11"/>
      <c r="I828" s="12"/>
      <c r="J828" s="12"/>
      <c r="K828" s="12"/>
      <c r="L828" s="11"/>
      <c r="M828" s="11"/>
      <c r="N828" s="11"/>
      <c r="O828" s="11"/>
      <c r="P828" s="11"/>
      <c r="Q828" s="11"/>
      <c r="R828" s="11"/>
      <c r="S828" s="11"/>
      <c r="T828" s="11"/>
      <c r="U828" s="11"/>
      <c r="V828" s="11"/>
      <c r="W828" s="11"/>
      <c r="X828" s="11"/>
      <c r="Y828" s="11"/>
      <c r="Z828" s="11"/>
    </row>
    <row r="829" ht="16.5" customHeight="1">
      <c r="A829" s="11"/>
      <c r="B829" s="11"/>
      <c r="C829" s="11"/>
      <c r="D829" s="11"/>
      <c r="E829" s="11"/>
      <c r="F829" s="11"/>
      <c r="G829" s="12"/>
      <c r="H829" s="11"/>
      <c r="I829" s="12"/>
      <c r="J829" s="12"/>
      <c r="K829" s="12"/>
      <c r="L829" s="11"/>
      <c r="M829" s="11"/>
      <c r="N829" s="11"/>
      <c r="O829" s="11"/>
      <c r="P829" s="11"/>
      <c r="Q829" s="11"/>
      <c r="R829" s="11"/>
      <c r="S829" s="11"/>
      <c r="T829" s="11"/>
      <c r="U829" s="11"/>
      <c r="V829" s="11"/>
      <c r="W829" s="11"/>
      <c r="X829" s="11"/>
      <c r="Y829" s="11"/>
      <c r="Z829" s="11"/>
    </row>
    <row r="830" ht="16.5" customHeight="1">
      <c r="A830" s="11"/>
      <c r="B830" s="11"/>
      <c r="C830" s="11"/>
      <c r="D830" s="11"/>
      <c r="E830" s="11"/>
      <c r="F830" s="11"/>
      <c r="G830" s="12"/>
      <c r="H830" s="11"/>
      <c r="I830" s="12"/>
      <c r="J830" s="12"/>
      <c r="K830" s="12"/>
      <c r="L830" s="11"/>
      <c r="M830" s="11"/>
      <c r="N830" s="11"/>
      <c r="O830" s="11"/>
      <c r="P830" s="11"/>
      <c r="Q830" s="11"/>
      <c r="R830" s="11"/>
      <c r="S830" s="11"/>
      <c r="T830" s="11"/>
      <c r="U830" s="11"/>
      <c r="V830" s="11"/>
      <c r="W830" s="11"/>
      <c r="X830" s="11"/>
      <c r="Y830" s="11"/>
      <c r="Z830" s="11"/>
    </row>
    <row r="831" ht="16.5" customHeight="1">
      <c r="A831" s="11"/>
      <c r="B831" s="11"/>
      <c r="C831" s="11"/>
      <c r="D831" s="11"/>
      <c r="E831" s="11"/>
      <c r="F831" s="11"/>
      <c r="G831" s="12"/>
      <c r="H831" s="11"/>
      <c r="I831" s="12"/>
      <c r="J831" s="12"/>
      <c r="K831" s="12"/>
      <c r="L831" s="11"/>
      <c r="M831" s="11"/>
      <c r="N831" s="11"/>
      <c r="O831" s="11"/>
      <c r="P831" s="11"/>
      <c r="Q831" s="11"/>
      <c r="R831" s="11"/>
      <c r="S831" s="11"/>
      <c r="T831" s="11"/>
      <c r="U831" s="11"/>
      <c r="V831" s="11"/>
      <c r="W831" s="11"/>
      <c r="X831" s="11"/>
      <c r="Y831" s="11"/>
      <c r="Z831" s="11"/>
    </row>
    <row r="832" ht="16.5" customHeight="1">
      <c r="A832" s="11"/>
      <c r="B832" s="11"/>
      <c r="C832" s="11"/>
      <c r="D832" s="11"/>
      <c r="E832" s="11"/>
      <c r="F832" s="11"/>
      <c r="G832" s="12"/>
      <c r="H832" s="11"/>
      <c r="I832" s="12"/>
      <c r="J832" s="12"/>
      <c r="K832" s="12"/>
      <c r="L832" s="11"/>
      <c r="M832" s="11"/>
      <c r="N832" s="11"/>
      <c r="O832" s="11"/>
      <c r="P832" s="11"/>
      <c r="Q832" s="11"/>
      <c r="R832" s="11"/>
      <c r="S832" s="11"/>
      <c r="T832" s="11"/>
      <c r="U832" s="11"/>
      <c r="V832" s="11"/>
      <c r="W832" s="11"/>
      <c r="X832" s="11"/>
      <c r="Y832" s="11"/>
      <c r="Z832" s="11"/>
    </row>
    <row r="833" ht="16.5" customHeight="1">
      <c r="A833" s="11"/>
      <c r="B833" s="11"/>
      <c r="C833" s="11"/>
      <c r="D833" s="11"/>
      <c r="E833" s="11"/>
      <c r="F833" s="11"/>
      <c r="G833" s="12"/>
      <c r="H833" s="11"/>
      <c r="I833" s="12"/>
      <c r="J833" s="12"/>
      <c r="K833" s="12"/>
      <c r="L833" s="11"/>
      <c r="M833" s="11"/>
      <c r="N833" s="11"/>
      <c r="O833" s="11"/>
      <c r="P833" s="11"/>
      <c r="Q833" s="11"/>
      <c r="R833" s="11"/>
      <c r="S833" s="11"/>
      <c r="T833" s="11"/>
      <c r="U833" s="11"/>
      <c r="V833" s="11"/>
      <c r="W833" s="11"/>
      <c r="X833" s="11"/>
      <c r="Y833" s="11"/>
      <c r="Z833" s="11"/>
    </row>
    <row r="834" ht="16.5" customHeight="1">
      <c r="A834" s="11"/>
      <c r="B834" s="11"/>
      <c r="C834" s="11"/>
      <c r="D834" s="11"/>
      <c r="E834" s="11"/>
      <c r="F834" s="11"/>
      <c r="G834" s="12"/>
      <c r="H834" s="11"/>
      <c r="I834" s="12"/>
      <c r="J834" s="12"/>
      <c r="K834" s="12"/>
      <c r="L834" s="11"/>
      <c r="M834" s="11"/>
      <c r="N834" s="11"/>
      <c r="O834" s="11"/>
      <c r="P834" s="11"/>
      <c r="Q834" s="11"/>
      <c r="R834" s="11"/>
      <c r="S834" s="11"/>
      <c r="T834" s="11"/>
      <c r="U834" s="11"/>
      <c r="V834" s="11"/>
      <c r="W834" s="11"/>
      <c r="X834" s="11"/>
      <c r="Y834" s="11"/>
      <c r="Z834" s="11"/>
    </row>
    <row r="835" ht="16.5" customHeight="1">
      <c r="A835" s="11"/>
      <c r="B835" s="11"/>
      <c r="C835" s="11"/>
      <c r="D835" s="11"/>
      <c r="E835" s="11"/>
      <c r="F835" s="11"/>
      <c r="G835" s="12"/>
      <c r="H835" s="11"/>
      <c r="I835" s="12"/>
      <c r="J835" s="12"/>
      <c r="K835" s="12"/>
      <c r="L835" s="11"/>
      <c r="M835" s="11"/>
      <c r="N835" s="11"/>
      <c r="O835" s="11"/>
      <c r="P835" s="11"/>
      <c r="Q835" s="11"/>
      <c r="R835" s="11"/>
      <c r="S835" s="11"/>
      <c r="T835" s="11"/>
      <c r="U835" s="11"/>
      <c r="V835" s="11"/>
      <c r="W835" s="11"/>
      <c r="X835" s="11"/>
      <c r="Y835" s="11"/>
      <c r="Z835" s="11"/>
    </row>
    <row r="836" ht="16.5" customHeight="1">
      <c r="A836" s="11"/>
      <c r="B836" s="11"/>
      <c r="C836" s="11"/>
      <c r="D836" s="11"/>
      <c r="E836" s="11"/>
      <c r="F836" s="11"/>
      <c r="G836" s="12"/>
      <c r="H836" s="11"/>
      <c r="I836" s="12"/>
      <c r="J836" s="12"/>
      <c r="K836" s="12"/>
      <c r="L836" s="11"/>
      <c r="M836" s="11"/>
      <c r="N836" s="11"/>
      <c r="O836" s="11"/>
      <c r="P836" s="11"/>
      <c r="Q836" s="11"/>
      <c r="R836" s="11"/>
      <c r="S836" s="11"/>
      <c r="T836" s="11"/>
      <c r="U836" s="11"/>
      <c r="V836" s="11"/>
      <c r="W836" s="11"/>
      <c r="X836" s="11"/>
      <c r="Y836" s="11"/>
      <c r="Z836" s="11"/>
    </row>
    <row r="837" ht="16.5" customHeight="1">
      <c r="A837" s="11"/>
      <c r="B837" s="11"/>
      <c r="C837" s="11"/>
      <c r="D837" s="11"/>
      <c r="E837" s="11"/>
      <c r="F837" s="11"/>
      <c r="G837" s="12"/>
      <c r="H837" s="11"/>
      <c r="I837" s="12"/>
      <c r="J837" s="12"/>
      <c r="K837" s="12"/>
      <c r="L837" s="11"/>
      <c r="M837" s="11"/>
      <c r="N837" s="11"/>
      <c r="O837" s="11"/>
      <c r="P837" s="11"/>
      <c r="Q837" s="11"/>
      <c r="R837" s="11"/>
      <c r="S837" s="11"/>
      <c r="T837" s="11"/>
      <c r="U837" s="11"/>
      <c r="V837" s="11"/>
      <c r="W837" s="11"/>
      <c r="X837" s="11"/>
      <c r="Y837" s="11"/>
      <c r="Z837" s="11"/>
    </row>
    <row r="838" ht="16.5" customHeight="1">
      <c r="A838" s="11"/>
      <c r="B838" s="11"/>
      <c r="C838" s="11"/>
      <c r="D838" s="11"/>
      <c r="E838" s="11"/>
      <c r="F838" s="11"/>
      <c r="G838" s="12"/>
      <c r="H838" s="11"/>
      <c r="I838" s="12"/>
      <c r="J838" s="12"/>
      <c r="K838" s="12"/>
      <c r="L838" s="11"/>
      <c r="M838" s="11"/>
      <c r="N838" s="11"/>
      <c r="O838" s="11"/>
      <c r="P838" s="11"/>
      <c r="Q838" s="11"/>
      <c r="R838" s="11"/>
      <c r="S838" s="11"/>
      <c r="T838" s="11"/>
      <c r="U838" s="11"/>
      <c r="V838" s="11"/>
      <c r="W838" s="11"/>
      <c r="X838" s="11"/>
      <c r="Y838" s="11"/>
      <c r="Z838" s="11"/>
    </row>
    <row r="839" ht="16.5" customHeight="1">
      <c r="A839" s="11"/>
      <c r="B839" s="11"/>
      <c r="C839" s="11"/>
      <c r="D839" s="11"/>
      <c r="E839" s="11"/>
      <c r="F839" s="11"/>
      <c r="G839" s="12"/>
      <c r="H839" s="11"/>
      <c r="I839" s="12"/>
      <c r="J839" s="12"/>
      <c r="K839" s="12"/>
      <c r="L839" s="11"/>
      <c r="M839" s="11"/>
      <c r="N839" s="11"/>
      <c r="O839" s="11"/>
      <c r="P839" s="11"/>
      <c r="Q839" s="11"/>
      <c r="R839" s="11"/>
      <c r="S839" s="11"/>
      <c r="T839" s="11"/>
      <c r="U839" s="11"/>
      <c r="V839" s="11"/>
      <c r="W839" s="11"/>
      <c r="X839" s="11"/>
      <c r="Y839" s="11"/>
      <c r="Z839" s="11"/>
    </row>
    <row r="840" ht="16.5" customHeight="1">
      <c r="A840" s="11"/>
      <c r="B840" s="11"/>
      <c r="C840" s="11"/>
      <c r="D840" s="11"/>
      <c r="E840" s="11"/>
      <c r="F840" s="11"/>
      <c r="G840" s="12"/>
      <c r="H840" s="11"/>
      <c r="I840" s="12"/>
      <c r="J840" s="12"/>
      <c r="K840" s="12"/>
      <c r="L840" s="11"/>
      <c r="M840" s="11"/>
      <c r="N840" s="11"/>
      <c r="O840" s="11"/>
      <c r="P840" s="11"/>
      <c r="Q840" s="11"/>
      <c r="R840" s="11"/>
      <c r="S840" s="11"/>
      <c r="T840" s="11"/>
      <c r="U840" s="11"/>
      <c r="V840" s="11"/>
      <c r="W840" s="11"/>
      <c r="X840" s="11"/>
      <c r="Y840" s="11"/>
      <c r="Z840" s="11"/>
    </row>
    <row r="841" ht="16.5" customHeight="1">
      <c r="A841" s="11"/>
      <c r="B841" s="11"/>
      <c r="C841" s="11"/>
      <c r="D841" s="11"/>
      <c r="E841" s="11"/>
      <c r="F841" s="11"/>
      <c r="G841" s="12"/>
      <c r="H841" s="11"/>
      <c r="I841" s="12"/>
      <c r="J841" s="12"/>
      <c r="K841" s="12"/>
      <c r="L841" s="11"/>
      <c r="M841" s="11"/>
      <c r="N841" s="11"/>
      <c r="O841" s="11"/>
      <c r="P841" s="11"/>
      <c r="Q841" s="11"/>
      <c r="R841" s="11"/>
      <c r="S841" s="11"/>
      <c r="T841" s="11"/>
      <c r="U841" s="11"/>
      <c r="V841" s="11"/>
      <c r="W841" s="11"/>
      <c r="X841" s="11"/>
      <c r="Y841" s="11"/>
      <c r="Z841" s="11"/>
    </row>
    <row r="842" ht="16.5" customHeight="1">
      <c r="A842" s="11"/>
      <c r="B842" s="11"/>
      <c r="C842" s="11"/>
      <c r="D842" s="11"/>
      <c r="E842" s="11"/>
      <c r="F842" s="11"/>
      <c r="G842" s="12"/>
      <c r="H842" s="11"/>
      <c r="I842" s="12"/>
      <c r="J842" s="12"/>
      <c r="K842" s="12"/>
      <c r="L842" s="11"/>
      <c r="M842" s="11"/>
      <c r="N842" s="11"/>
      <c r="O842" s="11"/>
      <c r="P842" s="11"/>
      <c r="Q842" s="11"/>
      <c r="R842" s="11"/>
      <c r="S842" s="11"/>
      <c r="T842" s="11"/>
      <c r="U842" s="11"/>
      <c r="V842" s="11"/>
      <c r="W842" s="11"/>
      <c r="X842" s="11"/>
      <c r="Y842" s="11"/>
      <c r="Z842" s="11"/>
    </row>
    <row r="843" ht="16.5" customHeight="1">
      <c r="A843" s="11"/>
      <c r="B843" s="11"/>
      <c r="C843" s="11"/>
      <c r="D843" s="11"/>
      <c r="E843" s="11"/>
      <c r="F843" s="11"/>
      <c r="G843" s="12"/>
      <c r="H843" s="11"/>
      <c r="I843" s="12"/>
      <c r="J843" s="12"/>
      <c r="K843" s="12"/>
      <c r="L843" s="11"/>
      <c r="M843" s="11"/>
      <c r="N843" s="11"/>
      <c r="O843" s="11"/>
      <c r="P843" s="11"/>
      <c r="Q843" s="11"/>
      <c r="R843" s="11"/>
      <c r="S843" s="11"/>
      <c r="T843" s="11"/>
      <c r="U843" s="11"/>
      <c r="V843" s="11"/>
      <c r="W843" s="11"/>
      <c r="X843" s="11"/>
      <c r="Y843" s="11"/>
      <c r="Z843" s="11"/>
    </row>
    <row r="844" ht="16.5" customHeight="1">
      <c r="A844" s="11"/>
      <c r="B844" s="11"/>
      <c r="C844" s="11"/>
      <c r="D844" s="11"/>
      <c r="E844" s="11"/>
      <c r="F844" s="11"/>
      <c r="G844" s="12"/>
      <c r="H844" s="11"/>
      <c r="I844" s="12"/>
      <c r="J844" s="12"/>
      <c r="K844" s="12"/>
      <c r="L844" s="11"/>
      <c r="M844" s="11"/>
      <c r="N844" s="11"/>
      <c r="O844" s="11"/>
      <c r="P844" s="11"/>
      <c r="Q844" s="11"/>
      <c r="R844" s="11"/>
      <c r="S844" s="11"/>
      <c r="T844" s="11"/>
      <c r="U844" s="11"/>
      <c r="V844" s="11"/>
      <c r="W844" s="11"/>
      <c r="X844" s="11"/>
      <c r="Y844" s="11"/>
      <c r="Z844" s="11"/>
    </row>
    <row r="845" ht="16.5" customHeight="1">
      <c r="A845" s="11"/>
      <c r="B845" s="11"/>
      <c r="C845" s="11"/>
      <c r="D845" s="11"/>
      <c r="E845" s="11"/>
      <c r="F845" s="11"/>
      <c r="G845" s="12"/>
      <c r="H845" s="11"/>
      <c r="I845" s="12"/>
      <c r="J845" s="12"/>
      <c r="K845" s="12"/>
      <c r="L845" s="11"/>
      <c r="M845" s="11"/>
      <c r="N845" s="11"/>
      <c r="O845" s="11"/>
      <c r="P845" s="11"/>
      <c r="Q845" s="11"/>
      <c r="R845" s="11"/>
      <c r="S845" s="11"/>
      <c r="T845" s="11"/>
      <c r="U845" s="11"/>
      <c r="V845" s="11"/>
      <c r="W845" s="11"/>
      <c r="X845" s="11"/>
      <c r="Y845" s="11"/>
      <c r="Z845" s="11"/>
    </row>
    <row r="846" ht="16.5" customHeight="1">
      <c r="A846" s="11"/>
      <c r="B846" s="11"/>
      <c r="C846" s="11"/>
      <c r="D846" s="11"/>
      <c r="E846" s="11"/>
      <c r="F846" s="11"/>
      <c r="G846" s="12"/>
      <c r="H846" s="11"/>
      <c r="I846" s="12"/>
      <c r="J846" s="12"/>
      <c r="K846" s="12"/>
      <c r="L846" s="11"/>
      <c r="M846" s="11"/>
      <c r="N846" s="11"/>
      <c r="O846" s="11"/>
      <c r="P846" s="11"/>
      <c r="Q846" s="11"/>
      <c r="R846" s="11"/>
      <c r="S846" s="11"/>
      <c r="T846" s="11"/>
      <c r="U846" s="11"/>
      <c r="V846" s="11"/>
      <c r="W846" s="11"/>
      <c r="X846" s="11"/>
      <c r="Y846" s="11"/>
      <c r="Z846" s="11"/>
    </row>
    <row r="847" ht="16.5" customHeight="1">
      <c r="A847" s="11"/>
      <c r="B847" s="11"/>
      <c r="C847" s="11"/>
      <c r="D847" s="11"/>
      <c r="E847" s="11"/>
      <c r="F847" s="11"/>
      <c r="G847" s="12"/>
      <c r="H847" s="11"/>
      <c r="I847" s="12"/>
      <c r="J847" s="12"/>
      <c r="K847" s="12"/>
      <c r="L847" s="11"/>
      <c r="M847" s="11"/>
      <c r="N847" s="11"/>
      <c r="O847" s="11"/>
      <c r="P847" s="11"/>
      <c r="Q847" s="11"/>
      <c r="R847" s="11"/>
      <c r="S847" s="11"/>
      <c r="T847" s="11"/>
      <c r="U847" s="11"/>
      <c r="V847" s="11"/>
      <c r="W847" s="11"/>
      <c r="X847" s="11"/>
      <c r="Y847" s="11"/>
      <c r="Z847" s="11"/>
    </row>
    <row r="848" ht="16.5" customHeight="1">
      <c r="A848" s="11"/>
      <c r="B848" s="11"/>
      <c r="C848" s="11"/>
      <c r="D848" s="11"/>
      <c r="E848" s="11"/>
      <c r="F848" s="11"/>
      <c r="G848" s="12"/>
      <c r="H848" s="11"/>
      <c r="I848" s="12"/>
      <c r="J848" s="12"/>
      <c r="K848" s="12"/>
      <c r="L848" s="11"/>
      <c r="M848" s="11"/>
      <c r="N848" s="11"/>
      <c r="O848" s="11"/>
      <c r="P848" s="11"/>
      <c r="Q848" s="11"/>
      <c r="R848" s="11"/>
      <c r="S848" s="11"/>
      <c r="T848" s="11"/>
      <c r="U848" s="11"/>
      <c r="V848" s="11"/>
      <c r="W848" s="11"/>
      <c r="X848" s="11"/>
      <c r="Y848" s="11"/>
      <c r="Z848" s="11"/>
    </row>
    <row r="849" ht="16.5" customHeight="1">
      <c r="A849" s="11"/>
      <c r="B849" s="11"/>
      <c r="C849" s="11"/>
      <c r="D849" s="11"/>
      <c r="E849" s="11"/>
      <c r="F849" s="11"/>
      <c r="G849" s="12"/>
      <c r="H849" s="11"/>
      <c r="I849" s="12"/>
      <c r="J849" s="12"/>
      <c r="K849" s="12"/>
      <c r="L849" s="11"/>
      <c r="M849" s="11"/>
      <c r="N849" s="11"/>
      <c r="O849" s="11"/>
      <c r="P849" s="11"/>
      <c r="Q849" s="11"/>
      <c r="R849" s="11"/>
      <c r="S849" s="11"/>
      <c r="T849" s="11"/>
      <c r="U849" s="11"/>
      <c r="V849" s="11"/>
      <c r="W849" s="11"/>
      <c r="X849" s="11"/>
      <c r="Y849" s="11"/>
      <c r="Z849" s="11"/>
    </row>
    <row r="850" ht="16.5" customHeight="1">
      <c r="A850" s="11"/>
      <c r="B850" s="11"/>
      <c r="C850" s="11"/>
      <c r="D850" s="11"/>
      <c r="E850" s="11"/>
      <c r="F850" s="11"/>
      <c r="G850" s="12"/>
      <c r="H850" s="11"/>
      <c r="I850" s="12"/>
      <c r="J850" s="12"/>
      <c r="K850" s="12"/>
      <c r="L850" s="11"/>
      <c r="M850" s="11"/>
      <c r="N850" s="11"/>
      <c r="O850" s="11"/>
      <c r="P850" s="11"/>
      <c r="Q850" s="11"/>
      <c r="R850" s="11"/>
      <c r="S850" s="11"/>
      <c r="T850" s="11"/>
      <c r="U850" s="11"/>
      <c r="V850" s="11"/>
      <c r="W850" s="11"/>
      <c r="X850" s="11"/>
      <c r="Y850" s="11"/>
      <c r="Z850" s="11"/>
    </row>
    <row r="851" ht="16.5" customHeight="1">
      <c r="A851" s="11"/>
      <c r="B851" s="11"/>
      <c r="C851" s="11"/>
      <c r="D851" s="11"/>
      <c r="E851" s="11"/>
      <c r="F851" s="11"/>
      <c r="G851" s="12"/>
      <c r="H851" s="11"/>
      <c r="I851" s="12"/>
      <c r="J851" s="12"/>
      <c r="K851" s="12"/>
      <c r="L851" s="11"/>
      <c r="M851" s="11"/>
      <c r="N851" s="11"/>
      <c r="O851" s="11"/>
      <c r="P851" s="11"/>
      <c r="Q851" s="11"/>
      <c r="R851" s="11"/>
      <c r="S851" s="11"/>
      <c r="T851" s="11"/>
      <c r="U851" s="11"/>
      <c r="V851" s="11"/>
      <c r="W851" s="11"/>
      <c r="X851" s="11"/>
      <c r="Y851" s="11"/>
      <c r="Z851" s="11"/>
    </row>
    <row r="852" ht="16.5" customHeight="1">
      <c r="A852" s="11"/>
      <c r="B852" s="11"/>
      <c r="C852" s="11"/>
      <c r="D852" s="11"/>
      <c r="E852" s="11"/>
      <c r="F852" s="11"/>
      <c r="G852" s="12"/>
      <c r="H852" s="11"/>
      <c r="I852" s="12"/>
      <c r="J852" s="12"/>
      <c r="K852" s="12"/>
      <c r="L852" s="11"/>
      <c r="M852" s="11"/>
      <c r="N852" s="11"/>
      <c r="O852" s="11"/>
      <c r="P852" s="11"/>
      <c r="Q852" s="11"/>
      <c r="R852" s="11"/>
      <c r="S852" s="11"/>
      <c r="T852" s="11"/>
      <c r="U852" s="11"/>
      <c r="V852" s="11"/>
      <c r="W852" s="11"/>
      <c r="X852" s="11"/>
      <c r="Y852" s="11"/>
      <c r="Z852" s="11"/>
    </row>
    <row r="853" ht="16.5" customHeight="1">
      <c r="A853" s="11"/>
      <c r="B853" s="11"/>
      <c r="C853" s="11"/>
      <c r="D853" s="11"/>
      <c r="E853" s="11"/>
      <c r="F853" s="11"/>
      <c r="G853" s="12"/>
      <c r="H853" s="11"/>
      <c r="I853" s="12"/>
      <c r="J853" s="12"/>
      <c r="K853" s="12"/>
      <c r="L853" s="11"/>
      <c r="M853" s="11"/>
      <c r="N853" s="11"/>
      <c r="O853" s="11"/>
      <c r="P853" s="11"/>
      <c r="Q853" s="11"/>
      <c r="R853" s="11"/>
      <c r="S853" s="11"/>
      <c r="T853" s="11"/>
      <c r="U853" s="11"/>
      <c r="V853" s="11"/>
      <c r="W853" s="11"/>
      <c r="X853" s="11"/>
      <c r="Y853" s="11"/>
      <c r="Z853" s="11"/>
    </row>
    <row r="854" ht="16.5" customHeight="1">
      <c r="A854" s="11"/>
      <c r="B854" s="11"/>
      <c r="C854" s="11"/>
      <c r="D854" s="11"/>
      <c r="E854" s="11"/>
      <c r="F854" s="11"/>
      <c r="G854" s="12"/>
      <c r="H854" s="11"/>
      <c r="I854" s="12"/>
      <c r="J854" s="12"/>
      <c r="K854" s="12"/>
      <c r="L854" s="11"/>
      <c r="M854" s="11"/>
      <c r="N854" s="11"/>
      <c r="O854" s="11"/>
      <c r="P854" s="11"/>
      <c r="Q854" s="11"/>
      <c r="R854" s="11"/>
      <c r="S854" s="11"/>
      <c r="T854" s="11"/>
      <c r="U854" s="11"/>
      <c r="V854" s="11"/>
      <c r="W854" s="11"/>
      <c r="X854" s="11"/>
      <c r="Y854" s="11"/>
      <c r="Z854" s="11"/>
    </row>
    <row r="855" ht="16.5" customHeight="1">
      <c r="A855" s="11"/>
      <c r="B855" s="11"/>
      <c r="C855" s="11"/>
      <c r="D855" s="11"/>
      <c r="E855" s="11"/>
      <c r="F855" s="11"/>
      <c r="G855" s="12"/>
      <c r="H855" s="11"/>
      <c r="I855" s="12"/>
      <c r="J855" s="12"/>
      <c r="K855" s="12"/>
      <c r="L855" s="11"/>
      <c r="M855" s="11"/>
      <c r="N855" s="11"/>
      <c r="O855" s="11"/>
      <c r="P855" s="11"/>
      <c r="Q855" s="11"/>
      <c r="R855" s="11"/>
      <c r="S855" s="11"/>
      <c r="T855" s="11"/>
      <c r="U855" s="11"/>
      <c r="V855" s="11"/>
      <c r="W855" s="11"/>
      <c r="X855" s="11"/>
      <c r="Y855" s="11"/>
      <c r="Z855" s="11"/>
    </row>
    <row r="856" ht="16.5" customHeight="1">
      <c r="A856" s="11"/>
      <c r="B856" s="11"/>
      <c r="C856" s="11"/>
      <c r="D856" s="11"/>
      <c r="E856" s="11"/>
      <c r="F856" s="11"/>
      <c r="G856" s="12"/>
      <c r="H856" s="11"/>
      <c r="I856" s="12"/>
      <c r="J856" s="12"/>
      <c r="K856" s="12"/>
      <c r="L856" s="11"/>
      <c r="M856" s="11"/>
      <c r="N856" s="11"/>
      <c r="O856" s="11"/>
      <c r="P856" s="11"/>
      <c r="Q856" s="11"/>
      <c r="R856" s="11"/>
      <c r="S856" s="11"/>
      <c r="T856" s="11"/>
      <c r="U856" s="11"/>
      <c r="V856" s="11"/>
      <c r="W856" s="11"/>
      <c r="X856" s="11"/>
      <c r="Y856" s="11"/>
      <c r="Z856" s="11"/>
    </row>
    <row r="857" ht="16.5" customHeight="1">
      <c r="A857" s="11"/>
      <c r="B857" s="11"/>
      <c r="C857" s="11"/>
      <c r="D857" s="11"/>
      <c r="E857" s="11"/>
      <c r="F857" s="11"/>
      <c r="G857" s="12"/>
      <c r="H857" s="11"/>
      <c r="I857" s="12"/>
      <c r="J857" s="12"/>
      <c r="K857" s="12"/>
      <c r="L857" s="11"/>
      <c r="M857" s="11"/>
      <c r="N857" s="11"/>
      <c r="O857" s="11"/>
      <c r="P857" s="11"/>
      <c r="Q857" s="11"/>
      <c r="R857" s="11"/>
      <c r="S857" s="11"/>
      <c r="T857" s="11"/>
      <c r="U857" s="11"/>
      <c r="V857" s="11"/>
      <c r="W857" s="11"/>
      <c r="X857" s="11"/>
      <c r="Y857" s="11"/>
      <c r="Z857" s="11"/>
    </row>
    <row r="858" ht="16.5" customHeight="1">
      <c r="A858" s="11"/>
      <c r="B858" s="11"/>
      <c r="C858" s="11"/>
      <c r="D858" s="11"/>
      <c r="E858" s="11"/>
      <c r="F858" s="11"/>
      <c r="G858" s="12"/>
      <c r="H858" s="11"/>
      <c r="I858" s="12"/>
      <c r="J858" s="12"/>
      <c r="K858" s="12"/>
      <c r="L858" s="11"/>
      <c r="M858" s="11"/>
      <c r="N858" s="11"/>
      <c r="O858" s="11"/>
      <c r="P858" s="11"/>
      <c r="Q858" s="11"/>
      <c r="R858" s="11"/>
      <c r="S858" s="11"/>
      <c r="T858" s="11"/>
      <c r="U858" s="11"/>
      <c r="V858" s="11"/>
      <c r="W858" s="11"/>
      <c r="X858" s="11"/>
      <c r="Y858" s="11"/>
      <c r="Z858" s="11"/>
    </row>
    <row r="859" ht="16.5" customHeight="1">
      <c r="A859" s="11"/>
      <c r="B859" s="11"/>
      <c r="C859" s="11"/>
      <c r="D859" s="11"/>
      <c r="E859" s="11"/>
      <c r="F859" s="11"/>
      <c r="G859" s="12"/>
      <c r="H859" s="11"/>
      <c r="I859" s="12"/>
      <c r="J859" s="12"/>
      <c r="K859" s="12"/>
      <c r="L859" s="11"/>
      <c r="M859" s="11"/>
      <c r="N859" s="11"/>
      <c r="O859" s="11"/>
      <c r="P859" s="11"/>
      <c r="Q859" s="11"/>
      <c r="R859" s="11"/>
      <c r="S859" s="11"/>
      <c r="T859" s="11"/>
      <c r="U859" s="11"/>
      <c r="V859" s="11"/>
      <c r="W859" s="11"/>
      <c r="X859" s="11"/>
      <c r="Y859" s="11"/>
      <c r="Z859" s="11"/>
    </row>
    <row r="860" ht="16.5" customHeight="1">
      <c r="A860" s="11"/>
      <c r="B860" s="11"/>
      <c r="C860" s="11"/>
      <c r="D860" s="11"/>
      <c r="E860" s="11"/>
      <c r="F860" s="11"/>
      <c r="G860" s="12"/>
      <c r="H860" s="11"/>
      <c r="I860" s="12"/>
      <c r="J860" s="12"/>
      <c r="K860" s="12"/>
      <c r="L860" s="11"/>
      <c r="M860" s="11"/>
      <c r="N860" s="11"/>
      <c r="O860" s="11"/>
      <c r="P860" s="11"/>
      <c r="Q860" s="11"/>
      <c r="R860" s="11"/>
      <c r="S860" s="11"/>
      <c r="T860" s="11"/>
      <c r="U860" s="11"/>
      <c r="V860" s="11"/>
      <c r="W860" s="11"/>
      <c r="X860" s="11"/>
      <c r="Y860" s="11"/>
      <c r="Z860" s="11"/>
    </row>
    <row r="861" ht="16.5" customHeight="1">
      <c r="A861" s="11"/>
      <c r="B861" s="11"/>
      <c r="C861" s="11"/>
      <c r="D861" s="11"/>
      <c r="E861" s="11"/>
      <c r="F861" s="11"/>
      <c r="G861" s="12"/>
      <c r="H861" s="11"/>
      <c r="I861" s="12"/>
      <c r="J861" s="12"/>
      <c r="K861" s="12"/>
      <c r="L861" s="11"/>
      <c r="M861" s="11"/>
      <c r="N861" s="11"/>
      <c r="O861" s="11"/>
      <c r="P861" s="11"/>
      <c r="Q861" s="11"/>
      <c r="R861" s="11"/>
      <c r="S861" s="11"/>
      <c r="T861" s="11"/>
      <c r="U861" s="11"/>
      <c r="V861" s="11"/>
      <c r="W861" s="11"/>
      <c r="X861" s="11"/>
      <c r="Y861" s="11"/>
      <c r="Z861" s="11"/>
    </row>
    <row r="862" ht="16.5" customHeight="1">
      <c r="A862" s="11"/>
      <c r="B862" s="11"/>
      <c r="C862" s="11"/>
      <c r="D862" s="11"/>
      <c r="E862" s="11"/>
      <c r="F862" s="11"/>
      <c r="G862" s="12"/>
      <c r="H862" s="11"/>
      <c r="I862" s="12"/>
      <c r="J862" s="12"/>
      <c r="K862" s="12"/>
      <c r="L862" s="11"/>
      <c r="M862" s="11"/>
      <c r="N862" s="11"/>
      <c r="O862" s="11"/>
      <c r="P862" s="11"/>
      <c r="Q862" s="11"/>
      <c r="R862" s="11"/>
      <c r="S862" s="11"/>
      <c r="T862" s="11"/>
      <c r="U862" s="11"/>
      <c r="V862" s="11"/>
      <c r="W862" s="11"/>
      <c r="X862" s="11"/>
      <c r="Y862" s="11"/>
      <c r="Z862" s="11"/>
    </row>
    <row r="863" ht="16.5" customHeight="1">
      <c r="A863" s="11"/>
      <c r="B863" s="11"/>
      <c r="C863" s="11"/>
      <c r="D863" s="11"/>
      <c r="E863" s="11"/>
      <c r="F863" s="11"/>
      <c r="G863" s="12"/>
      <c r="H863" s="11"/>
      <c r="I863" s="12"/>
      <c r="J863" s="12"/>
      <c r="K863" s="12"/>
      <c r="L863" s="11"/>
      <c r="M863" s="11"/>
      <c r="N863" s="11"/>
      <c r="O863" s="11"/>
      <c r="P863" s="11"/>
      <c r="Q863" s="11"/>
      <c r="R863" s="11"/>
      <c r="S863" s="11"/>
      <c r="T863" s="11"/>
      <c r="U863" s="11"/>
      <c r="V863" s="11"/>
      <c r="W863" s="11"/>
      <c r="X863" s="11"/>
      <c r="Y863" s="11"/>
      <c r="Z863" s="11"/>
    </row>
    <row r="864" ht="16.5" customHeight="1">
      <c r="A864" s="11"/>
      <c r="B864" s="11"/>
      <c r="C864" s="11"/>
      <c r="D864" s="11"/>
      <c r="E864" s="11"/>
      <c r="F864" s="11"/>
      <c r="G864" s="12"/>
      <c r="H864" s="11"/>
      <c r="I864" s="12"/>
      <c r="J864" s="12"/>
      <c r="K864" s="12"/>
      <c r="L864" s="11"/>
      <c r="M864" s="11"/>
      <c r="N864" s="11"/>
      <c r="O864" s="11"/>
      <c r="P864" s="11"/>
      <c r="Q864" s="11"/>
      <c r="R864" s="11"/>
      <c r="S864" s="11"/>
      <c r="T864" s="11"/>
      <c r="U864" s="11"/>
      <c r="V864" s="11"/>
      <c r="W864" s="11"/>
      <c r="X864" s="11"/>
      <c r="Y864" s="11"/>
      <c r="Z864" s="11"/>
    </row>
    <row r="865" ht="16.5" customHeight="1">
      <c r="A865" s="11"/>
      <c r="B865" s="11"/>
      <c r="C865" s="11"/>
      <c r="D865" s="11"/>
      <c r="E865" s="11"/>
      <c r="F865" s="11"/>
      <c r="G865" s="12"/>
      <c r="H865" s="11"/>
      <c r="I865" s="12"/>
      <c r="J865" s="12"/>
      <c r="K865" s="12"/>
      <c r="L865" s="11"/>
      <c r="M865" s="11"/>
      <c r="N865" s="11"/>
      <c r="O865" s="11"/>
      <c r="P865" s="11"/>
      <c r="Q865" s="11"/>
      <c r="R865" s="11"/>
      <c r="S865" s="11"/>
      <c r="T865" s="11"/>
      <c r="U865" s="11"/>
      <c r="V865" s="11"/>
      <c r="W865" s="11"/>
      <c r="X865" s="11"/>
      <c r="Y865" s="11"/>
      <c r="Z865" s="11"/>
    </row>
    <row r="866" ht="16.5" customHeight="1">
      <c r="A866" s="11"/>
      <c r="B866" s="11"/>
      <c r="C866" s="11"/>
      <c r="D866" s="11"/>
      <c r="E866" s="11"/>
      <c r="F866" s="11"/>
      <c r="G866" s="12"/>
      <c r="H866" s="11"/>
      <c r="I866" s="12"/>
      <c r="J866" s="12"/>
      <c r="K866" s="12"/>
      <c r="L866" s="11"/>
      <c r="M866" s="11"/>
      <c r="N866" s="11"/>
      <c r="O866" s="11"/>
      <c r="P866" s="11"/>
      <c r="Q866" s="11"/>
      <c r="R866" s="11"/>
      <c r="S866" s="11"/>
      <c r="T866" s="11"/>
      <c r="U866" s="11"/>
      <c r="V866" s="11"/>
      <c r="W866" s="11"/>
      <c r="X866" s="11"/>
      <c r="Y866" s="11"/>
      <c r="Z866" s="11"/>
    </row>
    <row r="867" ht="16.5" customHeight="1">
      <c r="A867" s="11"/>
      <c r="B867" s="11"/>
      <c r="C867" s="11"/>
      <c r="D867" s="11"/>
      <c r="E867" s="11"/>
      <c r="F867" s="11"/>
      <c r="G867" s="12"/>
      <c r="H867" s="11"/>
      <c r="I867" s="12"/>
      <c r="J867" s="12"/>
      <c r="K867" s="12"/>
      <c r="L867" s="11"/>
      <c r="M867" s="11"/>
      <c r="N867" s="11"/>
      <c r="O867" s="11"/>
      <c r="P867" s="11"/>
      <c r="Q867" s="11"/>
      <c r="R867" s="11"/>
      <c r="S867" s="11"/>
      <c r="T867" s="11"/>
      <c r="U867" s="11"/>
      <c r="V867" s="11"/>
      <c r="W867" s="11"/>
      <c r="X867" s="11"/>
      <c r="Y867" s="11"/>
      <c r="Z867" s="11"/>
    </row>
    <row r="868" ht="16.5" customHeight="1">
      <c r="A868" s="11"/>
      <c r="B868" s="11"/>
      <c r="C868" s="11"/>
      <c r="D868" s="11"/>
      <c r="E868" s="11"/>
      <c r="F868" s="11"/>
      <c r="G868" s="12"/>
      <c r="H868" s="11"/>
      <c r="I868" s="12"/>
      <c r="J868" s="12"/>
      <c r="K868" s="12"/>
      <c r="L868" s="11"/>
      <c r="M868" s="11"/>
      <c r="N868" s="11"/>
      <c r="O868" s="11"/>
      <c r="P868" s="11"/>
      <c r="Q868" s="11"/>
      <c r="R868" s="11"/>
      <c r="S868" s="11"/>
      <c r="T868" s="11"/>
      <c r="U868" s="11"/>
      <c r="V868" s="11"/>
      <c r="W868" s="11"/>
      <c r="X868" s="11"/>
      <c r="Y868" s="11"/>
      <c r="Z868" s="11"/>
    </row>
    <row r="869" ht="16.5" customHeight="1">
      <c r="A869" s="11"/>
      <c r="B869" s="11"/>
      <c r="C869" s="11"/>
      <c r="D869" s="11"/>
      <c r="E869" s="11"/>
      <c r="F869" s="11"/>
      <c r="G869" s="12"/>
      <c r="H869" s="11"/>
      <c r="I869" s="12"/>
      <c r="J869" s="12"/>
      <c r="K869" s="12"/>
      <c r="L869" s="11"/>
      <c r="M869" s="11"/>
      <c r="N869" s="11"/>
      <c r="O869" s="11"/>
      <c r="P869" s="11"/>
      <c r="Q869" s="11"/>
      <c r="R869" s="11"/>
      <c r="S869" s="11"/>
      <c r="T869" s="11"/>
      <c r="U869" s="11"/>
      <c r="V869" s="11"/>
      <c r="W869" s="11"/>
      <c r="X869" s="11"/>
      <c r="Y869" s="11"/>
      <c r="Z869" s="11"/>
    </row>
    <row r="870" ht="16.5" customHeight="1">
      <c r="A870" s="11"/>
      <c r="B870" s="11"/>
      <c r="C870" s="11"/>
      <c r="D870" s="11"/>
      <c r="E870" s="11"/>
      <c r="F870" s="11"/>
      <c r="G870" s="12"/>
      <c r="H870" s="11"/>
      <c r="I870" s="12"/>
      <c r="J870" s="12"/>
      <c r="K870" s="12"/>
      <c r="L870" s="11"/>
      <c r="M870" s="11"/>
      <c r="N870" s="11"/>
      <c r="O870" s="11"/>
      <c r="P870" s="11"/>
      <c r="Q870" s="11"/>
      <c r="R870" s="11"/>
      <c r="S870" s="11"/>
      <c r="T870" s="11"/>
      <c r="U870" s="11"/>
      <c r="V870" s="11"/>
      <c r="W870" s="11"/>
      <c r="X870" s="11"/>
      <c r="Y870" s="11"/>
      <c r="Z870" s="11"/>
    </row>
    <row r="871" ht="16.5" customHeight="1">
      <c r="A871" s="11"/>
      <c r="B871" s="11"/>
      <c r="C871" s="11"/>
      <c r="D871" s="11"/>
      <c r="E871" s="11"/>
      <c r="F871" s="11"/>
      <c r="G871" s="12"/>
      <c r="H871" s="11"/>
      <c r="I871" s="12"/>
      <c r="J871" s="12"/>
      <c r="K871" s="12"/>
      <c r="L871" s="11"/>
      <c r="M871" s="11"/>
      <c r="N871" s="11"/>
      <c r="O871" s="11"/>
      <c r="P871" s="11"/>
      <c r="Q871" s="11"/>
      <c r="R871" s="11"/>
      <c r="S871" s="11"/>
      <c r="T871" s="11"/>
      <c r="U871" s="11"/>
      <c r="V871" s="11"/>
      <c r="W871" s="11"/>
      <c r="X871" s="11"/>
      <c r="Y871" s="11"/>
      <c r="Z871" s="11"/>
    </row>
    <row r="872" ht="16.5" customHeight="1">
      <c r="A872" s="11"/>
      <c r="B872" s="11"/>
      <c r="C872" s="11"/>
      <c r="D872" s="11"/>
      <c r="E872" s="11"/>
      <c r="F872" s="11"/>
      <c r="G872" s="12"/>
      <c r="H872" s="11"/>
      <c r="I872" s="12"/>
      <c r="J872" s="12"/>
      <c r="K872" s="12"/>
      <c r="L872" s="11"/>
      <c r="M872" s="11"/>
      <c r="N872" s="11"/>
      <c r="O872" s="11"/>
      <c r="P872" s="11"/>
      <c r="Q872" s="11"/>
      <c r="R872" s="11"/>
      <c r="S872" s="11"/>
      <c r="T872" s="11"/>
      <c r="U872" s="11"/>
      <c r="V872" s="11"/>
      <c r="W872" s="11"/>
      <c r="X872" s="11"/>
      <c r="Y872" s="11"/>
      <c r="Z872" s="11"/>
    </row>
    <row r="873" ht="16.5" customHeight="1">
      <c r="A873" s="11"/>
      <c r="B873" s="11"/>
      <c r="C873" s="11"/>
      <c r="D873" s="11"/>
      <c r="E873" s="11"/>
      <c r="F873" s="11"/>
      <c r="G873" s="12"/>
      <c r="H873" s="11"/>
      <c r="I873" s="12"/>
      <c r="J873" s="12"/>
      <c r="K873" s="12"/>
      <c r="L873" s="11"/>
      <c r="M873" s="11"/>
      <c r="N873" s="11"/>
      <c r="O873" s="11"/>
      <c r="P873" s="11"/>
      <c r="Q873" s="11"/>
      <c r="R873" s="11"/>
      <c r="S873" s="11"/>
      <c r="T873" s="11"/>
      <c r="U873" s="11"/>
      <c r="V873" s="11"/>
      <c r="W873" s="11"/>
      <c r="X873" s="11"/>
      <c r="Y873" s="11"/>
      <c r="Z873" s="11"/>
    </row>
    <row r="874" ht="16.5" customHeight="1">
      <c r="A874" s="11"/>
      <c r="B874" s="11"/>
      <c r="C874" s="11"/>
      <c r="D874" s="11"/>
      <c r="E874" s="11"/>
      <c r="F874" s="11"/>
      <c r="G874" s="12"/>
      <c r="H874" s="11"/>
      <c r="I874" s="12"/>
      <c r="J874" s="12"/>
      <c r="K874" s="12"/>
      <c r="L874" s="11"/>
      <c r="M874" s="11"/>
      <c r="N874" s="11"/>
      <c r="O874" s="11"/>
      <c r="P874" s="11"/>
      <c r="Q874" s="11"/>
      <c r="R874" s="11"/>
      <c r="S874" s="11"/>
      <c r="T874" s="11"/>
      <c r="U874" s="11"/>
      <c r="V874" s="11"/>
      <c r="W874" s="11"/>
      <c r="X874" s="11"/>
      <c r="Y874" s="11"/>
      <c r="Z874" s="11"/>
    </row>
    <row r="875" ht="16.5" customHeight="1">
      <c r="A875" s="11"/>
      <c r="B875" s="11"/>
      <c r="C875" s="11"/>
      <c r="D875" s="11"/>
      <c r="E875" s="11"/>
      <c r="F875" s="11"/>
      <c r="G875" s="12"/>
      <c r="H875" s="11"/>
      <c r="I875" s="12"/>
      <c r="J875" s="12"/>
      <c r="K875" s="12"/>
      <c r="L875" s="11"/>
      <c r="M875" s="11"/>
      <c r="N875" s="11"/>
      <c r="O875" s="11"/>
      <c r="P875" s="11"/>
      <c r="Q875" s="11"/>
      <c r="R875" s="11"/>
      <c r="S875" s="11"/>
      <c r="T875" s="11"/>
      <c r="U875" s="11"/>
      <c r="V875" s="11"/>
      <c r="W875" s="11"/>
      <c r="X875" s="11"/>
      <c r="Y875" s="11"/>
      <c r="Z875" s="11"/>
    </row>
    <row r="876" ht="16.5" customHeight="1">
      <c r="A876" s="11"/>
      <c r="B876" s="11"/>
      <c r="C876" s="11"/>
      <c r="D876" s="11"/>
      <c r="E876" s="11"/>
      <c r="F876" s="11"/>
      <c r="G876" s="12"/>
      <c r="H876" s="11"/>
      <c r="I876" s="12"/>
      <c r="J876" s="12"/>
      <c r="K876" s="12"/>
      <c r="L876" s="11"/>
      <c r="M876" s="11"/>
      <c r="N876" s="11"/>
      <c r="O876" s="11"/>
      <c r="P876" s="11"/>
      <c r="Q876" s="11"/>
      <c r="R876" s="11"/>
      <c r="S876" s="11"/>
      <c r="T876" s="11"/>
      <c r="U876" s="11"/>
      <c r="V876" s="11"/>
      <c r="W876" s="11"/>
      <c r="X876" s="11"/>
      <c r="Y876" s="11"/>
      <c r="Z876" s="11"/>
    </row>
    <row r="877" ht="16.5" customHeight="1">
      <c r="A877" s="11"/>
      <c r="B877" s="11"/>
      <c r="C877" s="11"/>
      <c r="D877" s="11"/>
      <c r="E877" s="11"/>
      <c r="F877" s="11"/>
      <c r="G877" s="12"/>
      <c r="H877" s="11"/>
      <c r="I877" s="12"/>
      <c r="J877" s="12"/>
      <c r="K877" s="12"/>
      <c r="L877" s="11"/>
      <c r="M877" s="11"/>
      <c r="N877" s="11"/>
      <c r="O877" s="11"/>
      <c r="P877" s="11"/>
      <c r="Q877" s="11"/>
      <c r="R877" s="11"/>
      <c r="S877" s="11"/>
      <c r="T877" s="11"/>
      <c r="U877" s="11"/>
      <c r="V877" s="11"/>
      <c r="W877" s="11"/>
      <c r="X877" s="11"/>
      <c r="Y877" s="11"/>
      <c r="Z877" s="11"/>
    </row>
    <row r="878" ht="16.5" customHeight="1">
      <c r="A878" s="11"/>
      <c r="B878" s="11"/>
      <c r="C878" s="11"/>
      <c r="D878" s="11"/>
      <c r="E878" s="11"/>
      <c r="F878" s="11"/>
      <c r="G878" s="12"/>
      <c r="H878" s="11"/>
      <c r="I878" s="12"/>
      <c r="J878" s="12"/>
      <c r="K878" s="12"/>
      <c r="L878" s="11"/>
      <c r="M878" s="11"/>
      <c r="N878" s="11"/>
      <c r="O878" s="11"/>
      <c r="P878" s="11"/>
      <c r="Q878" s="11"/>
      <c r="R878" s="11"/>
      <c r="S878" s="11"/>
      <c r="T878" s="11"/>
      <c r="U878" s="11"/>
      <c r="V878" s="11"/>
      <c r="W878" s="11"/>
      <c r="X878" s="11"/>
      <c r="Y878" s="11"/>
      <c r="Z878" s="11"/>
    </row>
    <row r="879" ht="16.5" customHeight="1">
      <c r="A879" s="11"/>
      <c r="B879" s="11"/>
      <c r="C879" s="11"/>
      <c r="D879" s="11"/>
      <c r="E879" s="11"/>
      <c r="F879" s="11"/>
      <c r="G879" s="12"/>
      <c r="H879" s="11"/>
      <c r="I879" s="12"/>
      <c r="J879" s="12"/>
      <c r="K879" s="12"/>
      <c r="L879" s="11"/>
      <c r="M879" s="11"/>
      <c r="N879" s="11"/>
      <c r="O879" s="11"/>
      <c r="P879" s="11"/>
      <c r="Q879" s="11"/>
      <c r="R879" s="11"/>
      <c r="S879" s="11"/>
      <c r="T879" s="11"/>
      <c r="U879" s="11"/>
      <c r="V879" s="11"/>
      <c r="W879" s="11"/>
      <c r="X879" s="11"/>
      <c r="Y879" s="11"/>
      <c r="Z879" s="11"/>
    </row>
    <row r="880" ht="16.5" customHeight="1">
      <c r="A880" s="11"/>
      <c r="B880" s="11"/>
      <c r="C880" s="11"/>
      <c r="D880" s="11"/>
      <c r="E880" s="11"/>
      <c r="F880" s="11"/>
      <c r="G880" s="12"/>
      <c r="H880" s="11"/>
      <c r="I880" s="12"/>
      <c r="J880" s="12"/>
      <c r="K880" s="12"/>
      <c r="L880" s="11"/>
      <c r="M880" s="11"/>
      <c r="N880" s="11"/>
      <c r="O880" s="11"/>
      <c r="P880" s="11"/>
      <c r="Q880" s="11"/>
      <c r="R880" s="11"/>
      <c r="S880" s="11"/>
      <c r="T880" s="11"/>
      <c r="U880" s="11"/>
      <c r="V880" s="11"/>
      <c r="W880" s="11"/>
      <c r="X880" s="11"/>
      <c r="Y880" s="11"/>
      <c r="Z880" s="11"/>
    </row>
    <row r="881" ht="16.5" customHeight="1">
      <c r="A881" s="11"/>
      <c r="B881" s="11"/>
      <c r="C881" s="11"/>
      <c r="D881" s="11"/>
      <c r="E881" s="11"/>
      <c r="F881" s="11"/>
      <c r="G881" s="12"/>
      <c r="H881" s="11"/>
      <c r="I881" s="12"/>
      <c r="J881" s="12"/>
      <c r="K881" s="12"/>
      <c r="L881" s="11"/>
      <c r="M881" s="11"/>
      <c r="N881" s="11"/>
      <c r="O881" s="11"/>
      <c r="P881" s="11"/>
      <c r="Q881" s="11"/>
      <c r="R881" s="11"/>
      <c r="S881" s="11"/>
      <c r="T881" s="11"/>
      <c r="U881" s="11"/>
      <c r="V881" s="11"/>
      <c r="W881" s="11"/>
      <c r="X881" s="11"/>
      <c r="Y881" s="11"/>
      <c r="Z881" s="11"/>
    </row>
    <row r="882" ht="16.5" customHeight="1">
      <c r="A882" s="11"/>
      <c r="B882" s="11"/>
      <c r="C882" s="11"/>
      <c r="D882" s="11"/>
      <c r="E882" s="11"/>
      <c r="F882" s="11"/>
      <c r="G882" s="12"/>
      <c r="H882" s="11"/>
      <c r="I882" s="12"/>
      <c r="J882" s="12"/>
      <c r="K882" s="12"/>
      <c r="L882" s="11"/>
      <c r="M882" s="11"/>
      <c r="N882" s="11"/>
      <c r="O882" s="11"/>
      <c r="P882" s="11"/>
      <c r="Q882" s="11"/>
      <c r="R882" s="11"/>
      <c r="S882" s="11"/>
      <c r="T882" s="11"/>
      <c r="U882" s="11"/>
      <c r="V882" s="11"/>
      <c r="W882" s="11"/>
      <c r="X882" s="11"/>
      <c r="Y882" s="11"/>
      <c r="Z882" s="11"/>
    </row>
    <row r="883" ht="16.5" customHeight="1">
      <c r="A883" s="11"/>
      <c r="B883" s="11"/>
      <c r="C883" s="11"/>
      <c r="D883" s="11"/>
      <c r="E883" s="11"/>
      <c r="F883" s="11"/>
      <c r="G883" s="12"/>
      <c r="H883" s="11"/>
      <c r="I883" s="12"/>
      <c r="J883" s="12"/>
      <c r="K883" s="12"/>
      <c r="L883" s="11"/>
      <c r="M883" s="11"/>
      <c r="N883" s="11"/>
      <c r="O883" s="11"/>
      <c r="P883" s="11"/>
      <c r="Q883" s="11"/>
      <c r="R883" s="11"/>
      <c r="S883" s="11"/>
      <c r="T883" s="11"/>
      <c r="U883" s="11"/>
      <c r="V883" s="11"/>
      <c r="W883" s="11"/>
      <c r="X883" s="11"/>
      <c r="Y883" s="11"/>
      <c r="Z883" s="11"/>
    </row>
    <row r="884" ht="16.5" customHeight="1">
      <c r="A884" s="11"/>
      <c r="B884" s="11"/>
      <c r="C884" s="11"/>
      <c r="D884" s="11"/>
      <c r="E884" s="11"/>
      <c r="F884" s="11"/>
      <c r="G884" s="12"/>
      <c r="H884" s="11"/>
      <c r="I884" s="12"/>
      <c r="J884" s="12"/>
      <c r="K884" s="12"/>
      <c r="L884" s="11"/>
      <c r="M884" s="11"/>
      <c r="N884" s="11"/>
      <c r="O884" s="11"/>
      <c r="P884" s="11"/>
      <c r="Q884" s="11"/>
      <c r="R884" s="11"/>
      <c r="S884" s="11"/>
      <c r="T884" s="11"/>
      <c r="U884" s="11"/>
      <c r="V884" s="11"/>
      <c r="W884" s="11"/>
      <c r="X884" s="11"/>
      <c r="Y884" s="11"/>
      <c r="Z884" s="11"/>
    </row>
    <row r="885" ht="16.5" customHeight="1">
      <c r="A885" s="11"/>
      <c r="B885" s="11"/>
      <c r="C885" s="11"/>
      <c r="D885" s="11"/>
      <c r="E885" s="11"/>
      <c r="F885" s="11"/>
      <c r="G885" s="12"/>
      <c r="H885" s="11"/>
      <c r="I885" s="12"/>
      <c r="J885" s="12"/>
      <c r="K885" s="12"/>
      <c r="L885" s="11"/>
      <c r="M885" s="11"/>
      <c r="N885" s="11"/>
      <c r="O885" s="11"/>
      <c r="P885" s="11"/>
      <c r="Q885" s="11"/>
      <c r="R885" s="11"/>
      <c r="S885" s="11"/>
      <c r="T885" s="11"/>
      <c r="U885" s="11"/>
      <c r="V885" s="11"/>
      <c r="W885" s="11"/>
      <c r="X885" s="11"/>
      <c r="Y885" s="11"/>
      <c r="Z885" s="11"/>
    </row>
    <row r="886" ht="16.5" customHeight="1">
      <c r="A886" s="11"/>
      <c r="B886" s="11"/>
      <c r="C886" s="11"/>
      <c r="D886" s="11"/>
      <c r="E886" s="11"/>
      <c r="F886" s="11"/>
      <c r="G886" s="12"/>
      <c r="H886" s="11"/>
      <c r="I886" s="12"/>
      <c r="J886" s="12"/>
      <c r="K886" s="12"/>
      <c r="L886" s="11"/>
      <c r="M886" s="11"/>
      <c r="N886" s="11"/>
      <c r="O886" s="11"/>
      <c r="P886" s="11"/>
      <c r="Q886" s="11"/>
      <c r="R886" s="11"/>
      <c r="S886" s="11"/>
      <c r="T886" s="11"/>
      <c r="U886" s="11"/>
      <c r="V886" s="11"/>
      <c r="W886" s="11"/>
      <c r="X886" s="11"/>
      <c r="Y886" s="11"/>
      <c r="Z886" s="11"/>
    </row>
    <row r="887" ht="16.5" customHeight="1">
      <c r="A887" s="11"/>
      <c r="B887" s="11"/>
      <c r="C887" s="11"/>
      <c r="D887" s="11"/>
      <c r="E887" s="11"/>
      <c r="F887" s="11"/>
      <c r="G887" s="12"/>
      <c r="H887" s="11"/>
      <c r="I887" s="12"/>
      <c r="J887" s="12"/>
      <c r="K887" s="12"/>
      <c r="L887" s="11"/>
      <c r="M887" s="11"/>
      <c r="N887" s="11"/>
      <c r="O887" s="11"/>
      <c r="P887" s="11"/>
      <c r="Q887" s="11"/>
      <c r="R887" s="11"/>
      <c r="S887" s="11"/>
      <c r="T887" s="11"/>
      <c r="U887" s="11"/>
      <c r="V887" s="11"/>
      <c r="W887" s="11"/>
      <c r="X887" s="11"/>
      <c r="Y887" s="11"/>
      <c r="Z887" s="11"/>
    </row>
    <row r="888" ht="16.5" customHeight="1">
      <c r="A888" s="11"/>
      <c r="B888" s="11"/>
      <c r="C888" s="11"/>
      <c r="D888" s="11"/>
      <c r="E888" s="11"/>
      <c r="F888" s="11"/>
      <c r="G888" s="12"/>
      <c r="H888" s="11"/>
      <c r="I888" s="12"/>
      <c r="J888" s="12"/>
      <c r="K888" s="12"/>
      <c r="L888" s="11"/>
      <c r="M888" s="11"/>
      <c r="N888" s="11"/>
      <c r="O888" s="11"/>
      <c r="P888" s="11"/>
      <c r="Q888" s="11"/>
      <c r="R888" s="11"/>
      <c r="S888" s="11"/>
      <c r="T888" s="11"/>
      <c r="U888" s="11"/>
      <c r="V888" s="11"/>
      <c r="W888" s="11"/>
      <c r="X888" s="11"/>
      <c r="Y888" s="11"/>
      <c r="Z888" s="11"/>
    </row>
    <row r="889" ht="16.5" customHeight="1">
      <c r="A889" s="11"/>
      <c r="B889" s="11"/>
      <c r="C889" s="11"/>
      <c r="D889" s="11"/>
      <c r="E889" s="11"/>
      <c r="F889" s="11"/>
      <c r="G889" s="12"/>
      <c r="H889" s="11"/>
      <c r="I889" s="12"/>
      <c r="J889" s="12"/>
      <c r="K889" s="12"/>
      <c r="L889" s="11"/>
      <c r="M889" s="11"/>
      <c r="N889" s="11"/>
      <c r="O889" s="11"/>
      <c r="P889" s="11"/>
      <c r="Q889" s="11"/>
      <c r="R889" s="11"/>
      <c r="S889" s="11"/>
      <c r="T889" s="11"/>
      <c r="U889" s="11"/>
      <c r="V889" s="11"/>
      <c r="W889" s="11"/>
      <c r="X889" s="11"/>
      <c r="Y889" s="11"/>
      <c r="Z889" s="11"/>
    </row>
    <row r="890" ht="16.5" customHeight="1">
      <c r="A890" s="11"/>
      <c r="B890" s="11"/>
      <c r="C890" s="11"/>
      <c r="D890" s="11"/>
      <c r="E890" s="11"/>
      <c r="F890" s="11"/>
      <c r="G890" s="12"/>
      <c r="H890" s="11"/>
      <c r="I890" s="12"/>
      <c r="J890" s="12"/>
      <c r="K890" s="12"/>
      <c r="L890" s="11"/>
      <c r="M890" s="11"/>
      <c r="N890" s="11"/>
      <c r="O890" s="11"/>
      <c r="P890" s="11"/>
      <c r="Q890" s="11"/>
      <c r="R890" s="11"/>
      <c r="S890" s="11"/>
      <c r="T890" s="11"/>
      <c r="U890" s="11"/>
      <c r="V890" s="11"/>
      <c r="W890" s="11"/>
      <c r="X890" s="11"/>
      <c r="Y890" s="11"/>
      <c r="Z890" s="11"/>
    </row>
    <row r="891" ht="16.5" customHeight="1">
      <c r="A891" s="11"/>
      <c r="B891" s="11"/>
      <c r="C891" s="11"/>
      <c r="D891" s="11"/>
      <c r="E891" s="11"/>
      <c r="F891" s="11"/>
      <c r="G891" s="12"/>
      <c r="H891" s="11"/>
      <c r="I891" s="12"/>
      <c r="J891" s="12"/>
      <c r="K891" s="12"/>
      <c r="L891" s="11"/>
      <c r="M891" s="11"/>
      <c r="N891" s="11"/>
      <c r="O891" s="11"/>
      <c r="P891" s="11"/>
      <c r="Q891" s="11"/>
      <c r="R891" s="11"/>
      <c r="S891" s="11"/>
      <c r="T891" s="11"/>
      <c r="U891" s="11"/>
      <c r="V891" s="11"/>
      <c r="W891" s="11"/>
      <c r="X891" s="11"/>
      <c r="Y891" s="11"/>
      <c r="Z891" s="11"/>
    </row>
    <row r="892" ht="16.5" customHeight="1">
      <c r="A892" s="11"/>
      <c r="B892" s="11"/>
      <c r="C892" s="11"/>
      <c r="D892" s="11"/>
      <c r="E892" s="11"/>
      <c r="F892" s="11"/>
      <c r="G892" s="12"/>
      <c r="H892" s="11"/>
      <c r="I892" s="12"/>
      <c r="J892" s="12"/>
      <c r="K892" s="12"/>
      <c r="L892" s="11"/>
      <c r="M892" s="11"/>
      <c r="N892" s="11"/>
      <c r="O892" s="11"/>
      <c r="P892" s="11"/>
      <c r="Q892" s="11"/>
      <c r="R892" s="11"/>
      <c r="S892" s="11"/>
      <c r="T892" s="11"/>
      <c r="U892" s="11"/>
      <c r="V892" s="11"/>
      <c r="W892" s="11"/>
      <c r="X892" s="11"/>
      <c r="Y892" s="11"/>
      <c r="Z892" s="11"/>
    </row>
    <row r="893" ht="16.5" customHeight="1">
      <c r="A893" s="11"/>
      <c r="B893" s="11"/>
      <c r="C893" s="11"/>
      <c r="D893" s="11"/>
      <c r="E893" s="11"/>
      <c r="F893" s="11"/>
      <c r="G893" s="12"/>
      <c r="H893" s="11"/>
      <c r="I893" s="12"/>
      <c r="J893" s="12"/>
      <c r="K893" s="12"/>
      <c r="L893" s="11"/>
      <c r="M893" s="11"/>
      <c r="N893" s="11"/>
      <c r="O893" s="11"/>
      <c r="P893" s="11"/>
      <c r="Q893" s="11"/>
      <c r="R893" s="11"/>
      <c r="S893" s="11"/>
      <c r="T893" s="11"/>
      <c r="U893" s="11"/>
      <c r="V893" s="11"/>
      <c r="W893" s="11"/>
      <c r="X893" s="11"/>
      <c r="Y893" s="11"/>
      <c r="Z893" s="11"/>
    </row>
    <row r="894" ht="16.5" customHeight="1">
      <c r="A894" s="11"/>
      <c r="B894" s="11"/>
      <c r="C894" s="11"/>
      <c r="D894" s="11"/>
      <c r="E894" s="11"/>
      <c r="F894" s="11"/>
      <c r="G894" s="12"/>
      <c r="H894" s="11"/>
      <c r="I894" s="12"/>
      <c r="J894" s="12"/>
      <c r="K894" s="12"/>
      <c r="L894" s="11"/>
      <c r="M894" s="11"/>
      <c r="N894" s="11"/>
      <c r="O894" s="11"/>
      <c r="P894" s="11"/>
      <c r="Q894" s="11"/>
      <c r="R894" s="11"/>
      <c r="S894" s="11"/>
      <c r="T894" s="11"/>
      <c r="U894" s="11"/>
      <c r="V894" s="11"/>
      <c r="W894" s="11"/>
      <c r="X894" s="11"/>
      <c r="Y894" s="11"/>
      <c r="Z894" s="11"/>
    </row>
    <row r="895" ht="16.5" customHeight="1">
      <c r="A895" s="11"/>
      <c r="B895" s="11"/>
      <c r="C895" s="11"/>
      <c r="D895" s="11"/>
      <c r="E895" s="11"/>
      <c r="F895" s="11"/>
      <c r="G895" s="12"/>
      <c r="H895" s="11"/>
      <c r="I895" s="12"/>
      <c r="J895" s="12"/>
      <c r="K895" s="12"/>
      <c r="L895" s="11"/>
      <c r="M895" s="11"/>
      <c r="N895" s="11"/>
      <c r="O895" s="11"/>
      <c r="P895" s="11"/>
      <c r="Q895" s="11"/>
      <c r="R895" s="11"/>
      <c r="S895" s="11"/>
      <c r="T895" s="11"/>
      <c r="U895" s="11"/>
      <c r="V895" s="11"/>
      <c r="W895" s="11"/>
      <c r="X895" s="11"/>
      <c r="Y895" s="11"/>
      <c r="Z895" s="11"/>
    </row>
    <row r="896" ht="16.5" customHeight="1">
      <c r="A896" s="11"/>
      <c r="B896" s="11"/>
      <c r="C896" s="11"/>
      <c r="D896" s="11"/>
      <c r="E896" s="11"/>
      <c r="F896" s="11"/>
      <c r="G896" s="12"/>
      <c r="H896" s="11"/>
      <c r="I896" s="12"/>
      <c r="J896" s="12"/>
      <c r="K896" s="12"/>
      <c r="L896" s="11"/>
      <c r="M896" s="11"/>
      <c r="N896" s="11"/>
      <c r="O896" s="11"/>
      <c r="P896" s="11"/>
      <c r="Q896" s="11"/>
      <c r="R896" s="11"/>
      <c r="S896" s="11"/>
      <c r="T896" s="11"/>
      <c r="U896" s="11"/>
      <c r="V896" s="11"/>
      <c r="W896" s="11"/>
      <c r="X896" s="11"/>
      <c r="Y896" s="11"/>
      <c r="Z896" s="11"/>
    </row>
    <row r="897" ht="16.5" customHeight="1">
      <c r="A897" s="11"/>
      <c r="B897" s="11"/>
      <c r="C897" s="11"/>
      <c r="D897" s="11"/>
      <c r="E897" s="11"/>
      <c r="F897" s="11"/>
      <c r="G897" s="12"/>
      <c r="H897" s="11"/>
      <c r="I897" s="12"/>
      <c r="J897" s="12"/>
      <c r="K897" s="12"/>
      <c r="L897" s="11"/>
      <c r="M897" s="11"/>
      <c r="N897" s="11"/>
      <c r="O897" s="11"/>
      <c r="P897" s="11"/>
      <c r="Q897" s="11"/>
      <c r="R897" s="11"/>
      <c r="S897" s="11"/>
      <c r="T897" s="11"/>
      <c r="U897" s="11"/>
      <c r="V897" s="11"/>
      <c r="W897" s="11"/>
      <c r="X897" s="11"/>
      <c r="Y897" s="11"/>
      <c r="Z897" s="11"/>
    </row>
    <row r="898" ht="16.5" customHeight="1">
      <c r="A898" s="11"/>
      <c r="B898" s="11"/>
      <c r="C898" s="11"/>
      <c r="D898" s="11"/>
      <c r="E898" s="11"/>
      <c r="F898" s="11"/>
      <c r="G898" s="12"/>
      <c r="H898" s="11"/>
      <c r="I898" s="12"/>
      <c r="J898" s="12"/>
      <c r="K898" s="12"/>
      <c r="L898" s="11"/>
      <c r="M898" s="11"/>
      <c r="N898" s="11"/>
      <c r="O898" s="11"/>
      <c r="P898" s="11"/>
      <c r="Q898" s="11"/>
      <c r="R898" s="11"/>
      <c r="S898" s="11"/>
      <c r="T898" s="11"/>
      <c r="U898" s="11"/>
      <c r="V898" s="11"/>
      <c r="W898" s="11"/>
      <c r="X898" s="11"/>
      <c r="Y898" s="11"/>
      <c r="Z898" s="11"/>
    </row>
    <row r="899" ht="16.5" customHeight="1">
      <c r="A899" s="11"/>
      <c r="B899" s="11"/>
      <c r="C899" s="11"/>
      <c r="D899" s="11"/>
      <c r="E899" s="11"/>
      <c r="F899" s="11"/>
      <c r="G899" s="12"/>
      <c r="H899" s="11"/>
      <c r="I899" s="12"/>
      <c r="J899" s="12"/>
      <c r="K899" s="12"/>
      <c r="L899" s="11"/>
      <c r="M899" s="11"/>
      <c r="N899" s="11"/>
      <c r="O899" s="11"/>
      <c r="P899" s="11"/>
      <c r="Q899" s="11"/>
      <c r="R899" s="11"/>
      <c r="S899" s="11"/>
      <c r="T899" s="11"/>
      <c r="U899" s="11"/>
      <c r="V899" s="11"/>
      <c r="W899" s="11"/>
      <c r="X899" s="11"/>
      <c r="Y899" s="11"/>
      <c r="Z899" s="11"/>
    </row>
    <row r="900" ht="16.5" customHeight="1">
      <c r="A900" s="11"/>
      <c r="B900" s="11"/>
      <c r="C900" s="11"/>
      <c r="D900" s="11"/>
      <c r="E900" s="11"/>
      <c r="F900" s="11"/>
      <c r="G900" s="12"/>
      <c r="H900" s="11"/>
      <c r="I900" s="12"/>
      <c r="J900" s="12"/>
      <c r="K900" s="12"/>
      <c r="L900" s="11"/>
      <c r="M900" s="11"/>
      <c r="N900" s="11"/>
      <c r="O900" s="11"/>
      <c r="P900" s="11"/>
      <c r="Q900" s="11"/>
      <c r="R900" s="11"/>
      <c r="S900" s="11"/>
      <c r="T900" s="11"/>
      <c r="U900" s="11"/>
      <c r="V900" s="11"/>
      <c r="W900" s="11"/>
      <c r="X900" s="11"/>
      <c r="Y900" s="11"/>
      <c r="Z900" s="11"/>
    </row>
    <row r="901" ht="16.5" customHeight="1">
      <c r="A901" s="11"/>
      <c r="B901" s="11"/>
      <c r="C901" s="11"/>
      <c r="D901" s="11"/>
      <c r="E901" s="11"/>
      <c r="F901" s="11"/>
      <c r="G901" s="12"/>
      <c r="H901" s="11"/>
      <c r="I901" s="12"/>
      <c r="J901" s="12"/>
      <c r="K901" s="12"/>
      <c r="L901" s="11"/>
      <c r="M901" s="11"/>
      <c r="N901" s="11"/>
      <c r="O901" s="11"/>
      <c r="P901" s="11"/>
      <c r="Q901" s="11"/>
      <c r="R901" s="11"/>
      <c r="S901" s="11"/>
      <c r="T901" s="11"/>
      <c r="U901" s="11"/>
      <c r="V901" s="11"/>
      <c r="W901" s="11"/>
      <c r="X901" s="11"/>
      <c r="Y901" s="11"/>
      <c r="Z901" s="11"/>
    </row>
    <row r="902" ht="16.5" customHeight="1">
      <c r="A902" s="11"/>
      <c r="B902" s="11"/>
      <c r="C902" s="11"/>
      <c r="D902" s="11"/>
      <c r="E902" s="11"/>
      <c r="F902" s="11"/>
      <c r="G902" s="12"/>
      <c r="H902" s="11"/>
      <c r="I902" s="12"/>
      <c r="J902" s="12"/>
      <c r="K902" s="12"/>
      <c r="L902" s="11"/>
      <c r="M902" s="11"/>
      <c r="N902" s="11"/>
      <c r="O902" s="11"/>
      <c r="P902" s="11"/>
      <c r="Q902" s="11"/>
      <c r="R902" s="11"/>
      <c r="S902" s="11"/>
      <c r="T902" s="11"/>
      <c r="U902" s="11"/>
      <c r="V902" s="11"/>
      <c r="W902" s="11"/>
      <c r="X902" s="11"/>
      <c r="Y902" s="11"/>
      <c r="Z902" s="11"/>
    </row>
    <row r="903" ht="16.5" customHeight="1">
      <c r="A903" s="11"/>
      <c r="B903" s="11"/>
      <c r="C903" s="11"/>
      <c r="D903" s="11"/>
      <c r="E903" s="11"/>
      <c r="F903" s="11"/>
      <c r="G903" s="12"/>
      <c r="H903" s="11"/>
      <c r="I903" s="12"/>
      <c r="J903" s="12"/>
      <c r="K903" s="12"/>
      <c r="L903" s="11"/>
      <c r="M903" s="11"/>
      <c r="N903" s="11"/>
      <c r="O903" s="11"/>
      <c r="P903" s="11"/>
      <c r="Q903" s="11"/>
      <c r="R903" s="11"/>
      <c r="S903" s="11"/>
      <c r="T903" s="11"/>
      <c r="U903" s="11"/>
      <c r="V903" s="11"/>
      <c r="W903" s="11"/>
      <c r="X903" s="11"/>
      <c r="Y903" s="11"/>
      <c r="Z903" s="11"/>
    </row>
    <row r="904" ht="16.5" customHeight="1">
      <c r="A904" s="11"/>
      <c r="B904" s="11"/>
      <c r="C904" s="11"/>
      <c r="D904" s="11"/>
      <c r="E904" s="11"/>
      <c r="F904" s="11"/>
      <c r="G904" s="12"/>
      <c r="H904" s="11"/>
      <c r="I904" s="12"/>
      <c r="J904" s="12"/>
      <c r="K904" s="12"/>
      <c r="L904" s="11"/>
      <c r="M904" s="11"/>
      <c r="N904" s="11"/>
      <c r="O904" s="11"/>
      <c r="P904" s="11"/>
      <c r="Q904" s="11"/>
      <c r="R904" s="11"/>
      <c r="S904" s="11"/>
      <c r="T904" s="11"/>
      <c r="U904" s="11"/>
      <c r="V904" s="11"/>
      <c r="W904" s="11"/>
      <c r="X904" s="11"/>
      <c r="Y904" s="11"/>
      <c r="Z904" s="11"/>
    </row>
    <row r="905" ht="16.5" customHeight="1">
      <c r="A905" s="11"/>
      <c r="B905" s="11"/>
      <c r="C905" s="11"/>
      <c r="D905" s="11"/>
      <c r="E905" s="11"/>
      <c r="F905" s="11"/>
      <c r="G905" s="12"/>
      <c r="H905" s="11"/>
      <c r="I905" s="12"/>
      <c r="J905" s="12"/>
      <c r="K905" s="12"/>
      <c r="L905" s="11"/>
      <c r="M905" s="11"/>
      <c r="N905" s="11"/>
      <c r="O905" s="11"/>
      <c r="P905" s="11"/>
      <c r="Q905" s="11"/>
      <c r="R905" s="11"/>
      <c r="S905" s="11"/>
      <c r="T905" s="11"/>
      <c r="U905" s="11"/>
      <c r="V905" s="11"/>
      <c r="W905" s="11"/>
      <c r="X905" s="11"/>
      <c r="Y905" s="11"/>
      <c r="Z905" s="11"/>
    </row>
    <row r="906" ht="16.5" customHeight="1">
      <c r="A906" s="11"/>
      <c r="B906" s="11"/>
      <c r="C906" s="11"/>
      <c r="D906" s="11"/>
      <c r="E906" s="11"/>
      <c r="F906" s="11"/>
      <c r="G906" s="12"/>
      <c r="H906" s="11"/>
      <c r="I906" s="12"/>
      <c r="J906" s="12"/>
      <c r="K906" s="12"/>
      <c r="L906" s="11"/>
      <c r="M906" s="11"/>
      <c r="N906" s="11"/>
      <c r="O906" s="11"/>
      <c r="P906" s="11"/>
      <c r="Q906" s="11"/>
      <c r="R906" s="11"/>
      <c r="S906" s="11"/>
      <c r="T906" s="11"/>
      <c r="U906" s="11"/>
      <c r="V906" s="11"/>
      <c r="W906" s="11"/>
      <c r="X906" s="11"/>
      <c r="Y906" s="11"/>
      <c r="Z906" s="11"/>
    </row>
    <row r="907" ht="16.5" customHeight="1">
      <c r="A907" s="11"/>
      <c r="B907" s="11"/>
      <c r="C907" s="11"/>
      <c r="D907" s="11"/>
      <c r="E907" s="11"/>
      <c r="F907" s="11"/>
      <c r="G907" s="12"/>
      <c r="H907" s="11"/>
      <c r="I907" s="12"/>
      <c r="J907" s="12"/>
      <c r="K907" s="12"/>
      <c r="L907" s="11"/>
      <c r="M907" s="11"/>
      <c r="N907" s="11"/>
      <c r="O907" s="11"/>
      <c r="P907" s="11"/>
      <c r="Q907" s="11"/>
      <c r="R907" s="11"/>
      <c r="S907" s="11"/>
      <c r="T907" s="11"/>
      <c r="U907" s="11"/>
      <c r="V907" s="11"/>
      <c r="W907" s="11"/>
      <c r="X907" s="11"/>
      <c r="Y907" s="11"/>
      <c r="Z907" s="11"/>
    </row>
    <row r="908" ht="16.5" customHeight="1">
      <c r="A908" s="11"/>
      <c r="B908" s="11"/>
      <c r="C908" s="11"/>
      <c r="D908" s="11"/>
      <c r="E908" s="11"/>
      <c r="F908" s="11"/>
      <c r="G908" s="12"/>
      <c r="H908" s="11"/>
      <c r="I908" s="12"/>
      <c r="J908" s="12"/>
      <c r="K908" s="12"/>
      <c r="L908" s="11"/>
      <c r="M908" s="11"/>
      <c r="N908" s="11"/>
      <c r="O908" s="11"/>
      <c r="P908" s="11"/>
      <c r="Q908" s="11"/>
      <c r="R908" s="11"/>
      <c r="S908" s="11"/>
      <c r="T908" s="11"/>
      <c r="U908" s="11"/>
      <c r="V908" s="11"/>
      <c r="W908" s="11"/>
      <c r="X908" s="11"/>
      <c r="Y908" s="11"/>
      <c r="Z908" s="11"/>
    </row>
    <row r="909" ht="16.5" customHeight="1">
      <c r="A909" s="11"/>
      <c r="B909" s="11"/>
      <c r="C909" s="11"/>
      <c r="D909" s="11"/>
      <c r="E909" s="11"/>
      <c r="F909" s="11"/>
      <c r="G909" s="12"/>
      <c r="H909" s="11"/>
      <c r="I909" s="12"/>
      <c r="J909" s="12"/>
      <c r="K909" s="12"/>
      <c r="L909" s="11"/>
      <c r="M909" s="11"/>
      <c r="N909" s="11"/>
      <c r="O909" s="11"/>
      <c r="P909" s="11"/>
      <c r="Q909" s="11"/>
      <c r="R909" s="11"/>
      <c r="S909" s="11"/>
      <c r="T909" s="11"/>
      <c r="U909" s="11"/>
      <c r="V909" s="11"/>
      <c r="W909" s="11"/>
      <c r="X909" s="11"/>
      <c r="Y909" s="11"/>
      <c r="Z909" s="11"/>
    </row>
    <row r="910" ht="16.5" customHeight="1">
      <c r="A910" s="11"/>
      <c r="B910" s="11"/>
      <c r="C910" s="11"/>
      <c r="D910" s="11"/>
      <c r="E910" s="11"/>
      <c r="F910" s="11"/>
      <c r="G910" s="12"/>
      <c r="H910" s="11"/>
      <c r="I910" s="12"/>
      <c r="J910" s="12"/>
      <c r="K910" s="12"/>
      <c r="L910" s="11"/>
      <c r="M910" s="11"/>
      <c r="N910" s="11"/>
      <c r="O910" s="11"/>
      <c r="P910" s="11"/>
      <c r="Q910" s="11"/>
      <c r="R910" s="11"/>
      <c r="S910" s="11"/>
      <c r="T910" s="11"/>
      <c r="U910" s="11"/>
      <c r="V910" s="11"/>
      <c r="W910" s="11"/>
      <c r="X910" s="11"/>
      <c r="Y910" s="11"/>
      <c r="Z910" s="11"/>
    </row>
    <row r="911" ht="16.5" customHeight="1">
      <c r="A911" s="11"/>
      <c r="B911" s="11"/>
      <c r="C911" s="11"/>
      <c r="D911" s="11"/>
      <c r="E911" s="11"/>
      <c r="F911" s="11"/>
      <c r="G911" s="12"/>
      <c r="H911" s="11"/>
      <c r="I911" s="12"/>
      <c r="J911" s="12"/>
      <c r="K911" s="12"/>
      <c r="L911" s="11"/>
      <c r="M911" s="11"/>
      <c r="N911" s="11"/>
      <c r="O911" s="11"/>
      <c r="P911" s="11"/>
      <c r="Q911" s="11"/>
      <c r="R911" s="11"/>
      <c r="S911" s="11"/>
      <c r="T911" s="11"/>
      <c r="U911" s="11"/>
      <c r="V911" s="11"/>
      <c r="W911" s="11"/>
      <c r="X911" s="11"/>
      <c r="Y911" s="11"/>
      <c r="Z911" s="11"/>
    </row>
    <row r="912" ht="16.5" customHeight="1">
      <c r="A912" s="11"/>
      <c r="B912" s="11"/>
      <c r="C912" s="11"/>
      <c r="D912" s="11"/>
      <c r="E912" s="11"/>
      <c r="F912" s="11"/>
      <c r="G912" s="12"/>
      <c r="H912" s="11"/>
      <c r="I912" s="12"/>
      <c r="J912" s="12"/>
      <c r="K912" s="12"/>
      <c r="L912" s="11"/>
      <c r="M912" s="11"/>
      <c r="N912" s="11"/>
      <c r="O912" s="11"/>
      <c r="P912" s="11"/>
      <c r="Q912" s="11"/>
      <c r="R912" s="11"/>
      <c r="S912" s="11"/>
      <c r="T912" s="11"/>
      <c r="U912" s="11"/>
      <c r="V912" s="11"/>
      <c r="W912" s="11"/>
      <c r="X912" s="11"/>
      <c r="Y912" s="11"/>
      <c r="Z912" s="11"/>
    </row>
    <row r="913" ht="16.5" customHeight="1">
      <c r="A913" s="11"/>
      <c r="B913" s="11"/>
      <c r="C913" s="11"/>
      <c r="D913" s="11"/>
      <c r="E913" s="11"/>
      <c r="F913" s="11"/>
      <c r="G913" s="12"/>
      <c r="H913" s="11"/>
      <c r="I913" s="12"/>
      <c r="J913" s="12"/>
      <c r="K913" s="12"/>
      <c r="L913" s="11"/>
      <c r="M913" s="11"/>
      <c r="N913" s="11"/>
      <c r="O913" s="11"/>
      <c r="P913" s="11"/>
      <c r="Q913" s="11"/>
      <c r="R913" s="11"/>
      <c r="S913" s="11"/>
      <c r="T913" s="11"/>
      <c r="U913" s="11"/>
      <c r="V913" s="11"/>
      <c r="W913" s="11"/>
      <c r="X913" s="11"/>
      <c r="Y913" s="11"/>
      <c r="Z913" s="11"/>
    </row>
    <row r="914" ht="16.5" customHeight="1">
      <c r="A914" s="11"/>
      <c r="B914" s="11"/>
      <c r="C914" s="11"/>
      <c r="D914" s="11"/>
      <c r="E914" s="11"/>
      <c r="F914" s="11"/>
      <c r="G914" s="12"/>
      <c r="H914" s="11"/>
      <c r="I914" s="12"/>
      <c r="J914" s="12"/>
      <c r="K914" s="12"/>
      <c r="L914" s="11"/>
      <c r="M914" s="11"/>
      <c r="N914" s="11"/>
      <c r="O914" s="11"/>
      <c r="P914" s="11"/>
      <c r="Q914" s="11"/>
      <c r="R914" s="11"/>
      <c r="S914" s="11"/>
      <c r="T914" s="11"/>
      <c r="U914" s="11"/>
      <c r="V914" s="11"/>
      <c r="W914" s="11"/>
      <c r="X914" s="11"/>
      <c r="Y914" s="11"/>
      <c r="Z914" s="11"/>
    </row>
    <row r="915" ht="16.5" customHeight="1">
      <c r="A915" s="11"/>
      <c r="B915" s="11"/>
      <c r="C915" s="11"/>
      <c r="D915" s="11"/>
      <c r="E915" s="11"/>
      <c r="F915" s="11"/>
      <c r="G915" s="12"/>
      <c r="H915" s="11"/>
      <c r="I915" s="12"/>
      <c r="J915" s="12"/>
      <c r="K915" s="12"/>
      <c r="L915" s="11"/>
      <c r="M915" s="11"/>
      <c r="N915" s="11"/>
      <c r="O915" s="11"/>
      <c r="P915" s="11"/>
      <c r="Q915" s="11"/>
      <c r="R915" s="11"/>
      <c r="S915" s="11"/>
      <c r="T915" s="11"/>
      <c r="U915" s="11"/>
      <c r="V915" s="11"/>
      <c r="W915" s="11"/>
      <c r="X915" s="11"/>
      <c r="Y915" s="11"/>
      <c r="Z915" s="11"/>
    </row>
    <row r="916" ht="16.5" customHeight="1">
      <c r="A916" s="11"/>
      <c r="B916" s="11"/>
      <c r="C916" s="11"/>
      <c r="D916" s="11"/>
      <c r="E916" s="11"/>
      <c r="F916" s="11"/>
      <c r="G916" s="12"/>
      <c r="H916" s="11"/>
      <c r="I916" s="12"/>
      <c r="J916" s="12"/>
      <c r="K916" s="12"/>
      <c r="L916" s="11"/>
      <c r="M916" s="11"/>
      <c r="N916" s="11"/>
      <c r="O916" s="11"/>
      <c r="P916" s="11"/>
      <c r="Q916" s="11"/>
      <c r="R916" s="11"/>
      <c r="S916" s="11"/>
      <c r="T916" s="11"/>
      <c r="U916" s="11"/>
      <c r="V916" s="11"/>
      <c r="W916" s="11"/>
      <c r="X916" s="11"/>
      <c r="Y916" s="11"/>
      <c r="Z916" s="11"/>
    </row>
    <row r="917" ht="16.5" customHeight="1">
      <c r="A917" s="11"/>
      <c r="B917" s="11"/>
      <c r="C917" s="11"/>
      <c r="D917" s="11"/>
      <c r="E917" s="11"/>
      <c r="F917" s="11"/>
      <c r="G917" s="12"/>
      <c r="H917" s="11"/>
      <c r="I917" s="12"/>
      <c r="J917" s="12"/>
      <c r="K917" s="12"/>
      <c r="L917" s="11"/>
      <c r="M917" s="11"/>
      <c r="N917" s="11"/>
      <c r="O917" s="11"/>
      <c r="P917" s="11"/>
      <c r="Q917" s="11"/>
      <c r="R917" s="11"/>
      <c r="S917" s="11"/>
      <c r="T917" s="11"/>
      <c r="U917" s="11"/>
      <c r="V917" s="11"/>
      <c r="W917" s="11"/>
      <c r="X917" s="11"/>
      <c r="Y917" s="11"/>
      <c r="Z917" s="11"/>
    </row>
    <row r="918" ht="16.5" customHeight="1">
      <c r="A918" s="11"/>
      <c r="B918" s="11"/>
      <c r="C918" s="11"/>
      <c r="D918" s="11"/>
      <c r="E918" s="11"/>
      <c r="F918" s="11"/>
      <c r="G918" s="12"/>
      <c r="H918" s="11"/>
      <c r="I918" s="12"/>
      <c r="J918" s="12"/>
      <c r="K918" s="12"/>
      <c r="L918" s="11"/>
      <c r="M918" s="11"/>
      <c r="N918" s="11"/>
      <c r="O918" s="11"/>
      <c r="P918" s="11"/>
      <c r="Q918" s="11"/>
      <c r="R918" s="11"/>
      <c r="S918" s="11"/>
      <c r="T918" s="11"/>
      <c r="U918" s="11"/>
      <c r="V918" s="11"/>
      <c r="W918" s="11"/>
      <c r="X918" s="11"/>
      <c r="Y918" s="11"/>
      <c r="Z918" s="11"/>
    </row>
    <row r="919" ht="16.5" customHeight="1">
      <c r="A919" s="11"/>
      <c r="B919" s="11"/>
      <c r="C919" s="11"/>
      <c r="D919" s="11"/>
      <c r="E919" s="11"/>
      <c r="F919" s="11"/>
      <c r="G919" s="12"/>
      <c r="H919" s="11"/>
      <c r="I919" s="12"/>
      <c r="J919" s="12"/>
      <c r="K919" s="12"/>
      <c r="L919" s="11"/>
      <c r="M919" s="11"/>
      <c r="N919" s="11"/>
      <c r="O919" s="11"/>
      <c r="P919" s="11"/>
      <c r="Q919" s="11"/>
      <c r="R919" s="11"/>
      <c r="S919" s="11"/>
      <c r="T919" s="11"/>
      <c r="U919" s="11"/>
      <c r="V919" s="11"/>
      <c r="W919" s="11"/>
      <c r="X919" s="11"/>
      <c r="Y919" s="11"/>
      <c r="Z919" s="11"/>
    </row>
    <row r="920" ht="16.5" customHeight="1">
      <c r="A920" s="11"/>
      <c r="B920" s="11"/>
      <c r="C920" s="11"/>
      <c r="D920" s="11"/>
      <c r="E920" s="11"/>
      <c r="F920" s="11"/>
      <c r="G920" s="12"/>
      <c r="H920" s="11"/>
      <c r="I920" s="12"/>
      <c r="J920" s="12"/>
      <c r="K920" s="12"/>
      <c r="L920" s="11"/>
      <c r="M920" s="11"/>
      <c r="N920" s="11"/>
      <c r="O920" s="11"/>
      <c r="P920" s="11"/>
      <c r="Q920" s="11"/>
      <c r="R920" s="11"/>
      <c r="S920" s="11"/>
      <c r="T920" s="11"/>
      <c r="U920" s="11"/>
      <c r="V920" s="11"/>
      <c r="W920" s="11"/>
      <c r="X920" s="11"/>
      <c r="Y920" s="11"/>
      <c r="Z920" s="11"/>
    </row>
    <row r="921" ht="16.5" customHeight="1">
      <c r="A921" s="11"/>
      <c r="B921" s="11"/>
      <c r="C921" s="11"/>
      <c r="D921" s="11"/>
      <c r="E921" s="11"/>
      <c r="F921" s="11"/>
      <c r="G921" s="12"/>
      <c r="H921" s="11"/>
      <c r="I921" s="12"/>
      <c r="J921" s="12"/>
      <c r="K921" s="12"/>
      <c r="L921" s="11"/>
      <c r="M921" s="11"/>
      <c r="N921" s="11"/>
      <c r="O921" s="11"/>
      <c r="P921" s="11"/>
      <c r="Q921" s="11"/>
      <c r="R921" s="11"/>
      <c r="S921" s="11"/>
      <c r="T921" s="11"/>
      <c r="U921" s="11"/>
      <c r="V921" s="11"/>
      <c r="W921" s="11"/>
      <c r="X921" s="11"/>
      <c r="Y921" s="11"/>
      <c r="Z921" s="11"/>
    </row>
    <row r="922" ht="16.5" customHeight="1">
      <c r="A922" s="11"/>
      <c r="B922" s="11"/>
      <c r="C922" s="11"/>
      <c r="D922" s="11"/>
      <c r="E922" s="11"/>
      <c r="F922" s="11"/>
      <c r="G922" s="12"/>
      <c r="H922" s="11"/>
      <c r="I922" s="12"/>
      <c r="J922" s="12"/>
      <c r="K922" s="12"/>
      <c r="L922" s="11"/>
      <c r="M922" s="11"/>
      <c r="N922" s="11"/>
      <c r="O922" s="11"/>
      <c r="P922" s="11"/>
      <c r="Q922" s="11"/>
      <c r="R922" s="11"/>
      <c r="S922" s="11"/>
      <c r="T922" s="11"/>
      <c r="U922" s="11"/>
      <c r="V922" s="11"/>
      <c r="W922" s="11"/>
      <c r="X922" s="11"/>
      <c r="Y922" s="11"/>
      <c r="Z922" s="11"/>
    </row>
    <row r="923" ht="16.5" customHeight="1">
      <c r="A923" s="11"/>
      <c r="B923" s="11"/>
      <c r="C923" s="11"/>
      <c r="D923" s="11"/>
      <c r="E923" s="11"/>
      <c r="F923" s="11"/>
      <c r="G923" s="12"/>
      <c r="H923" s="11"/>
      <c r="I923" s="12"/>
      <c r="J923" s="12"/>
      <c r="K923" s="12"/>
      <c r="L923" s="11"/>
      <c r="M923" s="11"/>
      <c r="N923" s="11"/>
      <c r="O923" s="11"/>
      <c r="P923" s="11"/>
      <c r="Q923" s="11"/>
      <c r="R923" s="11"/>
      <c r="S923" s="11"/>
      <c r="T923" s="11"/>
      <c r="U923" s="11"/>
      <c r="V923" s="11"/>
      <c r="W923" s="11"/>
      <c r="X923" s="11"/>
      <c r="Y923" s="11"/>
      <c r="Z923" s="11"/>
    </row>
    <row r="924" ht="16.5" customHeight="1">
      <c r="A924" s="11"/>
      <c r="B924" s="11"/>
      <c r="C924" s="11"/>
      <c r="D924" s="11"/>
      <c r="E924" s="11"/>
      <c r="F924" s="11"/>
      <c r="G924" s="12"/>
      <c r="H924" s="11"/>
      <c r="I924" s="12"/>
      <c r="J924" s="12"/>
      <c r="K924" s="12"/>
      <c r="L924" s="11"/>
      <c r="M924" s="11"/>
      <c r="N924" s="11"/>
      <c r="O924" s="11"/>
      <c r="P924" s="11"/>
      <c r="Q924" s="11"/>
      <c r="R924" s="11"/>
      <c r="S924" s="11"/>
      <c r="T924" s="11"/>
      <c r="U924" s="11"/>
      <c r="V924" s="11"/>
      <c r="W924" s="11"/>
      <c r="X924" s="11"/>
      <c r="Y924" s="11"/>
      <c r="Z924" s="11"/>
    </row>
    <row r="925" ht="16.5" customHeight="1">
      <c r="A925" s="11"/>
      <c r="B925" s="11"/>
      <c r="C925" s="11"/>
      <c r="D925" s="11"/>
      <c r="E925" s="11"/>
      <c r="F925" s="11"/>
      <c r="G925" s="12"/>
      <c r="H925" s="11"/>
      <c r="I925" s="12"/>
      <c r="J925" s="12"/>
      <c r="K925" s="12"/>
      <c r="L925" s="11"/>
      <c r="M925" s="11"/>
      <c r="N925" s="11"/>
      <c r="O925" s="11"/>
      <c r="P925" s="11"/>
      <c r="Q925" s="11"/>
      <c r="R925" s="11"/>
      <c r="S925" s="11"/>
      <c r="T925" s="11"/>
      <c r="U925" s="11"/>
      <c r="V925" s="11"/>
      <c r="W925" s="11"/>
      <c r="X925" s="11"/>
      <c r="Y925" s="11"/>
      <c r="Z925" s="11"/>
    </row>
    <row r="926" ht="16.5" customHeight="1">
      <c r="A926" s="11"/>
      <c r="B926" s="11"/>
      <c r="C926" s="11"/>
      <c r="D926" s="11"/>
      <c r="E926" s="11"/>
      <c r="F926" s="11"/>
      <c r="G926" s="12"/>
      <c r="H926" s="11"/>
      <c r="I926" s="12"/>
      <c r="J926" s="12"/>
      <c r="K926" s="12"/>
      <c r="L926" s="11"/>
      <c r="M926" s="11"/>
      <c r="N926" s="11"/>
      <c r="O926" s="11"/>
      <c r="P926" s="11"/>
      <c r="Q926" s="11"/>
      <c r="R926" s="11"/>
      <c r="S926" s="11"/>
      <c r="T926" s="11"/>
      <c r="U926" s="11"/>
      <c r="V926" s="11"/>
      <c r="W926" s="11"/>
      <c r="X926" s="11"/>
      <c r="Y926" s="11"/>
      <c r="Z926" s="11"/>
    </row>
    <row r="927" ht="16.5" customHeight="1">
      <c r="A927" s="11"/>
      <c r="B927" s="11"/>
      <c r="C927" s="11"/>
      <c r="D927" s="11"/>
      <c r="E927" s="11"/>
      <c r="F927" s="11"/>
      <c r="G927" s="12"/>
      <c r="H927" s="11"/>
      <c r="I927" s="12"/>
      <c r="J927" s="12"/>
      <c r="K927" s="12"/>
      <c r="L927" s="11"/>
      <c r="M927" s="11"/>
      <c r="N927" s="11"/>
      <c r="O927" s="11"/>
      <c r="P927" s="11"/>
      <c r="Q927" s="11"/>
      <c r="R927" s="11"/>
      <c r="S927" s="11"/>
      <c r="T927" s="11"/>
      <c r="U927" s="11"/>
      <c r="V927" s="11"/>
      <c r="W927" s="11"/>
      <c r="X927" s="11"/>
      <c r="Y927" s="11"/>
      <c r="Z927" s="11"/>
    </row>
    <row r="928" ht="16.5" customHeight="1">
      <c r="A928" s="11"/>
      <c r="B928" s="11"/>
      <c r="C928" s="11"/>
      <c r="D928" s="11"/>
      <c r="E928" s="11"/>
      <c r="F928" s="11"/>
      <c r="G928" s="12"/>
      <c r="H928" s="11"/>
      <c r="I928" s="12"/>
      <c r="J928" s="12"/>
      <c r="K928" s="12"/>
      <c r="L928" s="11"/>
      <c r="M928" s="11"/>
      <c r="N928" s="11"/>
      <c r="O928" s="11"/>
      <c r="P928" s="11"/>
      <c r="Q928" s="11"/>
      <c r="R928" s="11"/>
      <c r="S928" s="11"/>
      <c r="T928" s="11"/>
      <c r="U928" s="11"/>
      <c r="V928" s="11"/>
      <c r="W928" s="11"/>
      <c r="X928" s="11"/>
      <c r="Y928" s="11"/>
      <c r="Z928" s="11"/>
    </row>
    <row r="929" ht="16.5" customHeight="1">
      <c r="A929" s="11"/>
      <c r="B929" s="11"/>
      <c r="C929" s="11"/>
      <c r="D929" s="11"/>
      <c r="E929" s="11"/>
      <c r="F929" s="11"/>
      <c r="G929" s="12"/>
      <c r="H929" s="11"/>
      <c r="I929" s="12"/>
      <c r="J929" s="12"/>
      <c r="K929" s="12"/>
      <c r="L929" s="11"/>
      <c r="M929" s="11"/>
      <c r="N929" s="11"/>
      <c r="O929" s="11"/>
      <c r="P929" s="11"/>
      <c r="Q929" s="11"/>
      <c r="R929" s="11"/>
      <c r="S929" s="11"/>
      <c r="T929" s="11"/>
      <c r="U929" s="11"/>
      <c r="V929" s="11"/>
      <c r="W929" s="11"/>
      <c r="X929" s="11"/>
      <c r="Y929" s="11"/>
      <c r="Z929" s="11"/>
    </row>
    <row r="930" ht="16.5" customHeight="1">
      <c r="A930" s="11"/>
      <c r="B930" s="11"/>
      <c r="C930" s="11"/>
      <c r="D930" s="11"/>
      <c r="E930" s="11"/>
      <c r="F930" s="11"/>
      <c r="G930" s="12"/>
      <c r="H930" s="11"/>
      <c r="I930" s="12"/>
      <c r="J930" s="12"/>
      <c r="K930" s="12"/>
      <c r="L930" s="11"/>
      <c r="M930" s="11"/>
      <c r="N930" s="11"/>
      <c r="O930" s="11"/>
      <c r="P930" s="11"/>
      <c r="Q930" s="11"/>
      <c r="R930" s="11"/>
      <c r="S930" s="11"/>
      <c r="T930" s="11"/>
      <c r="U930" s="11"/>
      <c r="V930" s="11"/>
      <c r="W930" s="11"/>
      <c r="X930" s="11"/>
      <c r="Y930" s="11"/>
      <c r="Z930" s="11"/>
    </row>
    <row r="931" ht="16.5" customHeight="1">
      <c r="A931" s="11"/>
      <c r="B931" s="11"/>
      <c r="C931" s="11"/>
      <c r="D931" s="11"/>
      <c r="E931" s="11"/>
      <c r="F931" s="11"/>
      <c r="G931" s="12"/>
      <c r="H931" s="11"/>
      <c r="I931" s="12"/>
      <c r="J931" s="12"/>
      <c r="K931" s="12"/>
      <c r="L931" s="11"/>
      <c r="M931" s="11"/>
      <c r="N931" s="11"/>
      <c r="O931" s="11"/>
      <c r="P931" s="11"/>
      <c r="Q931" s="11"/>
      <c r="R931" s="11"/>
      <c r="S931" s="11"/>
      <c r="T931" s="11"/>
      <c r="U931" s="11"/>
      <c r="V931" s="11"/>
      <c r="W931" s="11"/>
      <c r="X931" s="11"/>
      <c r="Y931" s="11"/>
      <c r="Z931" s="11"/>
    </row>
    <row r="932" ht="16.5" customHeight="1">
      <c r="A932" s="11"/>
      <c r="B932" s="11"/>
      <c r="C932" s="11"/>
      <c r="D932" s="11"/>
      <c r="E932" s="11"/>
      <c r="F932" s="11"/>
      <c r="G932" s="12"/>
      <c r="H932" s="11"/>
      <c r="I932" s="12"/>
      <c r="J932" s="12"/>
      <c r="K932" s="12"/>
      <c r="L932" s="11"/>
      <c r="M932" s="11"/>
      <c r="N932" s="11"/>
      <c r="O932" s="11"/>
      <c r="P932" s="11"/>
      <c r="Q932" s="11"/>
      <c r="R932" s="11"/>
      <c r="S932" s="11"/>
      <c r="T932" s="11"/>
      <c r="U932" s="11"/>
      <c r="V932" s="11"/>
      <c r="W932" s="11"/>
      <c r="X932" s="11"/>
      <c r="Y932" s="11"/>
      <c r="Z932" s="11"/>
    </row>
    <row r="933" ht="16.5" customHeight="1">
      <c r="A933" s="11"/>
      <c r="B933" s="11"/>
      <c r="C933" s="11"/>
      <c r="D933" s="11"/>
      <c r="E933" s="11"/>
      <c r="F933" s="11"/>
      <c r="G933" s="12"/>
      <c r="H933" s="11"/>
      <c r="I933" s="12"/>
      <c r="J933" s="12"/>
      <c r="K933" s="12"/>
      <c r="L933" s="11"/>
      <c r="M933" s="11"/>
      <c r="N933" s="11"/>
      <c r="O933" s="11"/>
      <c r="P933" s="11"/>
      <c r="Q933" s="11"/>
      <c r="R933" s="11"/>
      <c r="S933" s="11"/>
      <c r="T933" s="11"/>
      <c r="U933" s="11"/>
      <c r="V933" s="11"/>
      <c r="W933" s="11"/>
      <c r="X933" s="11"/>
      <c r="Y933" s="11"/>
      <c r="Z933" s="11"/>
    </row>
    <row r="934" ht="16.5" customHeight="1">
      <c r="A934" s="11"/>
      <c r="B934" s="11"/>
      <c r="C934" s="11"/>
      <c r="D934" s="11"/>
      <c r="E934" s="11"/>
      <c r="F934" s="11"/>
      <c r="G934" s="12"/>
      <c r="H934" s="11"/>
      <c r="I934" s="12"/>
      <c r="J934" s="12"/>
      <c r="K934" s="12"/>
      <c r="L934" s="11"/>
      <c r="M934" s="11"/>
      <c r="N934" s="11"/>
      <c r="O934" s="11"/>
      <c r="P934" s="11"/>
      <c r="Q934" s="11"/>
      <c r="R934" s="11"/>
      <c r="S934" s="11"/>
      <c r="T934" s="11"/>
      <c r="U934" s="11"/>
      <c r="V934" s="11"/>
      <c r="W934" s="11"/>
      <c r="X934" s="11"/>
      <c r="Y934" s="11"/>
      <c r="Z934" s="11"/>
    </row>
    <row r="935" ht="16.5" customHeight="1">
      <c r="A935" s="11"/>
      <c r="B935" s="11"/>
      <c r="C935" s="11"/>
      <c r="D935" s="11"/>
      <c r="E935" s="11"/>
      <c r="F935" s="11"/>
      <c r="G935" s="12"/>
      <c r="H935" s="11"/>
      <c r="I935" s="12"/>
      <c r="J935" s="12"/>
      <c r="K935" s="12"/>
      <c r="L935" s="11"/>
      <c r="M935" s="11"/>
      <c r="N935" s="11"/>
      <c r="O935" s="11"/>
      <c r="P935" s="11"/>
      <c r="Q935" s="11"/>
      <c r="R935" s="11"/>
      <c r="S935" s="11"/>
      <c r="T935" s="11"/>
      <c r="U935" s="11"/>
      <c r="V935" s="11"/>
      <c r="W935" s="11"/>
      <c r="X935" s="11"/>
      <c r="Y935" s="11"/>
      <c r="Z935" s="11"/>
    </row>
    <row r="936" ht="16.5" customHeight="1">
      <c r="A936" s="11"/>
      <c r="B936" s="11"/>
      <c r="C936" s="11"/>
      <c r="D936" s="11"/>
      <c r="E936" s="11"/>
      <c r="F936" s="11"/>
      <c r="G936" s="12"/>
      <c r="H936" s="11"/>
      <c r="I936" s="12"/>
      <c r="J936" s="12"/>
      <c r="K936" s="12"/>
      <c r="L936" s="11"/>
      <c r="M936" s="11"/>
      <c r="N936" s="11"/>
      <c r="O936" s="11"/>
      <c r="P936" s="11"/>
      <c r="Q936" s="11"/>
      <c r="R936" s="11"/>
      <c r="S936" s="11"/>
      <c r="T936" s="11"/>
      <c r="U936" s="11"/>
      <c r="V936" s="11"/>
      <c r="W936" s="11"/>
      <c r="X936" s="11"/>
      <c r="Y936" s="11"/>
      <c r="Z936" s="11"/>
    </row>
    <row r="937" ht="16.5" customHeight="1">
      <c r="A937" s="11"/>
      <c r="B937" s="11"/>
      <c r="C937" s="11"/>
      <c r="D937" s="11"/>
      <c r="E937" s="11"/>
      <c r="F937" s="11"/>
      <c r="G937" s="12"/>
      <c r="H937" s="11"/>
      <c r="I937" s="12"/>
      <c r="J937" s="12"/>
      <c r="K937" s="12"/>
      <c r="L937" s="11"/>
      <c r="M937" s="11"/>
      <c r="N937" s="11"/>
      <c r="O937" s="11"/>
      <c r="P937" s="11"/>
      <c r="Q937" s="11"/>
      <c r="R937" s="11"/>
      <c r="S937" s="11"/>
      <c r="T937" s="11"/>
      <c r="U937" s="11"/>
      <c r="V937" s="11"/>
      <c r="W937" s="11"/>
      <c r="X937" s="11"/>
      <c r="Y937" s="11"/>
      <c r="Z937" s="11"/>
    </row>
    <row r="938" ht="16.5" customHeight="1">
      <c r="A938" s="11"/>
      <c r="B938" s="11"/>
      <c r="C938" s="11"/>
      <c r="D938" s="11"/>
      <c r="E938" s="11"/>
      <c r="F938" s="11"/>
      <c r="G938" s="12"/>
      <c r="H938" s="11"/>
      <c r="I938" s="12"/>
      <c r="J938" s="12"/>
      <c r="K938" s="12"/>
      <c r="L938" s="11"/>
      <c r="M938" s="11"/>
      <c r="N938" s="11"/>
      <c r="O938" s="11"/>
      <c r="P938" s="11"/>
      <c r="Q938" s="11"/>
      <c r="R938" s="11"/>
      <c r="S938" s="11"/>
      <c r="T938" s="11"/>
      <c r="U938" s="11"/>
      <c r="V938" s="11"/>
      <c r="W938" s="11"/>
      <c r="X938" s="11"/>
      <c r="Y938" s="11"/>
      <c r="Z938" s="11"/>
    </row>
    <row r="939" ht="16.5" customHeight="1">
      <c r="A939" s="11"/>
      <c r="B939" s="11"/>
      <c r="C939" s="11"/>
      <c r="D939" s="11"/>
      <c r="E939" s="11"/>
      <c r="F939" s="11"/>
      <c r="G939" s="12"/>
      <c r="H939" s="11"/>
      <c r="I939" s="12"/>
      <c r="J939" s="12"/>
      <c r="K939" s="12"/>
      <c r="L939" s="11"/>
      <c r="M939" s="11"/>
      <c r="N939" s="11"/>
      <c r="O939" s="11"/>
      <c r="P939" s="11"/>
      <c r="Q939" s="11"/>
      <c r="R939" s="11"/>
      <c r="S939" s="11"/>
      <c r="T939" s="11"/>
      <c r="U939" s="11"/>
      <c r="V939" s="11"/>
      <c r="W939" s="11"/>
      <c r="X939" s="11"/>
      <c r="Y939" s="11"/>
      <c r="Z939" s="11"/>
    </row>
    <row r="940" ht="16.5" customHeight="1">
      <c r="A940" s="11"/>
      <c r="B940" s="11"/>
      <c r="C940" s="11"/>
      <c r="D940" s="11"/>
      <c r="E940" s="11"/>
      <c r="F940" s="11"/>
      <c r="G940" s="12"/>
      <c r="H940" s="11"/>
      <c r="I940" s="12"/>
      <c r="J940" s="12"/>
      <c r="K940" s="12"/>
      <c r="L940" s="11"/>
      <c r="M940" s="11"/>
      <c r="N940" s="11"/>
      <c r="O940" s="11"/>
      <c r="P940" s="11"/>
      <c r="Q940" s="11"/>
      <c r="R940" s="11"/>
      <c r="S940" s="11"/>
      <c r="T940" s="11"/>
      <c r="U940" s="11"/>
      <c r="V940" s="11"/>
      <c r="W940" s="11"/>
      <c r="X940" s="11"/>
      <c r="Y940" s="11"/>
      <c r="Z940" s="11"/>
    </row>
    <row r="941" ht="16.5" customHeight="1">
      <c r="A941" s="11"/>
      <c r="B941" s="11"/>
      <c r="C941" s="11"/>
      <c r="D941" s="11"/>
      <c r="E941" s="11"/>
      <c r="F941" s="11"/>
      <c r="G941" s="12"/>
      <c r="H941" s="11"/>
      <c r="I941" s="12"/>
      <c r="J941" s="12"/>
      <c r="K941" s="12"/>
      <c r="L941" s="11"/>
      <c r="M941" s="11"/>
      <c r="N941" s="11"/>
      <c r="O941" s="11"/>
      <c r="P941" s="11"/>
      <c r="Q941" s="11"/>
      <c r="R941" s="11"/>
      <c r="S941" s="11"/>
      <c r="T941" s="11"/>
      <c r="U941" s="11"/>
      <c r="V941" s="11"/>
      <c r="W941" s="11"/>
      <c r="X941" s="11"/>
      <c r="Y941" s="11"/>
      <c r="Z941" s="11"/>
    </row>
    <row r="942" ht="16.5" customHeight="1">
      <c r="A942" s="11"/>
      <c r="B942" s="11"/>
      <c r="C942" s="11"/>
      <c r="D942" s="11"/>
      <c r="E942" s="11"/>
      <c r="F942" s="11"/>
      <c r="G942" s="12"/>
      <c r="H942" s="11"/>
      <c r="I942" s="12"/>
      <c r="J942" s="12"/>
      <c r="K942" s="12"/>
      <c r="L942" s="11"/>
      <c r="M942" s="11"/>
      <c r="N942" s="11"/>
      <c r="O942" s="11"/>
      <c r="P942" s="11"/>
      <c r="Q942" s="11"/>
      <c r="R942" s="11"/>
      <c r="S942" s="11"/>
      <c r="T942" s="11"/>
      <c r="U942" s="11"/>
      <c r="V942" s="11"/>
      <c r="W942" s="11"/>
      <c r="X942" s="11"/>
      <c r="Y942" s="11"/>
      <c r="Z942" s="11"/>
    </row>
    <row r="943" ht="16.5" customHeight="1">
      <c r="A943" s="11"/>
      <c r="B943" s="11"/>
      <c r="C943" s="11"/>
      <c r="D943" s="11"/>
      <c r="E943" s="11"/>
      <c r="F943" s="11"/>
      <c r="G943" s="12"/>
      <c r="H943" s="11"/>
      <c r="I943" s="12"/>
      <c r="J943" s="12"/>
      <c r="K943" s="12"/>
      <c r="L943" s="11"/>
      <c r="M943" s="11"/>
      <c r="N943" s="11"/>
      <c r="O943" s="11"/>
      <c r="P943" s="11"/>
      <c r="Q943" s="11"/>
      <c r="R943" s="11"/>
      <c r="S943" s="11"/>
      <c r="T943" s="11"/>
      <c r="U943" s="11"/>
      <c r="V943" s="11"/>
      <c r="W943" s="11"/>
      <c r="X943" s="11"/>
      <c r="Y943" s="11"/>
      <c r="Z943" s="11"/>
    </row>
    <row r="944" ht="16.5" customHeight="1">
      <c r="A944" s="11"/>
      <c r="B944" s="11"/>
      <c r="C944" s="11"/>
      <c r="D944" s="11"/>
      <c r="E944" s="11"/>
      <c r="F944" s="11"/>
      <c r="G944" s="12"/>
      <c r="H944" s="11"/>
      <c r="I944" s="12"/>
      <c r="J944" s="12"/>
      <c r="K944" s="12"/>
      <c r="L944" s="11"/>
      <c r="M944" s="11"/>
      <c r="N944" s="11"/>
      <c r="O944" s="11"/>
      <c r="P944" s="11"/>
      <c r="Q944" s="11"/>
      <c r="R944" s="11"/>
      <c r="S944" s="11"/>
      <c r="T944" s="11"/>
      <c r="U944" s="11"/>
      <c r="V944" s="11"/>
      <c r="W944" s="11"/>
      <c r="X944" s="11"/>
      <c r="Y944" s="11"/>
      <c r="Z944" s="11"/>
    </row>
    <row r="945" ht="16.5" customHeight="1">
      <c r="A945" s="11"/>
      <c r="B945" s="11"/>
      <c r="C945" s="11"/>
      <c r="D945" s="11"/>
      <c r="E945" s="11"/>
      <c r="F945" s="11"/>
      <c r="G945" s="12"/>
      <c r="H945" s="11"/>
      <c r="I945" s="12"/>
      <c r="J945" s="12"/>
      <c r="K945" s="12"/>
      <c r="L945" s="11"/>
      <c r="M945" s="11"/>
      <c r="N945" s="11"/>
      <c r="O945" s="11"/>
      <c r="P945" s="11"/>
      <c r="Q945" s="11"/>
      <c r="R945" s="11"/>
      <c r="S945" s="11"/>
      <c r="T945" s="11"/>
      <c r="U945" s="11"/>
      <c r="V945" s="11"/>
      <c r="W945" s="11"/>
      <c r="X945" s="11"/>
      <c r="Y945" s="11"/>
      <c r="Z945" s="11"/>
    </row>
    <row r="946" ht="16.5" customHeight="1">
      <c r="A946" s="11"/>
      <c r="B946" s="11"/>
      <c r="C946" s="11"/>
      <c r="D946" s="11"/>
      <c r="E946" s="11"/>
      <c r="F946" s="11"/>
      <c r="G946" s="12"/>
      <c r="H946" s="11"/>
      <c r="I946" s="12"/>
      <c r="J946" s="12"/>
      <c r="K946" s="12"/>
      <c r="L946" s="11"/>
      <c r="M946" s="11"/>
      <c r="N946" s="11"/>
      <c r="O946" s="11"/>
      <c r="P946" s="11"/>
      <c r="Q946" s="11"/>
      <c r="R946" s="11"/>
      <c r="S946" s="11"/>
      <c r="T946" s="11"/>
      <c r="U946" s="11"/>
      <c r="V946" s="11"/>
      <c r="W946" s="11"/>
      <c r="X946" s="11"/>
      <c r="Y946" s="11"/>
      <c r="Z946" s="11"/>
    </row>
    <row r="947" ht="16.5" customHeight="1">
      <c r="A947" s="11"/>
      <c r="B947" s="11"/>
      <c r="C947" s="11"/>
      <c r="D947" s="11"/>
      <c r="E947" s="11"/>
      <c r="F947" s="11"/>
      <c r="G947" s="12"/>
      <c r="H947" s="11"/>
      <c r="I947" s="12"/>
      <c r="J947" s="12"/>
      <c r="K947" s="12"/>
      <c r="L947" s="11"/>
      <c r="M947" s="11"/>
      <c r="N947" s="11"/>
      <c r="O947" s="11"/>
      <c r="P947" s="11"/>
      <c r="Q947" s="11"/>
      <c r="R947" s="11"/>
      <c r="S947" s="11"/>
      <c r="T947" s="11"/>
      <c r="U947" s="11"/>
      <c r="V947" s="11"/>
      <c r="W947" s="11"/>
      <c r="X947" s="11"/>
      <c r="Y947" s="11"/>
      <c r="Z947" s="11"/>
    </row>
    <row r="948" ht="16.5" customHeight="1">
      <c r="A948" s="11"/>
      <c r="B948" s="11"/>
      <c r="C948" s="11"/>
      <c r="D948" s="11"/>
      <c r="E948" s="11"/>
      <c r="F948" s="11"/>
      <c r="G948" s="12"/>
      <c r="H948" s="11"/>
      <c r="I948" s="12"/>
      <c r="J948" s="12"/>
      <c r="K948" s="12"/>
      <c r="L948" s="11"/>
      <c r="M948" s="11"/>
      <c r="N948" s="11"/>
      <c r="O948" s="11"/>
      <c r="P948" s="11"/>
      <c r="Q948" s="11"/>
      <c r="R948" s="11"/>
      <c r="S948" s="11"/>
      <c r="T948" s="11"/>
      <c r="U948" s="11"/>
      <c r="V948" s="11"/>
      <c r="W948" s="11"/>
      <c r="X948" s="11"/>
      <c r="Y948" s="11"/>
      <c r="Z948" s="11"/>
    </row>
    <row r="949" ht="16.5" customHeight="1">
      <c r="A949" s="11"/>
      <c r="B949" s="11"/>
      <c r="C949" s="11"/>
      <c r="D949" s="11"/>
      <c r="E949" s="11"/>
      <c r="F949" s="11"/>
      <c r="G949" s="12"/>
      <c r="H949" s="11"/>
      <c r="I949" s="12"/>
      <c r="J949" s="12"/>
      <c r="K949" s="12"/>
      <c r="L949" s="11"/>
      <c r="M949" s="11"/>
      <c r="N949" s="11"/>
      <c r="O949" s="11"/>
      <c r="P949" s="11"/>
      <c r="Q949" s="11"/>
      <c r="R949" s="11"/>
      <c r="S949" s="11"/>
      <c r="T949" s="11"/>
      <c r="U949" s="11"/>
      <c r="V949" s="11"/>
      <c r="W949" s="11"/>
      <c r="X949" s="11"/>
      <c r="Y949" s="11"/>
      <c r="Z949" s="11"/>
    </row>
    <row r="950" ht="16.5" customHeight="1">
      <c r="A950" s="11"/>
      <c r="B950" s="11"/>
      <c r="C950" s="11"/>
      <c r="D950" s="11"/>
      <c r="E950" s="11"/>
      <c r="F950" s="11"/>
      <c r="G950" s="12"/>
      <c r="H950" s="11"/>
      <c r="I950" s="12"/>
      <c r="J950" s="12"/>
      <c r="K950" s="12"/>
      <c r="L950" s="11"/>
      <c r="M950" s="11"/>
      <c r="N950" s="11"/>
      <c r="O950" s="11"/>
      <c r="P950" s="11"/>
      <c r="Q950" s="11"/>
      <c r="R950" s="11"/>
      <c r="S950" s="11"/>
      <c r="T950" s="11"/>
      <c r="U950" s="11"/>
      <c r="V950" s="11"/>
      <c r="W950" s="11"/>
      <c r="X950" s="11"/>
      <c r="Y950" s="11"/>
      <c r="Z950" s="11"/>
    </row>
    <row r="951" ht="16.5" customHeight="1">
      <c r="A951" s="11"/>
      <c r="B951" s="11"/>
      <c r="C951" s="11"/>
      <c r="D951" s="11"/>
      <c r="E951" s="11"/>
      <c r="F951" s="11"/>
      <c r="G951" s="12"/>
      <c r="H951" s="11"/>
      <c r="I951" s="12"/>
      <c r="J951" s="12"/>
      <c r="K951" s="12"/>
      <c r="L951" s="11"/>
      <c r="M951" s="11"/>
      <c r="N951" s="11"/>
      <c r="O951" s="11"/>
      <c r="P951" s="11"/>
      <c r="Q951" s="11"/>
      <c r="R951" s="11"/>
      <c r="S951" s="11"/>
      <c r="T951" s="11"/>
      <c r="U951" s="11"/>
      <c r="V951" s="11"/>
      <c r="W951" s="11"/>
      <c r="X951" s="11"/>
      <c r="Y951" s="11"/>
      <c r="Z951" s="11"/>
    </row>
    <row r="952" ht="16.5" customHeight="1">
      <c r="A952" s="11"/>
      <c r="B952" s="11"/>
      <c r="C952" s="11"/>
      <c r="D952" s="11"/>
      <c r="E952" s="11"/>
      <c r="F952" s="11"/>
      <c r="G952" s="12"/>
      <c r="H952" s="11"/>
      <c r="I952" s="12"/>
      <c r="J952" s="12"/>
      <c r="K952" s="12"/>
      <c r="L952" s="11"/>
      <c r="M952" s="11"/>
      <c r="N952" s="11"/>
      <c r="O952" s="11"/>
      <c r="P952" s="11"/>
      <c r="Q952" s="11"/>
      <c r="R952" s="11"/>
      <c r="S952" s="11"/>
      <c r="T952" s="11"/>
      <c r="U952" s="11"/>
      <c r="V952" s="11"/>
      <c r="W952" s="11"/>
      <c r="X952" s="11"/>
      <c r="Y952" s="11"/>
      <c r="Z952" s="11"/>
    </row>
    <row r="953" ht="16.5" customHeight="1">
      <c r="A953" s="11"/>
      <c r="B953" s="11"/>
      <c r="C953" s="11"/>
      <c r="D953" s="11"/>
      <c r="E953" s="11"/>
      <c r="F953" s="11"/>
      <c r="G953" s="12"/>
      <c r="H953" s="11"/>
      <c r="I953" s="12"/>
      <c r="J953" s="12"/>
      <c r="K953" s="12"/>
      <c r="L953" s="11"/>
      <c r="M953" s="11"/>
      <c r="N953" s="11"/>
      <c r="O953" s="11"/>
      <c r="P953" s="11"/>
      <c r="Q953" s="11"/>
      <c r="R953" s="11"/>
      <c r="S953" s="11"/>
      <c r="T953" s="11"/>
      <c r="U953" s="11"/>
      <c r="V953" s="11"/>
      <c r="W953" s="11"/>
      <c r="X953" s="11"/>
      <c r="Y953" s="11"/>
      <c r="Z953" s="11"/>
    </row>
    <row r="954" ht="16.5" customHeight="1">
      <c r="A954" s="11"/>
      <c r="B954" s="11"/>
      <c r="C954" s="11"/>
      <c r="D954" s="11"/>
      <c r="E954" s="11"/>
      <c r="F954" s="11"/>
      <c r="G954" s="12"/>
      <c r="H954" s="11"/>
      <c r="I954" s="12"/>
      <c r="J954" s="12"/>
      <c r="K954" s="12"/>
      <c r="L954" s="11"/>
      <c r="M954" s="11"/>
      <c r="N954" s="11"/>
      <c r="O954" s="11"/>
      <c r="P954" s="11"/>
      <c r="Q954" s="11"/>
      <c r="R954" s="11"/>
      <c r="S954" s="11"/>
      <c r="T954" s="11"/>
      <c r="U954" s="11"/>
      <c r="V954" s="11"/>
      <c r="W954" s="11"/>
      <c r="X954" s="11"/>
      <c r="Y954" s="11"/>
      <c r="Z954" s="11"/>
    </row>
    <row r="955" ht="16.5" customHeight="1">
      <c r="A955" s="11"/>
      <c r="B955" s="11"/>
      <c r="C955" s="11"/>
      <c r="D955" s="11"/>
      <c r="E955" s="11"/>
      <c r="F955" s="11"/>
      <c r="G955" s="12"/>
      <c r="H955" s="11"/>
      <c r="I955" s="12"/>
      <c r="J955" s="12"/>
      <c r="K955" s="12"/>
      <c r="L955" s="11"/>
      <c r="M955" s="11"/>
      <c r="N955" s="11"/>
      <c r="O955" s="11"/>
      <c r="P955" s="11"/>
      <c r="Q955" s="11"/>
      <c r="R955" s="11"/>
      <c r="S955" s="11"/>
      <c r="T955" s="11"/>
      <c r="U955" s="11"/>
      <c r="V955" s="11"/>
      <c r="W955" s="11"/>
      <c r="X955" s="11"/>
      <c r="Y955" s="11"/>
      <c r="Z955" s="11"/>
    </row>
    <row r="956" ht="16.5" customHeight="1">
      <c r="A956" s="11"/>
      <c r="B956" s="11"/>
      <c r="C956" s="11"/>
      <c r="D956" s="11"/>
      <c r="E956" s="11"/>
      <c r="F956" s="11"/>
      <c r="G956" s="12"/>
      <c r="H956" s="11"/>
      <c r="I956" s="12"/>
      <c r="J956" s="12"/>
      <c r="K956" s="12"/>
      <c r="L956" s="11"/>
      <c r="M956" s="11"/>
      <c r="N956" s="11"/>
      <c r="O956" s="11"/>
      <c r="P956" s="11"/>
      <c r="Q956" s="11"/>
      <c r="R956" s="11"/>
      <c r="S956" s="11"/>
      <c r="T956" s="11"/>
      <c r="U956" s="11"/>
      <c r="V956" s="11"/>
      <c r="W956" s="11"/>
      <c r="X956" s="11"/>
      <c r="Y956" s="11"/>
      <c r="Z956" s="11"/>
    </row>
    <row r="957" ht="16.5" customHeight="1">
      <c r="A957" s="11"/>
      <c r="B957" s="11"/>
      <c r="C957" s="11"/>
      <c r="D957" s="11"/>
      <c r="E957" s="11"/>
      <c r="F957" s="11"/>
      <c r="G957" s="12"/>
      <c r="H957" s="11"/>
      <c r="I957" s="12"/>
      <c r="J957" s="12"/>
      <c r="K957" s="12"/>
      <c r="L957" s="11"/>
      <c r="M957" s="11"/>
      <c r="N957" s="11"/>
      <c r="O957" s="11"/>
      <c r="P957" s="11"/>
      <c r="Q957" s="11"/>
      <c r="R957" s="11"/>
      <c r="S957" s="11"/>
      <c r="T957" s="11"/>
      <c r="U957" s="11"/>
      <c r="V957" s="11"/>
      <c r="W957" s="11"/>
      <c r="X957" s="11"/>
      <c r="Y957" s="11"/>
      <c r="Z957" s="11"/>
    </row>
    <row r="958" ht="16.5" customHeight="1">
      <c r="A958" s="11"/>
      <c r="B958" s="11"/>
      <c r="C958" s="11"/>
      <c r="D958" s="11"/>
      <c r="E958" s="11"/>
      <c r="F958" s="11"/>
      <c r="G958" s="12"/>
      <c r="H958" s="11"/>
      <c r="I958" s="12"/>
      <c r="J958" s="12"/>
      <c r="K958" s="12"/>
      <c r="L958" s="11"/>
      <c r="M958" s="11"/>
      <c r="N958" s="11"/>
      <c r="O958" s="11"/>
      <c r="P958" s="11"/>
      <c r="Q958" s="11"/>
      <c r="R958" s="11"/>
      <c r="S958" s="11"/>
      <c r="T958" s="11"/>
      <c r="U958" s="11"/>
      <c r="V958" s="11"/>
      <c r="W958" s="11"/>
      <c r="X958" s="11"/>
      <c r="Y958" s="11"/>
      <c r="Z958" s="11"/>
    </row>
    <row r="959" ht="16.5" customHeight="1">
      <c r="A959" s="11"/>
      <c r="B959" s="11"/>
      <c r="C959" s="11"/>
      <c r="D959" s="11"/>
      <c r="E959" s="11"/>
      <c r="F959" s="11"/>
      <c r="G959" s="12"/>
      <c r="H959" s="11"/>
      <c r="I959" s="12"/>
      <c r="J959" s="12"/>
      <c r="K959" s="12"/>
      <c r="L959" s="11"/>
      <c r="M959" s="11"/>
      <c r="N959" s="11"/>
      <c r="O959" s="11"/>
      <c r="P959" s="11"/>
      <c r="Q959" s="11"/>
      <c r="R959" s="11"/>
      <c r="S959" s="11"/>
      <c r="T959" s="11"/>
      <c r="U959" s="11"/>
      <c r="V959" s="11"/>
      <c r="W959" s="11"/>
      <c r="X959" s="11"/>
      <c r="Y959" s="11"/>
      <c r="Z959" s="11"/>
    </row>
    <row r="960" ht="16.5" customHeight="1">
      <c r="A960" s="11"/>
      <c r="B960" s="11"/>
      <c r="C960" s="11"/>
      <c r="D960" s="11"/>
      <c r="E960" s="11"/>
      <c r="F960" s="11"/>
      <c r="G960" s="12"/>
      <c r="H960" s="11"/>
      <c r="I960" s="12"/>
      <c r="J960" s="12"/>
      <c r="K960" s="12"/>
      <c r="L960" s="11"/>
      <c r="M960" s="11"/>
      <c r="N960" s="11"/>
      <c r="O960" s="11"/>
      <c r="P960" s="11"/>
      <c r="Q960" s="11"/>
      <c r="R960" s="11"/>
      <c r="S960" s="11"/>
      <c r="T960" s="11"/>
      <c r="U960" s="11"/>
      <c r="V960" s="11"/>
      <c r="W960" s="11"/>
      <c r="X960" s="11"/>
      <c r="Y960" s="11"/>
      <c r="Z960" s="11"/>
    </row>
    <row r="961" ht="16.5" customHeight="1">
      <c r="A961" s="11"/>
      <c r="B961" s="11"/>
      <c r="C961" s="11"/>
      <c r="D961" s="11"/>
      <c r="E961" s="11"/>
      <c r="F961" s="11"/>
      <c r="G961" s="12"/>
      <c r="H961" s="11"/>
      <c r="I961" s="12"/>
      <c r="J961" s="12"/>
      <c r="K961" s="12"/>
      <c r="L961" s="11"/>
      <c r="M961" s="11"/>
      <c r="N961" s="11"/>
      <c r="O961" s="11"/>
      <c r="P961" s="11"/>
      <c r="Q961" s="11"/>
      <c r="R961" s="11"/>
      <c r="S961" s="11"/>
      <c r="T961" s="11"/>
      <c r="U961" s="11"/>
      <c r="V961" s="11"/>
      <c r="W961" s="11"/>
      <c r="X961" s="11"/>
      <c r="Y961" s="11"/>
      <c r="Z961" s="11"/>
    </row>
    <row r="962" ht="16.5" customHeight="1">
      <c r="A962" s="11"/>
      <c r="B962" s="11"/>
      <c r="C962" s="11"/>
      <c r="D962" s="11"/>
      <c r="E962" s="11"/>
      <c r="F962" s="11"/>
      <c r="G962" s="12"/>
      <c r="H962" s="11"/>
      <c r="I962" s="12"/>
      <c r="J962" s="12"/>
      <c r="K962" s="12"/>
      <c r="L962" s="11"/>
      <c r="M962" s="11"/>
      <c r="N962" s="11"/>
      <c r="O962" s="11"/>
      <c r="P962" s="11"/>
      <c r="Q962" s="11"/>
      <c r="R962" s="11"/>
      <c r="S962" s="11"/>
      <c r="T962" s="11"/>
      <c r="U962" s="11"/>
      <c r="V962" s="11"/>
      <c r="W962" s="11"/>
      <c r="X962" s="11"/>
      <c r="Y962" s="11"/>
      <c r="Z962" s="11"/>
    </row>
    <row r="963" ht="16.5" customHeight="1">
      <c r="A963" s="11"/>
      <c r="B963" s="11"/>
      <c r="C963" s="11"/>
      <c r="D963" s="11"/>
      <c r="E963" s="11"/>
      <c r="F963" s="11"/>
      <c r="G963" s="12"/>
      <c r="H963" s="11"/>
      <c r="I963" s="12"/>
      <c r="J963" s="12"/>
      <c r="K963" s="12"/>
      <c r="L963" s="11"/>
      <c r="M963" s="11"/>
      <c r="N963" s="11"/>
      <c r="O963" s="11"/>
      <c r="P963" s="11"/>
      <c r="Q963" s="11"/>
      <c r="R963" s="11"/>
      <c r="S963" s="11"/>
      <c r="T963" s="11"/>
      <c r="U963" s="11"/>
      <c r="V963" s="11"/>
      <c r="W963" s="11"/>
      <c r="X963" s="11"/>
      <c r="Y963" s="11"/>
      <c r="Z963" s="11"/>
    </row>
    <row r="964" ht="16.5" customHeight="1">
      <c r="A964" s="11"/>
      <c r="B964" s="11"/>
      <c r="C964" s="11"/>
      <c r="D964" s="11"/>
      <c r="E964" s="11"/>
      <c r="F964" s="11"/>
      <c r="G964" s="12"/>
      <c r="H964" s="11"/>
      <c r="I964" s="12"/>
      <c r="J964" s="12"/>
      <c r="K964" s="12"/>
      <c r="L964" s="11"/>
      <c r="M964" s="11"/>
      <c r="N964" s="11"/>
      <c r="O964" s="11"/>
      <c r="P964" s="11"/>
      <c r="Q964" s="11"/>
      <c r="R964" s="11"/>
      <c r="S964" s="11"/>
      <c r="T964" s="11"/>
      <c r="U964" s="11"/>
      <c r="V964" s="11"/>
      <c r="W964" s="11"/>
      <c r="X964" s="11"/>
      <c r="Y964" s="11"/>
      <c r="Z964" s="11"/>
    </row>
    <row r="965" ht="16.5" customHeight="1">
      <c r="A965" s="11"/>
      <c r="B965" s="11"/>
      <c r="C965" s="11"/>
      <c r="D965" s="11"/>
      <c r="E965" s="11"/>
      <c r="F965" s="11"/>
      <c r="G965" s="12"/>
      <c r="H965" s="11"/>
      <c r="I965" s="12"/>
      <c r="J965" s="12"/>
      <c r="K965" s="12"/>
      <c r="L965" s="11"/>
      <c r="M965" s="11"/>
      <c r="N965" s="11"/>
      <c r="O965" s="11"/>
      <c r="P965" s="11"/>
      <c r="Q965" s="11"/>
      <c r="R965" s="11"/>
      <c r="S965" s="11"/>
      <c r="T965" s="11"/>
      <c r="U965" s="11"/>
      <c r="V965" s="11"/>
      <c r="W965" s="11"/>
      <c r="X965" s="11"/>
      <c r="Y965" s="11"/>
      <c r="Z965" s="11"/>
    </row>
    <row r="966" ht="16.5" customHeight="1">
      <c r="A966" s="11"/>
      <c r="B966" s="11"/>
      <c r="C966" s="11"/>
      <c r="D966" s="11"/>
      <c r="E966" s="11"/>
      <c r="F966" s="11"/>
      <c r="G966" s="12"/>
      <c r="H966" s="11"/>
      <c r="I966" s="12"/>
      <c r="J966" s="12"/>
      <c r="K966" s="12"/>
      <c r="L966" s="11"/>
      <c r="M966" s="11"/>
      <c r="N966" s="11"/>
      <c r="O966" s="11"/>
      <c r="P966" s="11"/>
      <c r="Q966" s="11"/>
      <c r="R966" s="11"/>
      <c r="S966" s="11"/>
      <c r="T966" s="11"/>
      <c r="U966" s="11"/>
      <c r="V966" s="11"/>
      <c r="W966" s="11"/>
      <c r="X966" s="11"/>
      <c r="Y966" s="11"/>
      <c r="Z966" s="11"/>
    </row>
    <row r="967" ht="16.5" customHeight="1">
      <c r="A967" s="11"/>
      <c r="B967" s="11"/>
      <c r="C967" s="11"/>
      <c r="D967" s="11"/>
      <c r="E967" s="11"/>
      <c r="F967" s="11"/>
      <c r="G967" s="12"/>
      <c r="H967" s="11"/>
      <c r="I967" s="12"/>
      <c r="J967" s="12"/>
      <c r="K967" s="12"/>
      <c r="L967" s="11"/>
      <c r="M967" s="11"/>
      <c r="N967" s="11"/>
      <c r="O967" s="11"/>
      <c r="P967" s="11"/>
      <c r="Q967" s="11"/>
      <c r="R967" s="11"/>
      <c r="S967" s="11"/>
      <c r="T967" s="11"/>
      <c r="U967" s="11"/>
      <c r="V967" s="11"/>
      <c r="W967" s="11"/>
      <c r="X967" s="11"/>
      <c r="Y967" s="11"/>
      <c r="Z967" s="11"/>
    </row>
    <row r="968" ht="16.5" customHeight="1">
      <c r="A968" s="11"/>
      <c r="B968" s="11"/>
      <c r="C968" s="11"/>
      <c r="D968" s="11"/>
      <c r="E968" s="11"/>
      <c r="F968" s="11"/>
      <c r="G968" s="12"/>
      <c r="H968" s="11"/>
      <c r="I968" s="12"/>
      <c r="J968" s="12"/>
      <c r="K968" s="12"/>
      <c r="L968" s="11"/>
      <c r="M968" s="11"/>
      <c r="N968" s="11"/>
      <c r="O968" s="11"/>
      <c r="P968" s="11"/>
      <c r="Q968" s="11"/>
      <c r="R968" s="11"/>
      <c r="S968" s="11"/>
      <c r="T968" s="11"/>
      <c r="U968" s="11"/>
      <c r="V968" s="11"/>
      <c r="W968" s="11"/>
      <c r="X968" s="11"/>
      <c r="Y968" s="11"/>
      <c r="Z968" s="11"/>
    </row>
    <row r="969" ht="16.5" customHeight="1">
      <c r="A969" s="11"/>
      <c r="B969" s="11"/>
      <c r="C969" s="11"/>
      <c r="D969" s="11"/>
      <c r="E969" s="11"/>
      <c r="F969" s="11"/>
      <c r="G969" s="12"/>
      <c r="H969" s="11"/>
      <c r="I969" s="12"/>
      <c r="J969" s="12"/>
      <c r="K969" s="12"/>
      <c r="L969" s="11"/>
      <c r="M969" s="11"/>
      <c r="N969" s="11"/>
      <c r="O969" s="11"/>
      <c r="P969" s="11"/>
      <c r="Q969" s="11"/>
      <c r="R969" s="11"/>
      <c r="S969" s="11"/>
      <c r="T969" s="11"/>
      <c r="U969" s="11"/>
      <c r="V969" s="11"/>
      <c r="W969" s="11"/>
      <c r="X969" s="11"/>
      <c r="Y969" s="11"/>
      <c r="Z969" s="11"/>
    </row>
    <row r="970" ht="16.5" customHeight="1">
      <c r="A970" s="11"/>
      <c r="B970" s="11"/>
      <c r="C970" s="11"/>
      <c r="D970" s="11"/>
      <c r="E970" s="11"/>
      <c r="F970" s="11"/>
      <c r="G970" s="12"/>
      <c r="H970" s="11"/>
      <c r="I970" s="12"/>
      <c r="J970" s="12"/>
      <c r="K970" s="12"/>
      <c r="L970" s="11"/>
      <c r="M970" s="11"/>
      <c r="N970" s="11"/>
      <c r="O970" s="11"/>
      <c r="P970" s="11"/>
      <c r="Q970" s="11"/>
      <c r="R970" s="11"/>
      <c r="S970" s="11"/>
      <c r="T970" s="11"/>
      <c r="U970" s="11"/>
      <c r="V970" s="11"/>
      <c r="W970" s="11"/>
      <c r="X970" s="11"/>
      <c r="Y970" s="11"/>
      <c r="Z970" s="11"/>
    </row>
    <row r="971" ht="16.5" customHeight="1">
      <c r="A971" s="11"/>
      <c r="B971" s="11"/>
      <c r="C971" s="11"/>
      <c r="D971" s="11"/>
      <c r="E971" s="11"/>
      <c r="F971" s="11"/>
      <c r="G971" s="12"/>
      <c r="H971" s="11"/>
      <c r="I971" s="12"/>
      <c r="J971" s="12"/>
      <c r="K971" s="12"/>
      <c r="L971" s="11"/>
      <c r="M971" s="11"/>
      <c r="N971" s="11"/>
      <c r="O971" s="11"/>
      <c r="P971" s="11"/>
      <c r="Q971" s="11"/>
      <c r="R971" s="11"/>
      <c r="S971" s="11"/>
      <c r="T971" s="11"/>
      <c r="U971" s="11"/>
      <c r="V971" s="11"/>
      <c r="W971" s="11"/>
      <c r="X971" s="11"/>
      <c r="Y971" s="11"/>
      <c r="Z971" s="11"/>
    </row>
    <row r="972" ht="16.5" customHeight="1">
      <c r="A972" s="11"/>
      <c r="B972" s="11"/>
      <c r="C972" s="11"/>
      <c r="D972" s="11"/>
      <c r="E972" s="11"/>
      <c r="F972" s="11"/>
      <c r="G972" s="12"/>
      <c r="H972" s="11"/>
      <c r="I972" s="12"/>
      <c r="J972" s="12"/>
      <c r="K972" s="12"/>
      <c r="L972" s="11"/>
      <c r="M972" s="11"/>
      <c r="N972" s="11"/>
      <c r="O972" s="11"/>
      <c r="P972" s="11"/>
      <c r="Q972" s="11"/>
      <c r="R972" s="11"/>
      <c r="S972" s="11"/>
      <c r="T972" s="11"/>
      <c r="U972" s="11"/>
      <c r="V972" s="11"/>
      <c r="W972" s="11"/>
      <c r="X972" s="11"/>
      <c r="Y972" s="11"/>
      <c r="Z972" s="11"/>
    </row>
    <row r="973" ht="16.5" customHeight="1">
      <c r="A973" s="11"/>
      <c r="B973" s="11"/>
      <c r="C973" s="11"/>
      <c r="D973" s="11"/>
      <c r="E973" s="11"/>
      <c r="F973" s="11"/>
      <c r="G973" s="12"/>
      <c r="H973" s="11"/>
      <c r="I973" s="12"/>
      <c r="J973" s="12"/>
      <c r="K973" s="12"/>
      <c r="L973" s="11"/>
      <c r="M973" s="11"/>
      <c r="N973" s="11"/>
      <c r="O973" s="11"/>
      <c r="P973" s="11"/>
      <c r="Q973" s="11"/>
      <c r="R973" s="11"/>
      <c r="S973" s="11"/>
      <c r="T973" s="11"/>
      <c r="U973" s="11"/>
      <c r="V973" s="11"/>
      <c r="W973" s="11"/>
      <c r="X973" s="11"/>
      <c r="Y973" s="11"/>
      <c r="Z973" s="11"/>
    </row>
    <row r="974" ht="16.5" customHeight="1">
      <c r="A974" s="11"/>
      <c r="B974" s="11"/>
      <c r="C974" s="11"/>
      <c r="D974" s="11"/>
      <c r="E974" s="11"/>
      <c r="F974" s="11"/>
      <c r="G974" s="12"/>
      <c r="H974" s="11"/>
      <c r="I974" s="12"/>
      <c r="J974" s="12"/>
      <c r="K974" s="12"/>
      <c r="L974" s="11"/>
      <c r="M974" s="11"/>
      <c r="N974" s="11"/>
      <c r="O974" s="11"/>
      <c r="P974" s="11"/>
      <c r="Q974" s="11"/>
      <c r="R974" s="11"/>
      <c r="S974" s="11"/>
      <c r="T974" s="11"/>
      <c r="U974" s="11"/>
      <c r="V974" s="11"/>
      <c r="W974" s="11"/>
      <c r="X974" s="11"/>
      <c r="Y974" s="11"/>
      <c r="Z974" s="11"/>
    </row>
    <row r="975" ht="16.5" customHeight="1">
      <c r="A975" s="11"/>
      <c r="B975" s="11"/>
      <c r="C975" s="11"/>
      <c r="D975" s="11"/>
      <c r="E975" s="11"/>
      <c r="F975" s="11"/>
      <c r="G975" s="12"/>
      <c r="H975" s="11"/>
      <c r="I975" s="12"/>
      <c r="J975" s="12"/>
      <c r="K975" s="12"/>
      <c r="L975" s="11"/>
      <c r="M975" s="11"/>
      <c r="N975" s="11"/>
      <c r="O975" s="11"/>
      <c r="P975" s="11"/>
      <c r="Q975" s="11"/>
      <c r="R975" s="11"/>
      <c r="S975" s="11"/>
      <c r="T975" s="11"/>
      <c r="U975" s="11"/>
      <c r="V975" s="11"/>
      <c r="W975" s="11"/>
      <c r="X975" s="11"/>
      <c r="Y975" s="11"/>
      <c r="Z975" s="11"/>
    </row>
    <row r="976" ht="16.5" customHeight="1">
      <c r="A976" s="11"/>
      <c r="B976" s="11"/>
      <c r="C976" s="11"/>
      <c r="D976" s="11"/>
      <c r="E976" s="11"/>
      <c r="F976" s="11"/>
      <c r="G976" s="12"/>
      <c r="H976" s="11"/>
      <c r="I976" s="12"/>
      <c r="J976" s="12"/>
      <c r="K976" s="12"/>
      <c r="L976" s="11"/>
      <c r="M976" s="11"/>
      <c r="N976" s="11"/>
      <c r="O976" s="11"/>
      <c r="P976" s="11"/>
      <c r="Q976" s="11"/>
      <c r="R976" s="11"/>
      <c r="S976" s="11"/>
      <c r="T976" s="11"/>
      <c r="U976" s="11"/>
      <c r="V976" s="11"/>
      <c r="W976" s="11"/>
      <c r="X976" s="11"/>
      <c r="Y976" s="11"/>
      <c r="Z976" s="11"/>
    </row>
    <row r="977" ht="16.5" customHeight="1">
      <c r="A977" s="11"/>
      <c r="B977" s="11"/>
      <c r="C977" s="11"/>
      <c r="D977" s="11"/>
      <c r="E977" s="11"/>
      <c r="F977" s="11"/>
      <c r="G977" s="12"/>
      <c r="H977" s="11"/>
      <c r="I977" s="12"/>
      <c r="J977" s="12"/>
      <c r="K977" s="12"/>
      <c r="L977" s="11"/>
      <c r="M977" s="11"/>
      <c r="N977" s="11"/>
      <c r="O977" s="11"/>
      <c r="P977" s="11"/>
      <c r="Q977" s="11"/>
      <c r="R977" s="11"/>
      <c r="S977" s="11"/>
      <c r="T977" s="11"/>
      <c r="U977" s="11"/>
      <c r="V977" s="11"/>
      <c r="W977" s="11"/>
      <c r="X977" s="11"/>
      <c r="Y977" s="11"/>
      <c r="Z977" s="11"/>
    </row>
    <row r="978" ht="16.5" customHeight="1">
      <c r="A978" s="11"/>
      <c r="B978" s="11"/>
      <c r="C978" s="11"/>
      <c r="D978" s="11"/>
      <c r="E978" s="11"/>
      <c r="F978" s="11"/>
      <c r="G978" s="12"/>
      <c r="H978" s="11"/>
      <c r="I978" s="12"/>
      <c r="J978" s="12"/>
      <c r="K978" s="12"/>
      <c r="L978" s="11"/>
      <c r="M978" s="11"/>
      <c r="N978" s="11"/>
      <c r="O978" s="11"/>
      <c r="P978" s="11"/>
      <c r="Q978" s="11"/>
      <c r="R978" s="11"/>
      <c r="S978" s="11"/>
      <c r="T978" s="11"/>
      <c r="U978" s="11"/>
      <c r="V978" s="11"/>
      <c r="W978" s="11"/>
      <c r="X978" s="11"/>
      <c r="Y978" s="11"/>
      <c r="Z978" s="11"/>
    </row>
    <row r="979" ht="16.5" customHeight="1">
      <c r="A979" s="11"/>
      <c r="B979" s="11"/>
      <c r="C979" s="11"/>
      <c r="D979" s="11"/>
      <c r="E979" s="11"/>
      <c r="F979" s="11"/>
      <c r="G979" s="12"/>
      <c r="H979" s="11"/>
      <c r="I979" s="12"/>
      <c r="J979" s="12"/>
      <c r="K979" s="12"/>
      <c r="L979" s="11"/>
      <c r="M979" s="11"/>
      <c r="N979" s="11"/>
      <c r="O979" s="11"/>
      <c r="P979" s="11"/>
      <c r="Q979" s="11"/>
      <c r="R979" s="11"/>
      <c r="S979" s="11"/>
      <c r="T979" s="11"/>
      <c r="U979" s="11"/>
      <c r="V979" s="11"/>
      <c r="W979" s="11"/>
      <c r="X979" s="11"/>
      <c r="Y979" s="11"/>
      <c r="Z979" s="11"/>
    </row>
    <row r="980" ht="16.5" customHeight="1">
      <c r="A980" s="11"/>
      <c r="B980" s="11"/>
      <c r="C980" s="11"/>
      <c r="D980" s="11"/>
      <c r="E980" s="11"/>
      <c r="F980" s="11"/>
      <c r="G980" s="12"/>
      <c r="H980" s="11"/>
      <c r="I980" s="12"/>
      <c r="J980" s="12"/>
      <c r="K980" s="12"/>
      <c r="L980" s="11"/>
      <c r="M980" s="11"/>
      <c r="N980" s="11"/>
      <c r="O980" s="11"/>
      <c r="P980" s="11"/>
      <c r="Q980" s="11"/>
      <c r="R980" s="11"/>
      <c r="S980" s="11"/>
      <c r="T980" s="11"/>
      <c r="U980" s="11"/>
      <c r="V980" s="11"/>
      <c r="W980" s="11"/>
      <c r="X980" s="11"/>
      <c r="Y980" s="11"/>
      <c r="Z980" s="11"/>
    </row>
    <row r="981" ht="16.5" customHeight="1">
      <c r="A981" s="11"/>
      <c r="B981" s="11"/>
      <c r="C981" s="11"/>
      <c r="D981" s="11"/>
      <c r="E981" s="11"/>
      <c r="F981" s="11"/>
      <c r="G981" s="12"/>
      <c r="H981" s="11"/>
      <c r="I981" s="12"/>
      <c r="J981" s="12"/>
      <c r="K981" s="12"/>
      <c r="L981" s="11"/>
      <c r="M981" s="11"/>
      <c r="N981" s="11"/>
      <c r="O981" s="11"/>
      <c r="P981" s="11"/>
      <c r="Q981" s="11"/>
      <c r="R981" s="11"/>
      <c r="S981" s="11"/>
      <c r="T981" s="11"/>
      <c r="U981" s="11"/>
      <c r="V981" s="11"/>
      <c r="W981" s="11"/>
      <c r="X981" s="11"/>
      <c r="Y981" s="11"/>
      <c r="Z981" s="11"/>
    </row>
    <row r="982" ht="16.5" customHeight="1">
      <c r="A982" s="11"/>
      <c r="B982" s="11"/>
      <c r="C982" s="11"/>
      <c r="D982" s="11"/>
      <c r="E982" s="11"/>
      <c r="F982" s="11"/>
      <c r="G982" s="12"/>
      <c r="H982" s="11"/>
      <c r="I982" s="12"/>
      <c r="J982" s="12"/>
      <c r="K982" s="12"/>
      <c r="L982" s="11"/>
      <c r="M982" s="11"/>
      <c r="N982" s="11"/>
      <c r="O982" s="11"/>
      <c r="P982" s="11"/>
      <c r="Q982" s="11"/>
      <c r="R982" s="11"/>
      <c r="S982" s="11"/>
      <c r="T982" s="11"/>
      <c r="U982" s="11"/>
      <c r="V982" s="11"/>
      <c r="W982" s="11"/>
      <c r="X982" s="11"/>
      <c r="Y982" s="11"/>
      <c r="Z982" s="11"/>
    </row>
    <row r="983" ht="16.5" customHeight="1">
      <c r="A983" s="11"/>
      <c r="B983" s="11"/>
      <c r="C983" s="11"/>
      <c r="D983" s="11"/>
      <c r="E983" s="11"/>
      <c r="F983" s="11"/>
      <c r="G983" s="12"/>
      <c r="H983" s="11"/>
      <c r="I983" s="12"/>
      <c r="J983" s="12"/>
      <c r="K983" s="12"/>
      <c r="L983" s="11"/>
      <c r="M983" s="11"/>
      <c r="N983" s="11"/>
      <c r="O983" s="11"/>
      <c r="P983" s="11"/>
      <c r="Q983" s="11"/>
      <c r="R983" s="11"/>
      <c r="S983" s="11"/>
      <c r="T983" s="11"/>
      <c r="U983" s="11"/>
      <c r="V983" s="11"/>
      <c r="W983" s="11"/>
      <c r="X983" s="11"/>
      <c r="Y983" s="11"/>
      <c r="Z983" s="11"/>
    </row>
    <row r="984" ht="16.5" customHeight="1">
      <c r="A984" s="11"/>
      <c r="B984" s="11"/>
      <c r="C984" s="11"/>
      <c r="D984" s="11"/>
      <c r="E984" s="11"/>
      <c r="F984" s="11"/>
      <c r="G984" s="12"/>
      <c r="H984" s="11"/>
      <c r="I984" s="12"/>
      <c r="J984" s="12"/>
      <c r="K984" s="12"/>
      <c r="L984" s="11"/>
      <c r="M984" s="11"/>
      <c r="N984" s="11"/>
      <c r="O984" s="11"/>
      <c r="P984" s="11"/>
      <c r="Q984" s="11"/>
      <c r="R984" s="11"/>
      <c r="S984" s="11"/>
      <c r="T984" s="11"/>
      <c r="U984" s="11"/>
      <c r="V984" s="11"/>
      <c r="W984" s="11"/>
      <c r="X984" s="11"/>
      <c r="Y984" s="11"/>
      <c r="Z984" s="11"/>
    </row>
    <row r="985" ht="16.5" customHeight="1">
      <c r="A985" s="11"/>
      <c r="B985" s="11"/>
      <c r="C985" s="11"/>
      <c r="D985" s="11"/>
      <c r="E985" s="11"/>
      <c r="F985" s="11"/>
      <c r="G985" s="12"/>
      <c r="H985" s="11"/>
      <c r="I985" s="12"/>
      <c r="J985" s="12"/>
      <c r="K985" s="12"/>
      <c r="L985" s="11"/>
      <c r="M985" s="11"/>
      <c r="N985" s="11"/>
      <c r="O985" s="11"/>
      <c r="P985" s="11"/>
      <c r="Q985" s="11"/>
      <c r="R985" s="11"/>
      <c r="S985" s="11"/>
      <c r="T985" s="11"/>
      <c r="U985" s="11"/>
      <c r="V985" s="11"/>
      <c r="W985" s="11"/>
      <c r="X985" s="11"/>
      <c r="Y985" s="11"/>
      <c r="Z985" s="11"/>
    </row>
    <row r="986" ht="16.5" customHeight="1">
      <c r="A986" s="11"/>
      <c r="B986" s="11"/>
      <c r="C986" s="11"/>
      <c r="D986" s="11"/>
      <c r="E986" s="11"/>
      <c r="F986" s="11"/>
      <c r="G986" s="12"/>
      <c r="H986" s="11"/>
      <c r="I986" s="12"/>
      <c r="J986" s="12"/>
      <c r="K986" s="12"/>
      <c r="L986" s="11"/>
      <c r="M986" s="11"/>
      <c r="N986" s="11"/>
      <c r="O986" s="11"/>
      <c r="P986" s="11"/>
      <c r="Q986" s="11"/>
      <c r="R986" s="11"/>
      <c r="S986" s="11"/>
      <c r="T986" s="11"/>
      <c r="U986" s="11"/>
      <c r="V986" s="11"/>
      <c r="W986" s="11"/>
      <c r="X986" s="11"/>
      <c r="Y986" s="11"/>
      <c r="Z986" s="11"/>
    </row>
    <row r="987" ht="16.5" customHeight="1">
      <c r="A987" s="11"/>
      <c r="B987" s="11"/>
      <c r="C987" s="11"/>
      <c r="D987" s="11"/>
      <c r="E987" s="11"/>
      <c r="F987" s="11"/>
      <c r="G987" s="12"/>
      <c r="H987" s="11"/>
      <c r="I987" s="12"/>
      <c r="J987" s="12"/>
      <c r="K987" s="12"/>
      <c r="L987" s="11"/>
      <c r="M987" s="11"/>
      <c r="N987" s="11"/>
      <c r="O987" s="11"/>
      <c r="P987" s="11"/>
      <c r="Q987" s="11"/>
      <c r="R987" s="11"/>
      <c r="S987" s="11"/>
      <c r="T987" s="11"/>
      <c r="U987" s="11"/>
      <c r="V987" s="11"/>
      <c r="W987" s="11"/>
      <c r="X987" s="11"/>
      <c r="Y987" s="11"/>
      <c r="Z987" s="11"/>
    </row>
    <row r="988" ht="16.5" customHeight="1">
      <c r="A988" s="11"/>
      <c r="B988" s="11"/>
      <c r="C988" s="11"/>
      <c r="D988" s="11"/>
      <c r="E988" s="11"/>
      <c r="F988" s="11"/>
      <c r="G988" s="12"/>
      <c r="H988" s="11"/>
      <c r="I988" s="12"/>
      <c r="J988" s="12"/>
      <c r="K988" s="12"/>
      <c r="L988" s="11"/>
      <c r="M988" s="11"/>
      <c r="N988" s="11"/>
      <c r="O988" s="11"/>
      <c r="P988" s="11"/>
      <c r="Q988" s="11"/>
      <c r="R988" s="11"/>
      <c r="S988" s="11"/>
      <c r="T988" s="11"/>
      <c r="U988" s="11"/>
      <c r="V988" s="11"/>
      <c r="W988" s="11"/>
      <c r="X988" s="11"/>
      <c r="Y988" s="11"/>
      <c r="Z988" s="11"/>
    </row>
    <row r="989" ht="16.5" customHeight="1">
      <c r="A989" s="11"/>
      <c r="B989" s="11"/>
      <c r="C989" s="11"/>
      <c r="D989" s="11"/>
      <c r="E989" s="11"/>
      <c r="F989" s="11"/>
      <c r="G989" s="12"/>
      <c r="H989" s="11"/>
      <c r="I989" s="12"/>
      <c r="J989" s="12"/>
      <c r="K989" s="12"/>
      <c r="L989" s="11"/>
      <c r="M989" s="11"/>
      <c r="N989" s="11"/>
      <c r="O989" s="11"/>
      <c r="P989" s="11"/>
      <c r="Q989" s="11"/>
      <c r="R989" s="11"/>
      <c r="S989" s="11"/>
      <c r="T989" s="11"/>
      <c r="U989" s="11"/>
      <c r="V989" s="11"/>
      <c r="W989" s="11"/>
      <c r="X989" s="11"/>
      <c r="Y989" s="11"/>
      <c r="Z989" s="11"/>
    </row>
    <row r="990" ht="16.5" customHeight="1">
      <c r="A990" s="11"/>
      <c r="B990" s="11"/>
      <c r="C990" s="11"/>
      <c r="D990" s="11"/>
      <c r="E990" s="11"/>
      <c r="F990" s="11"/>
      <c r="G990" s="12"/>
      <c r="H990" s="11"/>
      <c r="I990" s="12"/>
      <c r="J990" s="12"/>
      <c r="K990" s="12"/>
      <c r="L990" s="11"/>
      <c r="M990" s="11"/>
      <c r="N990" s="11"/>
      <c r="O990" s="11"/>
      <c r="P990" s="11"/>
      <c r="Q990" s="11"/>
      <c r="R990" s="11"/>
      <c r="S990" s="11"/>
      <c r="T990" s="11"/>
      <c r="U990" s="11"/>
      <c r="V990" s="11"/>
      <c r="W990" s="11"/>
      <c r="X990" s="11"/>
      <c r="Y990" s="11"/>
      <c r="Z990" s="11"/>
    </row>
    <row r="991" ht="16.5" customHeight="1">
      <c r="A991" s="11"/>
      <c r="B991" s="11"/>
      <c r="C991" s="11"/>
      <c r="D991" s="11"/>
      <c r="E991" s="11"/>
      <c r="F991" s="11"/>
      <c r="G991" s="12"/>
      <c r="H991" s="11"/>
      <c r="I991" s="12"/>
      <c r="J991" s="12"/>
      <c r="K991" s="12"/>
      <c r="L991" s="11"/>
      <c r="M991" s="11"/>
      <c r="N991" s="11"/>
      <c r="O991" s="11"/>
      <c r="P991" s="11"/>
      <c r="Q991" s="11"/>
      <c r="R991" s="11"/>
      <c r="S991" s="11"/>
      <c r="T991" s="11"/>
      <c r="U991" s="11"/>
      <c r="V991" s="11"/>
      <c r="W991" s="11"/>
      <c r="X991" s="11"/>
      <c r="Y991" s="11"/>
      <c r="Z991" s="11"/>
    </row>
    <row r="992" ht="16.5" customHeight="1">
      <c r="A992" s="11"/>
      <c r="B992" s="11"/>
      <c r="C992" s="11"/>
      <c r="D992" s="11"/>
      <c r="E992" s="11"/>
      <c r="F992" s="11"/>
      <c r="G992" s="12"/>
      <c r="H992" s="11"/>
      <c r="I992" s="12"/>
      <c r="J992" s="12"/>
      <c r="K992" s="12"/>
      <c r="L992" s="11"/>
      <c r="M992" s="11"/>
      <c r="N992" s="11"/>
      <c r="O992" s="11"/>
      <c r="P992" s="11"/>
      <c r="Q992" s="11"/>
      <c r="R992" s="11"/>
      <c r="S992" s="11"/>
      <c r="T992" s="11"/>
      <c r="U992" s="11"/>
      <c r="V992" s="11"/>
      <c r="W992" s="11"/>
      <c r="X992" s="11"/>
      <c r="Y992" s="11"/>
      <c r="Z992" s="11"/>
    </row>
    <row r="993" ht="16.5" customHeight="1">
      <c r="A993" s="11"/>
      <c r="B993" s="11"/>
      <c r="C993" s="11"/>
      <c r="D993" s="11"/>
      <c r="E993" s="11"/>
      <c r="F993" s="11"/>
      <c r="G993" s="12"/>
      <c r="H993" s="11"/>
      <c r="I993" s="12"/>
      <c r="J993" s="12"/>
      <c r="K993" s="12"/>
      <c r="L993" s="11"/>
      <c r="M993" s="11"/>
      <c r="N993" s="11"/>
      <c r="O993" s="11"/>
      <c r="P993" s="11"/>
      <c r="Q993" s="11"/>
      <c r="R993" s="11"/>
      <c r="S993" s="11"/>
      <c r="T993" s="11"/>
      <c r="U993" s="11"/>
      <c r="V993" s="11"/>
      <c r="W993" s="11"/>
      <c r="X993" s="11"/>
      <c r="Y993" s="11"/>
      <c r="Z993" s="11"/>
    </row>
    <row r="994" ht="16.5" customHeight="1">
      <c r="A994" s="11"/>
      <c r="B994" s="11"/>
      <c r="C994" s="11"/>
      <c r="D994" s="11"/>
      <c r="E994" s="11"/>
      <c r="F994" s="11"/>
      <c r="G994" s="12"/>
      <c r="H994" s="11"/>
      <c r="I994" s="12"/>
      <c r="J994" s="12"/>
      <c r="K994" s="12"/>
      <c r="L994" s="11"/>
      <c r="M994" s="11"/>
      <c r="N994" s="11"/>
      <c r="O994" s="11"/>
      <c r="P994" s="11"/>
      <c r="Q994" s="11"/>
      <c r="R994" s="11"/>
      <c r="S994" s="11"/>
      <c r="T994" s="11"/>
      <c r="U994" s="11"/>
      <c r="V994" s="11"/>
      <c r="W994" s="11"/>
      <c r="X994" s="11"/>
      <c r="Y994" s="11"/>
      <c r="Z994" s="11"/>
    </row>
    <row r="995" ht="16.5" customHeight="1">
      <c r="A995" s="11"/>
      <c r="B995" s="11"/>
      <c r="C995" s="11"/>
      <c r="D995" s="11"/>
      <c r="E995" s="11"/>
      <c r="F995" s="11"/>
      <c r="G995" s="12"/>
      <c r="H995" s="11"/>
      <c r="I995" s="12"/>
      <c r="J995" s="12"/>
      <c r="K995" s="12"/>
      <c r="L995" s="11"/>
      <c r="M995" s="11"/>
      <c r="N995" s="11"/>
      <c r="O995" s="11"/>
      <c r="P995" s="11"/>
      <c r="Q995" s="11"/>
      <c r="R995" s="11"/>
      <c r="S995" s="11"/>
      <c r="T995" s="11"/>
      <c r="U995" s="11"/>
      <c r="V995" s="11"/>
      <c r="W995" s="11"/>
      <c r="X995" s="11"/>
      <c r="Y995" s="11"/>
      <c r="Z995" s="11"/>
    </row>
    <row r="996" ht="16.5" customHeight="1">
      <c r="A996" s="11"/>
      <c r="B996" s="11"/>
      <c r="C996" s="11"/>
      <c r="D996" s="11"/>
      <c r="E996" s="11"/>
      <c r="F996" s="11"/>
      <c r="G996" s="12"/>
      <c r="H996" s="11"/>
      <c r="I996" s="12"/>
      <c r="J996" s="12"/>
      <c r="K996" s="12"/>
      <c r="L996" s="11"/>
      <c r="M996" s="11"/>
      <c r="N996" s="11"/>
      <c r="O996" s="11"/>
      <c r="P996" s="11"/>
      <c r="Q996" s="11"/>
      <c r="R996" s="11"/>
      <c r="S996" s="11"/>
      <c r="T996" s="11"/>
      <c r="U996" s="11"/>
      <c r="V996" s="11"/>
      <c r="W996" s="11"/>
      <c r="X996" s="11"/>
      <c r="Y996" s="11"/>
      <c r="Z996" s="11"/>
    </row>
    <row r="997" ht="16.5" customHeight="1">
      <c r="A997" s="11"/>
      <c r="B997" s="11"/>
      <c r="C997" s="11"/>
      <c r="D997" s="11"/>
      <c r="E997" s="11"/>
      <c r="F997" s="11"/>
      <c r="G997" s="12"/>
      <c r="H997" s="11"/>
      <c r="I997" s="12"/>
      <c r="J997" s="12"/>
      <c r="K997" s="12"/>
      <c r="L997" s="11"/>
      <c r="M997" s="11"/>
      <c r="N997" s="11"/>
      <c r="O997" s="11"/>
      <c r="P997" s="11"/>
      <c r="Q997" s="11"/>
      <c r="R997" s="11"/>
      <c r="S997" s="11"/>
      <c r="T997" s="11"/>
      <c r="U997" s="11"/>
      <c r="V997" s="11"/>
      <c r="W997" s="11"/>
      <c r="X997" s="11"/>
      <c r="Y997" s="11"/>
      <c r="Z997" s="11"/>
    </row>
    <row r="998" ht="16.5" customHeight="1">
      <c r="A998" s="11"/>
      <c r="B998" s="11"/>
      <c r="C998" s="11"/>
      <c r="D998" s="11"/>
      <c r="E998" s="11"/>
      <c r="F998" s="11"/>
      <c r="G998" s="12"/>
      <c r="H998" s="11"/>
      <c r="I998" s="12"/>
      <c r="J998" s="12"/>
      <c r="K998" s="12"/>
      <c r="L998" s="11"/>
      <c r="M998" s="11"/>
      <c r="N998" s="11"/>
      <c r="O998" s="11"/>
      <c r="P998" s="11"/>
      <c r="Q998" s="11"/>
      <c r="R998" s="11"/>
      <c r="S998" s="11"/>
      <c r="T998" s="11"/>
      <c r="U998" s="11"/>
      <c r="V998" s="11"/>
      <c r="W998" s="11"/>
      <c r="X998" s="11"/>
      <c r="Y998" s="11"/>
      <c r="Z998" s="11"/>
    </row>
    <row r="999" ht="16.5" customHeight="1">
      <c r="A999" s="11"/>
      <c r="B999" s="11"/>
      <c r="C999" s="11"/>
      <c r="D999" s="11"/>
      <c r="E999" s="11"/>
      <c r="F999" s="11"/>
      <c r="G999" s="12"/>
      <c r="H999" s="11"/>
      <c r="I999" s="12"/>
      <c r="J999" s="12"/>
      <c r="K999" s="12"/>
      <c r="L999" s="11"/>
      <c r="M999" s="11"/>
      <c r="N999" s="11"/>
      <c r="O999" s="11"/>
      <c r="P999" s="11"/>
      <c r="Q999" s="11"/>
      <c r="R999" s="11"/>
      <c r="S999" s="11"/>
      <c r="T999" s="11"/>
      <c r="U999" s="11"/>
      <c r="V999" s="11"/>
      <c r="W999" s="11"/>
      <c r="X999" s="11"/>
      <c r="Y999" s="11"/>
      <c r="Z999" s="11"/>
    </row>
    <row r="1000" ht="16.5" customHeight="1">
      <c r="A1000" s="11"/>
      <c r="B1000" s="11"/>
      <c r="C1000" s="11"/>
      <c r="D1000" s="11"/>
      <c r="E1000" s="11"/>
      <c r="F1000" s="11"/>
      <c r="G1000" s="12"/>
      <c r="H1000" s="11"/>
      <c r="I1000" s="12"/>
      <c r="J1000" s="12"/>
      <c r="K1000" s="12"/>
      <c r="L1000" s="11"/>
      <c r="M1000" s="11"/>
      <c r="N1000" s="11"/>
      <c r="O1000" s="11"/>
      <c r="P1000" s="11"/>
      <c r="Q1000" s="11"/>
      <c r="R1000" s="11"/>
      <c r="S1000" s="11"/>
      <c r="T1000" s="11"/>
      <c r="U1000" s="11"/>
      <c r="V1000" s="11"/>
      <c r="W1000" s="11"/>
      <c r="X1000" s="11"/>
      <c r="Y1000" s="11"/>
      <c r="Z1000" s="11"/>
    </row>
  </sheetData>
  <autoFilter ref="$B$4:$K$4"/>
  <mergeCells count="43">
    <mergeCell ref="B1:K1"/>
    <mergeCell ref="E4:F4"/>
    <mergeCell ref="C5:C8"/>
    <mergeCell ref="E5:F5"/>
    <mergeCell ref="E6:F6"/>
    <mergeCell ref="E7:F7"/>
    <mergeCell ref="E8:F8"/>
    <mergeCell ref="E9:F9"/>
    <mergeCell ref="E10:F10"/>
    <mergeCell ref="E11:F11"/>
    <mergeCell ref="D12:D14"/>
    <mergeCell ref="E12:E14"/>
    <mergeCell ref="E15:F15"/>
    <mergeCell ref="E16:F16"/>
    <mergeCell ref="B24:B26"/>
    <mergeCell ref="C24:C26"/>
    <mergeCell ref="B27:B32"/>
    <mergeCell ref="C27:C32"/>
    <mergeCell ref="B33:B34"/>
    <mergeCell ref="C33:C34"/>
    <mergeCell ref="B5:B8"/>
    <mergeCell ref="B9:B11"/>
    <mergeCell ref="C9:C11"/>
    <mergeCell ref="B12:B16"/>
    <mergeCell ref="C12:C16"/>
    <mergeCell ref="B17:B23"/>
    <mergeCell ref="C17:C23"/>
    <mergeCell ref="E17:F17"/>
    <mergeCell ref="E18:F18"/>
    <mergeCell ref="E19:F19"/>
    <mergeCell ref="E20:F20"/>
    <mergeCell ref="D21:D23"/>
    <mergeCell ref="E21:E23"/>
    <mergeCell ref="E24:F24"/>
    <mergeCell ref="E33:F33"/>
    <mergeCell ref="E34:F34"/>
    <mergeCell ref="E25:F25"/>
    <mergeCell ref="E26:F26"/>
    <mergeCell ref="E27:F27"/>
    <mergeCell ref="D28:D29"/>
    <mergeCell ref="E28:E29"/>
    <mergeCell ref="D30:D32"/>
    <mergeCell ref="E30:E32"/>
  </mergeCells>
  <conditionalFormatting sqref="H5:H34">
    <cfRule type="containsText" dxfId="0" priority="1" operator="containsText" text="N/A">
      <formula>NOT(ISERROR(SEARCH(("N/A"),(H5))))</formula>
    </cfRule>
  </conditionalFormatting>
  <conditionalFormatting sqref="H5:H34">
    <cfRule type="containsText" dxfId="1" priority="2" operator="containsText" text="N">
      <formula>NOT(ISERROR(SEARCH(("N"),(H5))))</formula>
    </cfRule>
  </conditionalFormatting>
  <conditionalFormatting sqref="H5:H34">
    <cfRule type="containsText" dxfId="2" priority="3" operator="containsText" text="P">
      <formula>NOT(ISERROR(SEARCH(("P"),(H5))))</formula>
    </cfRule>
  </conditionalFormatting>
  <conditionalFormatting sqref="H5:H34">
    <cfRule type="containsText" dxfId="3" priority="4" operator="containsText" text="Y">
      <formula>NOT(ISERROR(SEARCH(("Y"),(H5))))</formula>
    </cfRule>
  </conditionalFormatting>
  <dataValidations>
    <dataValidation type="list" allowBlank="1" showErrorMessage="1" sqref="H5:H34">
      <formula1>"Y,P,N,N/A"</formula1>
    </dataValidation>
  </dataValidations>
  <printOptions/>
  <pageMargins bottom="0.75" footer="0.0" header="0.0" left="0.7" right="0.7" top="0.75"/>
  <pageSetup paperSize="9" scale="2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2F2F2"/>
    <pageSetUpPr/>
  </sheetPr>
  <sheetViews>
    <sheetView workbookViewId="0"/>
  </sheetViews>
  <sheetFormatPr customHeight="1" defaultColWidth="14.43" defaultRowHeight="15.0"/>
  <cols>
    <col customWidth="1" min="1" max="1" width="3.0"/>
    <col customWidth="1" min="2" max="2" width="13.29"/>
    <col customWidth="1" min="3" max="3" width="11.71"/>
    <col customWidth="1" min="4" max="4" width="18.86"/>
    <col customWidth="1" min="5" max="5" width="30.29"/>
    <col customWidth="1" min="6" max="6" width="13.29"/>
    <col customWidth="1" min="7" max="7" width="60.43"/>
    <col customWidth="1" min="8" max="8" width="6.0"/>
    <col customWidth="1" min="9" max="9" width="60.43"/>
    <col customWidth="1" min="10" max="11" width="40.43"/>
    <col customWidth="1" min="12" max="26" width="9.0"/>
  </cols>
  <sheetData>
    <row r="1" ht="37.5" customHeight="1">
      <c r="A1" s="8" t="s">
        <v>149</v>
      </c>
      <c r="B1" s="9" t="s">
        <v>150</v>
      </c>
      <c r="C1" s="10"/>
      <c r="D1" s="10"/>
      <c r="E1" s="10"/>
      <c r="F1" s="10"/>
      <c r="G1" s="10"/>
      <c r="H1" s="10"/>
      <c r="I1" s="10"/>
      <c r="J1" s="10"/>
      <c r="K1" s="10"/>
      <c r="L1" s="8"/>
      <c r="M1" s="8"/>
      <c r="N1" s="8"/>
      <c r="O1" s="8"/>
      <c r="P1" s="8"/>
      <c r="Q1" s="8"/>
      <c r="R1" s="8"/>
      <c r="S1" s="8"/>
      <c r="T1" s="8"/>
      <c r="U1" s="8"/>
      <c r="V1" s="8"/>
      <c r="W1" s="8"/>
      <c r="X1" s="8"/>
      <c r="Y1" s="8"/>
      <c r="Z1" s="8"/>
    </row>
    <row r="2" ht="16.5" customHeight="1">
      <c r="A2" s="8"/>
      <c r="B2" s="27"/>
      <c r="C2" s="27"/>
      <c r="D2" s="27"/>
      <c r="E2" s="28"/>
      <c r="F2" s="29"/>
      <c r="G2" s="28"/>
      <c r="H2" s="30"/>
      <c r="I2" s="31"/>
      <c r="J2" s="28"/>
      <c r="K2" s="27"/>
      <c r="L2" s="8"/>
      <c r="M2" s="8"/>
      <c r="N2" s="8"/>
      <c r="O2" s="8"/>
      <c r="P2" s="8"/>
      <c r="Q2" s="8"/>
      <c r="R2" s="8"/>
      <c r="S2" s="8"/>
      <c r="T2" s="8"/>
      <c r="U2" s="8"/>
      <c r="V2" s="8"/>
      <c r="W2" s="8"/>
      <c r="X2" s="8"/>
      <c r="Y2" s="8"/>
      <c r="Z2" s="8"/>
    </row>
    <row r="3" ht="16.5" customHeight="1">
      <c r="A3" s="8"/>
      <c r="B3" s="27"/>
      <c r="C3" s="27"/>
      <c r="D3" s="27"/>
      <c r="E3" s="28"/>
      <c r="F3" s="29"/>
      <c r="G3" s="28"/>
      <c r="H3" s="30"/>
      <c r="I3" s="31"/>
      <c r="J3" s="28"/>
      <c r="K3" s="27"/>
      <c r="L3" s="8"/>
      <c r="M3" s="8"/>
      <c r="N3" s="8"/>
      <c r="O3" s="8"/>
      <c r="P3" s="8"/>
      <c r="Q3" s="8"/>
      <c r="R3" s="8"/>
      <c r="S3" s="8"/>
      <c r="T3" s="8"/>
      <c r="U3" s="8"/>
      <c r="V3" s="8"/>
      <c r="W3" s="8"/>
      <c r="X3" s="8"/>
      <c r="Y3" s="8"/>
      <c r="Z3" s="8"/>
    </row>
    <row r="4" ht="16.5" customHeight="1">
      <c r="A4" s="8"/>
      <c r="B4" s="32" t="s">
        <v>151</v>
      </c>
      <c r="C4" s="33" t="s">
        <v>152</v>
      </c>
      <c r="D4" s="33" t="s">
        <v>153</v>
      </c>
      <c r="E4" s="33" t="s">
        <v>154</v>
      </c>
      <c r="F4" s="33" t="s">
        <v>155</v>
      </c>
      <c r="G4" s="33" t="s">
        <v>156</v>
      </c>
      <c r="H4" s="33" t="s">
        <v>14</v>
      </c>
      <c r="I4" s="34" t="s">
        <v>157</v>
      </c>
      <c r="J4" s="34" t="s">
        <v>16</v>
      </c>
      <c r="K4" s="35" t="s">
        <v>17</v>
      </c>
      <c r="L4" s="8"/>
      <c r="M4" s="8"/>
      <c r="N4" s="8"/>
      <c r="O4" s="8"/>
      <c r="P4" s="8"/>
      <c r="Q4" s="8"/>
      <c r="R4" s="8"/>
      <c r="S4" s="8"/>
      <c r="T4" s="8"/>
      <c r="U4" s="8"/>
      <c r="V4" s="8"/>
      <c r="W4" s="8"/>
      <c r="X4" s="8"/>
      <c r="Y4" s="8"/>
      <c r="Z4" s="8"/>
    </row>
    <row r="5" ht="84.75" customHeight="1">
      <c r="A5" s="8"/>
      <c r="B5" s="36" t="s">
        <v>158</v>
      </c>
      <c r="C5" s="36" t="s">
        <v>159</v>
      </c>
      <c r="D5" s="36" t="s">
        <v>160</v>
      </c>
      <c r="E5" s="36" t="s">
        <v>161</v>
      </c>
      <c r="F5" s="37" t="s">
        <v>162</v>
      </c>
      <c r="G5" s="38" t="s">
        <v>163</v>
      </c>
      <c r="H5" s="39" t="s">
        <v>22</v>
      </c>
      <c r="I5" s="40" t="s">
        <v>164</v>
      </c>
      <c r="J5" s="41" t="s">
        <v>165</v>
      </c>
      <c r="K5" s="38" t="s">
        <v>166</v>
      </c>
      <c r="L5" s="8"/>
      <c r="M5" s="8"/>
      <c r="N5" s="8"/>
      <c r="O5" s="8"/>
      <c r="P5" s="8"/>
      <c r="Q5" s="8"/>
      <c r="R5" s="8"/>
      <c r="S5" s="8"/>
      <c r="T5" s="8"/>
      <c r="U5" s="8"/>
      <c r="V5" s="8"/>
      <c r="W5" s="8"/>
      <c r="X5" s="8"/>
      <c r="Y5" s="8"/>
      <c r="Z5" s="8"/>
    </row>
    <row r="6">
      <c r="A6" s="8"/>
      <c r="B6" s="36"/>
      <c r="C6" s="36"/>
      <c r="D6" s="36"/>
      <c r="E6" s="36"/>
      <c r="F6" s="37" t="s">
        <v>167</v>
      </c>
      <c r="G6" s="38" t="s">
        <v>168</v>
      </c>
      <c r="H6" s="39" t="s">
        <v>22</v>
      </c>
      <c r="I6" s="42" t="s">
        <v>169</v>
      </c>
      <c r="J6" s="38" t="s">
        <v>170</v>
      </c>
      <c r="K6" s="38"/>
      <c r="L6" s="8"/>
      <c r="M6" s="8"/>
      <c r="N6" s="8"/>
      <c r="O6" s="8"/>
      <c r="P6" s="8"/>
      <c r="Q6" s="8"/>
      <c r="R6" s="8"/>
      <c r="S6" s="8"/>
      <c r="T6" s="8"/>
      <c r="U6" s="8"/>
      <c r="V6" s="8"/>
      <c r="W6" s="8"/>
      <c r="X6" s="8"/>
      <c r="Y6" s="8"/>
      <c r="Z6" s="8"/>
    </row>
    <row r="7">
      <c r="A7" s="8"/>
      <c r="B7" s="36"/>
      <c r="C7" s="36"/>
      <c r="D7" s="36"/>
      <c r="E7" s="36"/>
      <c r="F7" s="37" t="s">
        <v>171</v>
      </c>
      <c r="G7" s="38" t="s">
        <v>172</v>
      </c>
      <c r="H7" s="39" t="s">
        <v>22</v>
      </c>
      <c r="I7" s="40" t="s">
        <v>173</v>
      </c>
      <c r="J7" s="38"/>
      <c r="K7" s="38"/>
      <c r="L7" s="8"/>
      <c r="M7" s="8"/>
      <c r="N7" s="8"/>
      <c r="O7" s="8"/>
      <c r="P7" s="8"/>
      <c r="Q7" s="8"/>
      <c r="R7" s="8"/>
      <c r="S7" s="8"/>
      <c r="T7" s="8"/>
      <c r="U7" s="8"/>
      <c r="V7" s="8"/>
      <c r="W7" s="8"/>
      <c r="X7" s="8"/>
      <c r="Y7" s="8"/>
      <c r="Z7" s="8"/>
    </row>
    <row r="8">
      <c r="A8" s="8"/>
      <c r="B8" s="36"/>
      <c r="C8" s="36"/>
      <c r="D8" s="36"/>
      <c r="E8" s="36"/>
      <c r="F8" s="37" t="s">
        <v>174</v>
      </c>
      <c r="G8" s="38" t="s">
        <v>175</v>
      </c>
      <c r="H8" s="39" t="s">
        <v>22</v>
      </c>
      <c r="I8" s="42" t="s">
        <v>176</v>
      </c>
      <c r="J8" s="38"/>
      <c r="K8" s="38"/>
      <c r="L8" s="8"/>
      <c r="M8" s="8"/>
      <c r="N8" s="8"/>
      <c r="O8" s="8"/>
      <c r="P8" s="8"/>
      <c r="Q8" s="8"/>
      <c r="R8" s="8"/>
      <c r="S8" s="8"/>
      <c r="T8" s="8"/>
      <c r="U8" s="8"/>
      <c r="V8" s="8"/>
      <c r="W8" s="8"/>
      <c r="X8" s="8"/>
      <c r="Y8" s="8"/>
      <c r="Z8" s="8"/>
    </row>
    <row r="9">
      <c r="A9" s="8"/>
      <c r="B9" s="36"/>
      <c r="C9" s="36"/>
      <c r="D9" s="36"/>
      <c r="E9" s="36"/>
      <c r="F9" s="37" t="s">
        <v>177</v>
      </c>
      <c r="G9" s="38" t="s">
        <v>178</v>
      </c>
      <c r="H9" s="39" t="s">
        <v>22</v>
      </c>
      <c r="I9" s="40" t="s">
        <v>179</v>
      </c>
      <c r="J9" s="38"/>
      <c r="K9" s="38" t="s">
        <v>166</v>
      </c>
      <c r="L9" s="8"/>
      <c r="M9" s="8"/>
      <c r="N9" s="8"/>
      <c r="O9" s="8"/>
      <c r="P9" s="8"/>
      <c r="Q9" s="8"/>
      <c r="R9" s="8"/>
      <c r="S9" s="8"/>
      <c r="T9" s="8"/>
      <c r="U9" s="8"/>
      <c r="V9" s="8"/>
      <c r="W9" s="8"/>
      <c r="X9" s="8"/>
      <c r="Y9" s="8"/>
      <c r="Z9" s="8"/>
    </row>
    <row r="10">
      <c r="A10" s="8"/>
      <c r="B10" s="36"/>
      <c r="C10" s="36" t="s">
        <v>180</v>
      </c>
      <c r="D10" s="36" t="s">
        <v>181</v>
      </c>
      <c r="E10" s="36" t="s">
        <v>182</v>
      </c>
      <c r="F10" s="37" t="s">
        <v>183</v>
      </c>
      <c r="G10" s="38" t="s">
        <v>184</v>
      </c>
      <c r="H10" s="39" t="s">
        <v>22</v>
      </c>
      <c r="I10" s="42" t="s">
        <v>185</v>
      </c>
      <c r="J10" s="38" t="s">
        <v>186</v>
      </c>
      <c r="K10" s="38" t="s">
        <v>187</v>
      </c>
      <c r="L10" s="8"/>
      <c r="M10" s="8"/>
      <c r="N10" s="8"/>
      <c r="O10" s="8"/>
      <c r="P10" s="8"/>
      <c r="Q10" s="8"/>
      <c r="R10" s="8"/>
      <c r="S10" s="8"/>
      <c r="T10" s="8"/>
      <c r="U10" s="8"/>
      <c r="V10" s="8"/>
      <c r="W10" s="8"/>
      <c r="X10" s="8"/>
      <c r="Y10" s="8"/>
      <c r="Z10" s="8"/>
    </row>
    <row r="11">
      <c r="A11" s="8"/>
      <c r="B11" s="36"/>
      <c r="C11" s="36"/>
      <c r="D11" s="36"/>
      <c r="E11" s="36"/>
      <c r="F11" s="37" t="s">
        <v>188</v>
      </c>
      <c r="G11" s="38" t="s">
        <v>189</v>
      </c>
      <c r="H11" s="39" t="s">
        <v>22</v>
      </c>
      <c r="I11" s="40" t="s">
        <v>190</v>
      </c>
      <c r="J11" s="38"/>
      <c r="K11" s="38"/>
      <c r="L11" s="8"/>
      <c r="M11" s="8"/>
      <c r="N11" s="8"/>
      <c r="O11" s="8"/>
      <c r="P11" s="8"/>
      <c r="Q11" s="8"/>
      <c r="R11" s="8"/>
      <c r="S11" s="8"/>
      <c r="T11" s="8"/>
      <c r="U11" s="8"/>
      <c r="V11" s="8"/>
      <c r="W11" s="8"/>
      <c r="X11" s="8"/>
      <c r="Y11" s="8"/>
      <c r="Z11" s="8"/>
    </row>
    <row r="12">
      <c r="A12" s="8"/>
      <c r="B12" s="36"/>
      <c r="C12" s="36" t="s">
        <v>191</v>
      </c>
      <c r="D12" s="36" t="s">
        <v>192</v>
      </c>
      <c r="E12" s="36" t="s">
        <v>193</v>
      </c>
      <c r="F12" s="37" t="s">
        <v>194</v>
      </c>
      <c r="G12" s="38" t="s">
        <v>195</v>
      </c>
      <c r="H12" s="39" t="s">
        <v>22</v>
      </c>
      <c r="I12" s="42" t="s">
        <v>196</v>
      </c>
      <c r="J12" s="38" t="s">
        <v>197</v>
      </c>
      <c r="K12" s="38" t="s">
        <v>198</v>
      </c>
      <c r="L12" s="8"/>
      <c r="M12" s="8"/>
      <c r="N12" s="8"/>
      <c r="O12" s="8"/>
      <c r="P12" s="8"/>
      <c r="Q12" s="8"/>
      <c r="R12" s="8"/>
      <c r="S12" s="8"/>
      <c r="T12" s="8"/>
      <c r="U12" s="8"/>
      <c r="V12" s="8"/>
      <c r="W12" s="8"/>
      <c r="X12" s="8"/>
      <c r="Y12" s="8"/>
      <c r="Z12" s="8"/>
    </row>
    <row r="13">
      <c r="A13" s="8"/>
      <c r="B13" s="36"/>
      <c r="C13" s="36"/>
      <c r="D13" s="36"/>
      <c r="E13" s="36"/>
      <c r="F13" s="37" t="s">
        <v>199</v>
      </c>
      <c r="G13" s="38" t="s">
        <v>200</v>
      </c>
      <c r="H13" s="39" t="s">
        <v>22</v>
      </c>
      <c r="I13" s="40" t="s">
        <v>201</v>
      </c>
      <c r="J13" s="41"/>
      <c r="K13" s="43"/>
      <c r="L13" s="8"/>
      <c r="M13" s="8"/>
      <c r="N13" s="8"/>
      <c r="O13" s="8"/>
      <c r="P13" s="8"/>
      <c r="Q13" s="8"/>
      <c r="R13" s="8"/>
      <c r="S13" s="8"/>
      <c r="T13" s="8"/>
      <c r="U13" s="8"/>
      <c r="V13" s="8"/>
      <c r="W13" s="8"/>
      <c r="X13" s="8"/>
      <c r="Y13" s="8"/>
      <c r="Z13" s="8"/>
    </row>
    <row r="14">
      <c r="A14" s="8"/>
      <c r="B14" s="36"/>
      <c r="C14" s="36" t="s">
        <v>202</v>
      </c>
      <c r="D14" s="36" t="s">
        <v>203</v>
      </c>
      <c r="E14" s="36" t="s">
        <v>204</v>
      </c>
      <c r="F14" s="37" t="s">
        <v>205</v>
      </c>
      <c r="G14" s="38" t="s">
        <v>206</v>
      </c>
      <c r="H14" s="39" t="s">
        <v>22</v>
      </c>
      <c r="I14" s="44" t="s">
        <v>207</v>
      </c>
      <c r="J14" s="43" t="s">
        <v>208</v>
      </c>
      <c r="K14" s="43"/>
      <c r="L14" s="8" t="s">
        <v>209</v>
      </c>
      <c r="M14" s="8"/>
      <c r="N14" s="8"/>
      <c r="O14" s="8"/>
      <c r="P14" s="8"/>
      <c r="Q14" s="8"/>
      <c r="R14" s="8"/>
      <c r="S14" s="8"/>
      <c r="T14" s="8"/>
      <c r="U14" s="8"/>
      <c r="V14" s="8"/>
      <c r="W14" s="8"/>
      <c r="X14" s="8"/>
      <c r="Y14" s="8"/>
      <c r="Z14" s="8"/>
    </row>
    <row r="15" ht="48.0" customHeight="1">
      <c r="A15" s="8"/>
      <c r="B15" s="36"/>
      <c r="C15" s="36" t="s">
        <v>210</v>
      </c>
      <c r="D15" s="36" t="s">
        <v>211</v>
      </c>
      <c r="E15" s="36" t="s">
        <v>212</v>
      </c>
      <c r="F15" s="37" t="s">
        <v>213</v>
      </c>
      <c r="G15" s="38" t="s">
        <v>214</v>
      </c>
      <c r="H15" s="39" t="s">
        <v>22</v>
      </c>
      <c r="I15" s="45" t="s">
        <v>215</v>
      </c>
      <c r="J15" s="38" t="s">
        <v>216</v>
      </c>
      <c r="K15" s="38"/>
      <c r="L15" s="8"/>
      <c r="M15" s="8"/>
      <c r="N15" s="8"/>
      <c r="O15" s="8"/>
      <c r="P15" s="8"/>
      <c r="Q15" s="8"/>
      <c r="R15" s="8"/>
      <c r="S15" s="8"/>
      <c r="T15" s="8"/>
      <c r="U15" s="8"/>
      <c r="V15" s="8"/>
      <c r="W15" s="8"/>
      <c r="X15" s="8"/>
      <c r="Y15" s="8"/>
      <c r="Z15" s="8"/>
    </row>
    <row r="16" ht="102.75" customHeight="1">
      <c r="A16" s="8"/>
      <c r="B16" s="36"/>
      <c r="C16" s="36" t="s">
        <v>217</v>
      </c>
      <c r="D16" s="36" t="s">
        <v>218</v>
      </c>
      <c r="E16" s="36" t="s">
        <v>219</v>
      </c>
      <c r="F16" s="37" t="s">
        <v>220</v>
      </c>
      <c r="G16" s="38" t="s">
        <v>221</v>
      </c>
      <c r="H16" s="39" t="s">
        <v>22</v>
      </c>
      <c r="I16" s="42" t="s">
        <v>215</v>
      </c>
      <c r="J16" s="38" t="s">
        <v>216</v>
      </c>
      <c r="K16" s="38"/>
      <c r="L16" s="8"/>
      <c r="M16" s="8"/>
      <c r="N16" s="8"/>
      <c r="O16" s="8"/>
      <c r="P16" s="8"/>
      <c r="Q16" s="8"/>
      <c r="R16" s="8"/>
      <c r="S16" s="8"/>
      <c r="T16" s="8"/>
      <c r="U16" s="8"/>
      <c r="V16" s="8"/>
      <c r="W16" s="8"/>
      <c r="X16" s="8"/>
      <c r="Y16" s="8"/>
      <c r="Z16" s="8"/>
    </row>
    <row r="17" ht="75.0" customHeight="1">
      <c r="A17" s="8"/>
      <c r="B17" s="36"/>
      <c r="C17" s="36" t="s">
        <v>222</v>
      </c>
      <c r="D17" s="36" t="s">
        <v>223</v>
      </c>
      <c r="E17" s="36" t="s">
        <v>224</v>
      </c>
      <c r="F17" s="37" t="s">
        <v>225</v>
      </c>
      <c r="G17" s="38" t="s">
        <v>226</v>
      </c>
      <c r="H17" s="39" t="s">
        <v>22</v>
      </c>
      <c r="I17" s="40" t="s">
        <v>227</v>
      </c>
      <c r="J17" s="38" t="s">
        <v>228</v>
      </c>
      <c r="K17" s="38"/>
      <c r="L17" s="8"/>
      <c r="M17" s="8"/>
      <c r="N17" s="8"/>
      <c r="O17" s="8"/>
      <c r="P17" s="8"/>
      <c r="Q17" s="8"/>
      <c r="R17" s="8"/>
      <c r="S17" s="8"/>
      <c r="T17" s="8"/>
      <c r="U17" s="8"/>
      <c r="V17" s="8"/>
      <c r="W17" s="8"/>
      <c r="X17" s="8"/>
      <c r="Y17" s="8"/>
      <c r="Z17" s="8"/>
    </row>
    <row r="18">
      <c r="A18" s="8"/>
      <c r="B18" s="36"/>
      <c r="C18" s="36"/>
      <c r="D18" s="36"/>
      <c r="E18" s="36"/>
      <c r="F18" s="37" t="s">
        <v>229</v>
      </c>
      <c r="G18" s="38" t="s">
        <v>230</v>
      </c>
      <c r="H18" s="39" t="s">
        <v>22</v>
      </c>
      <c r="I18" s="42" t="s">
        <v>231</v>
      </c>
      <c r="J18" s="43"/>
      <c r="K18" s="38" t="s">
        <v>232</v>
      </c>
      <c r="L18" s="8"/>
      <c r="M18" s="8"/>
      <c r="N18" s="8"/>
      <c r="O18" s="8"/>
      <c r="P18" s="8"/>
      <c r="Q18" s="8"/>
      <c r="R18" s="8"/>
      <c r="S18" s="8"/>
      <c r="T18" s="8"/>
      <c r="U18" s="8"/>
      <c r="V18" s="8"/>
      <c r="W18" s="8"/>
      <c r="X18" s="8"/>
      <c r="Y18" s="8"/>
      <c r="Z18" s="8"/>
    </row>
    <row r="19">
      <c r="A19" s="8"/>
      <c r="B19" s="36"/>
      <c r="C19" s="36" t="s">
        <v>233</v>
      </c>
      <c r="D19" s="36" t="s">
        <v>234</v>
      </c>
      <c r="E19" s="36" t="s">
        <v>235</v>
      </c>
      <c r="F19" s="37" t="s">
        <v>236</v>
      </c>
      <c r="G19" s="38" t="s">
        <v>237</v>
      </c>
      <c r="H19" s="39" t="s">
        <v>22</v>
      </c>
      <c r="I19" s="40" t="s">
        <v>238</v>
      </c>
      <c r="J19" s="43" t="s">
        <v>239</v>
      </c>
      <c r="K19" s="38" t="s">
        <v>240</v>
      </c>
      <c r="L19" s="8"/>
      <c r="M19" s="8"/>
      <c r="N19" s="8"/>
      <c r="O19" s="8"/>
      <c r="P19" s="8"/>
      <c r="Q19" s="8"/>
      <c r="R19" s="8"/>
      <c r="S19" s="8"/>
      <c r="T19" s="8"/>
      <c r="U19" s="8"/>
      <c r="V19" s="8"/>
      <c r="W19" s="8"/>
      <c r="X19" s="8"/>
      <c r="Y19" s="8"/>
      <c r="Z19" s="8"/>
    </row>
    <row r="20">
      <c r="A20" s="8"/>
      <c r="B20" s="36"/>
      <c r="C20" s="36" t="s">
        <v>241</v>
      </c>
      <c r="D20" s="36" t="s">
        <v>242</v>
      </c>
      <c r="E20" s="36" t="s">
        <v>243</v>
      </c>
      <c r="F20" s="37" t="s">
        <v>244</v>
      </c>
      <c r="G20" s="43" t="s">
        <v>245</v>
      </c>
      <c r="H20" s="39" t="s">
        <v>22</v>
      </c>
      <c r="I20" s="42" t="s">
        <v>246</v>
      </c>
      <c r="J20" s="43" t="s">
        <v>247</v>
      </c>
      <c r="K20" s="38" t="s">
        <v>232</v>
      </c>
      <c r="L20" s="8"/>
      <c r="M20" s="8"/>
      <c r="N20" s="8"/>
      <c r="O20" s="8"/>
      <c r="P20" s="8"/>
      <c r="Q20" s="8"/>
      <c r="R20" s="8"/>
      <c r="S20" s="8"/>
      <c r="T20" s="8"/>
      <c r="U20" s="8"/>
      <c r="V20" s="8"/>
      <c r="W20" s="8"/>
      <c r="X20" s="8"/>
      <c r="Y20" s="8"/>
      <c r="Z20" s="8"/>
    </row>
    <row r="21">
      <c r="A21" s="8"/>
      <c r="B21" s="36"/>
      <c r="C21" s="36"/>
      <c r="D21" s="36"/>
      <c r="E21" s="36"/>
      <c r="F21" s="37" t="s">
        <v>248</v>
      </c>
      <c r="G21" s="43" t="s">
        <v>249</v>
      </c>
      <c r="H21" s="39" t="s">
        <v>22</v>
      </c>
      <c r="I21" s="45" t="s">
        <v>250</v>
      </c>
      <c r="J21" s="43"/>
      <c r="K21" s="38"/>
      <c r="L21" s="8"/>
      <c r="M21" s="8"/>
      <c r="N21" s="8"/>
      <c r="O21" s="8"/>
      <c r="P21" s="8"/>
      <c r="Q21" s="8"/>
      <c r="R21" s="8"/>
      <c r="S21" s="8"/>
      <c r="T21" s="8"/>
      <c r="U21" s="8"/>
      <c r="V21" s="8"/>
      <c r="W21" s="8"/>
      <c r="X21" s="8"/>
      <c r="Y21" s="8"/>
      <c r="Z21" s="8"/>
    </row>
    <row r="22">
      <c r="A22" s="8"/>
      <c r="B22" s="36"/>
      <c r="C22" s="36"/>
      <c r="D22" s="36"/>
      <c r="E22" s="36"/>
      <c r="F22" s="37" t="s">
        <v>251</v>
      </c>
      <c r="G22" s="43" t="s">
        <v>252</v>
      </c>
      <c r="H22" s="39" t="s">
        <v>22</v>
      </c>
      <c r="I22" s="44" t="s">
        <v>253</v>
      </c>
      <c r="J22" s="43"/>
      <c r="K22" s="38"/>
      <c r="L22" s="8"/>
      <c r="M22" s="8"/>
      <c r="N22" s="8"/>
      <c r="O22" s="8"/>
      <c r="P22" s="8"/>
      <c r="Q22" s="8"/>
      <c r="R22" s="8"/>
      <c r="S22" s="8"/>
      <c r="T22" s="8"/>
      <c r="U22" s="8"/>
      <c r="V22" s="8"/>
      <c r="W22" s="8"/>
      <c r="X22" s="8"/>
      <c r="Y22" s="8"/>
      <c r="Z22" s="8"/>
    </row>
    <row r="23">
      <c r="A23" s="8"/>
      <c r="B23" s="36"/>
      <c r="C23" s="36" t="s">
        <v>254</v>
      </c>
      <c r="D23" s="36" t="s">
        <v>255</v>
      </c>
      <c r="E23" s="36" t="s">
        <v>256</v>
      </c>
      <c r="F23" s="37" t="s">
        <v>257</v>
      </c>
      <c r="G23" s="43" t="s">
        <v>258</v>
      </c>
      <c r="H23" s="39" t="s">
        <v>22</v>
      </c>
      <c r="I23" s="45" t="s">
        <v>259</v>
      </c>
      <c r="J23" s="43" t="s">
        <v>247</v>
      </c>
      <c r="K23" s="38"/>
      <c r="L23" s="8"/>
      <c r="M23" s="8"/>
      <c r="N23" s="8"/>
      <c r="O23" s="8"/>
      <c r="P23" s="8"/>
      <c r="Q23" s="8"/>
      <c r="R23" s="8"/>
      <c r="S23" s="8"/>
      <c r="T23" s="8"/>
      <c r="U23" s="8"/>
      <c r="V23" s="8"/>
      <c r="W23" s="8"/>
      <c r="X23" s="8"/>
      <c r="Y23" s="8"/>
      <c r="Z23" s="8"/>
    </row>
    <row r="24">
      <c r="A24" s="8"/>
      <c r="B24" s="36"/>
      <c r="C24" s="36"/>
      <c r="D24" s="36"/>
      <c r="E24" s="36"/>
      <c r="F24" s="37" t="s">
        <v>260</v>
      </c>
      <c r="G24" s="38" t="s">
        <v>261</v>
      </c>
      <c r="H24" s="39" t="s">
        <v>22</v>
      </c>
      <c r="I24" s="44" t="s">
        <v>262</v>
      </c>
      <c r="J24" s="43"/>
      <c r="K24" s="38"/>
      <c r="L24" s="8"/>
      <c r="M24" s="8"/>
      <c r="N24" s="8"/>
      <c r="O24" s="8"/>
      <c r="P24" s="8"/>
      <c r="Q24" s="8"/>
      <c r="R24" s="8"/>
      <c r="S24" s="8"/>
      <c r="T24" s="8"/>
      <c r="U24" s="8"/>
      <c r="V24" s="8"/>
      <c r="W24" s="8"/>
      <c r="X24" s="8"/>
      <c r="Y24" s="8"/>
      <c r="Z24" s="8"/>
    </row>
    <row r="25">
      <c r="A25" s="8"/>
      <c r="B25" s="36"/>
      <c r="C25" s="36" t="s">
        <v>263</v>
      </c>
      <c r="D25" s="36" t="s">
        <v>264</v>
      </c>
      <c r="E25" s="36" t="s">
        <v>265</v>
      </c>
      <c r="F25" s="37" t="s">
        <v>266</v>
      </c>
      <c r="G25" s="38" t="s">
        <v>267</v>
      </c>
      <c r="H25" s="39" t="s">
        <v>22</v>
      </c>
      <c r="I25" s="40" t="s">
        <v>268</v>
      </c>
      <c r="J25" s="43" t="s">
        <v>269</v>
      </c>
      <c r="K25" s="38"/>
      <c r="L25" s="8"/>
      <c r="M25" s="8"/>
      <c r="N25" s="8"/>
      <c r="O25" s="8"/>
      <c r="P25" s="8"/>
      <c r="Q25" s="8"/>
      <c r="R25" s="8"/>
      <c r="S25" s="8"/>
      <c r="T25" s="8"/>
      <c r="U25" s="8"/>
      <c r="V25" s="8"/>
      <c r="W25" s="8"/>
      <c r="X25" s="8"/>
      <c r="Y25" s="8"/>
      <c r="Z25" s="8"/>
    </row>
    <row r="26">
      <c r="A26" s="8"/>
      <c r="B26" s="36"/>
      <c r="C26" s="36" t="s">
        <v>270</v>
      </c>
      <c r="D26" s="36" t="s">
        <v>271</v>
      </c>
      <c r="E26" s="36" t="s">
        <v>272</v>
      </c>
      <c r="F26" s="37" t="s">
        <v>273</v>
      </c>
      <c r="G26" s="38" t="s">
        <v>274</v>
      </c>
      <c r="H26" s="39" t="s">
        <v>22</v>
      </c>
      <c r="I26" s="44" t="s">
        <v>275</v>
      </c>
      <c r="J26" s="43" t="s">
        <v>276</v>
      </c>
      <c r="K26" s="38" t="s">
        <v>145</v>
      </c>
      <c r="L26" s="8"/>
      <c r="M26" s="8"/>
      <c r="N26" s="8"/>
      <c r="O26" s="8"/>
      <c r="P26" s="8"/>
      <c r="Q26" s="8"/>
      <c r="R26" s="8"/>
      <c r="S26" s="8"/>
      <c r="T26" s="8"/>
      <c r="U26" s="8"/>
      <c r="V26" s="8"/>
      <c r="W26" s="8"/>
      <c r="X26" s="8"/>
      <c r="Y26" s="8"/>
      <c r="Z26" s="8"/>
    </row>
    <row r="27">
      <c r="A27" s="8"/>
      <c r="B27" s="36"/>
      <c r="C27" s="36" t="s">
        <v>277</v>
      </c>
      <c r="D27" s="36" t="s">
        <v>278</v>
      </c>
      <c r="E27" s="36" t="s">
        <v>279</v>
      </c>
      <c r="F27" s="37" t="s">
        <v>280</v>
      </c>
      <c r="G27" s="38" t="s">
        <v>281</v>
      </c>
      <c r="H27" s="39" t="s">
        <v>22</v>
      </c>
      <c r="I27" s="45" t="s">
        <v>282</v>
      </c>
      <c r="J27" s="43" t="s">
        <v>283</v>
      </c>
      <c r="K27" s="38"/>
      <c r="L27" s="8"/>
      <c r="M27" s="8"/>
      <c r="N27" s="8"/>
      <c r="O27" s="8"/>
      <c r="P27" s="8"/>
      <c r="Q27" s="8"/>
      <c r="R27" s="8"/>
      <c r="S27" s="8"/>
      <c r="T27" s="8"/>
      <c r="U27" s="8"/>
      <c r="V27" s="8"/>
      <c r="W27" s="8"/>
      <c r="X27" s="8"/>
      <c r="Y27" s="8"/>
      <c r="Z27" s="8"/>
    </row>
    <row r="28">
      <c r="A28" s="8"/>
      <c r="B28" s="36"/>
      <c r="C28" s="36" t="s">
        <v>284</v>
      </c>
      <c r="D28" s="36" t="s">
        <v>285</v>
      </c>
      <c r="E28" s="36" t="s">
        <v>286</v>
      </c>
      <c r="F28" s="37" t="s">
        <v>287</v>
      </c>
      <c r="G28" s="38" t="s">
        <v>288</v>
      </c>
      <c r="H28" s="39" t="s">
        <v>22</v>
      </c>
      <c r="I28" s="42" t="s">
        <v>289</v>
      </c>
      <c r="J28" s="38"/>
      <c r="K28" s="38" t="s">
        <v>290</v>
      </c>
      <c r="L28" s="8"/>
      <c r="M28" s="8"/>
      <c r="N28" s="8"/>
      <c r="O28" s="8"/>
      <c r="P28" s="8"/>
      <c r="Q28" s="8"/>
      <c r="R28" s="8"/>
      <c r="S28" s="8"/>
      <c r="T28" s="8"/>
      <c r="U28" s="8"/>
      <c r="V28" s="8"/>
      <c r="W28" s="8"/>
      <c r="X28" s="8"/>
      <c r="Y28" s="8"/>
      <c r="Z28" s="8"/>
    </row>
    <row r="29">
      <c r="A29" s="8"/>
      <c r="B29" s="36"/>
      <c r="C29" s="36"/>
      <c r="D29" s="36"/>
      <c r="E29" s="36"/>
      <c r="F29" s="37" t="s">
        <v>291</v>
      </c>
      <c r="G29" s="38" t="s">
        <v>292</v>
      </c>
      <c r="H29" s="39" t="s">
        <v>22</v>
      </c>
      <c r="I29" s="46"/>
      <c r="J29" s="38"/>
      <c r="K29" s="38"/>
      <c r="L29" s="8"/>
      <c r="M29" s="8"/>
      <c r="N29" s="8"/>
      <c r="O29" s="8"/>
      <c r="P29" s="8"/>
      <c r="Q29" s="8"/>
      <c r="R29" s="8"/>
      <c r="S29" s="8"/>
      <c r="T29" s="8"/>
      <c r="U29" s="8"/>
      <c r="V29" s="8"/>
      <c r="W29" s="8"/>
      <c r="X29" s="8"/>
      <c r="Y29" s="8"/>
      <c r="Z29" s="8"/>
    </row>
    <row r="30">
      <c r="A30" s="8"/>
      <c r="B30" s="36"/>
      <c r="C30" s="36"/>
      <c r="D30" s="36"/>
      <c r="E30" s="36"/>
      <c r="F30" s="37" t="s">
        <v>293</v>
      </c>
      <c r="G30" s="38" t="s">
        <v>294</v>
      </c>
      <c r="H30" s="39" t="s">
        <v>22</v>
      </c>
      <c r="I30" s="47"/>
      <c r="J30" s="38"/>
      <c r="K30" s="38"/>
      <c r="L30" s="8"/>
      <c r="M30" s="8"/>
      <c r="N30" s="8"/>
      <c r="O30" s="8"/>
      <c r="P30" s="8"/>
      <c r="Q30" s="8"/>
      <c r="R30" s="8"/>
      <c r="S30" s="8"/>
      <c r="T30" s="8"/>
      <c r="U30" s="8"/>
      <c r="V30" s="8"/>
      <c r="W30" s="8"/>
      <c r="X30" s="8"/>
      <c r="Y30" s="8"/>
      <c r="Z30" s="8"/>
    </row>
    <row r="31" ht="66.75" customHeight="1">
      <c r="A31" s="8"/>
      <c r="B31" s="36"/>
      <c r="C31" s="36" t="s">
        <v>295</v>
      </c>
      <c r="D31" s="36" t="s">
        <v>296</v>
      </c>
      <c r="E31" s="36" t="s">
        <v>297</v>
      </c>
      <c r="F31" s="37" t="s">
        <v>298</v>
      </c>
      <c r="G31" s="38" t="s">
        <v>299</v>
      </c>
      <c r="H31" s="39" t="s">
        <v>22</v>
      </c>
      <c r="I31" s="40" t="s">
        <v>300</v>
      </c>
      <c r="J31" s="38"/>
      <c r="K31" s="48" t="s">
        <v>232</v>
      </c>
      <c r="L31" s="8"/>
      <c r="M31" s="8"/>
      <c r="N31" s="8"/>
      <c r="O31" s="8"/>
      <c r="P31" s="8"/>
      <c r="Q31" s="8"/>
      <c r="R31" s="8"/>
      <c r="S31" s="8"/>
      <c r="T31" s="8"/>
      <c r="U31" s="8"/>
      <c r="V31" s="8"/>
      <c r="W31" s="8"/>
      <c r="X31" s="8"/>
      <c r="Y31" s="8"/>
      <c r="Z31" s="8"/>
    </row>
    <row r="32" ht="72.0" customHeight="1">
      <c r="A32" s="8"/>
      <c r="B32" s="36"/>
      <c r="C32" s="36"/>
      <c r="D32" s="36"/>
      <c r="E32" s="36"/>
      <c r="F32" s="37" t="s">
        <v>301</v>
      </c>
      <c r="G32" s="38" t="s">
        <v>302</v>
      </c>
      <c r="H32" s="39" t="s">
        <v>22</v>
      </c>
      <c r="I32" s="47"/>
      <c r="J32" s="38"/>
      <c r="K32" s="48"/>
      <c r="L32" s="8"/>
      <c r="M32" s="8"/>
      <c r="N32" s="8"/>
      <c r="O32" s="8"/>
      <c r="P32" s="8"/>
      <c r="Q32" s="8"/>
      <c r="R32" s="8"/>
      <c r="S32" s="8"/>
      <c r="T32" s="8"/>
      <c r="U32" s="8"/>
      <c r="V32" s="8"/>
      <c r="W32" s="8"/>
      <c r="X32" s="8"/>
      <c r="Y32" s="8"/>
      <c r="Z32" s="8"/>
    </row>
    <row r="33" ht="112.5" customHeight="1">
      <c r="A33" s="8"/>
      <c r="B33" s="36"/>
      <c r="C33" s="36"/>
      <c r="D33" s="36"/>
      <c r="E33" s="36"/>
      <c r="F33" s="37" t="s">
        <v>303</v>
      </c>
      <c r="G33" s="38" t="s">
        <v>304</v>
      </c>
      <c r="H33" s="39" t="s">
        <v>22</v>
      </c>
      <c r="I33" s="46"/>
      <c r="J33" s="38"/>
      <c r="K33" s="48"/>
      <c r="L33" s="8"/>
      <c r="M33" s="8"/>
      <c r="N33" s="8"/>
      <c r="O33" s="8"/>
      <c r="P33" s="8"/>
      <c r="Q33" s="8"/>
      <c r="R33" s="8"/>
      <c r="S33" s="8"/>
      <c r="T33" s="8"/>
      <c r="U33" s="8"/>
      <c r="V33" s="8"/>
      <c r="W33" s="8"/>
      <c r="X33" s="8"/>
      <c r="Y33" s="8"/>
      <c r="Z33" s="8"/>
    </row>
    <row r="34" ht="164.25" customHeight="1">
      <c r="A34" s="8"/>
      <c r="B34" s="36"/>
      <c r="C34" s="36"/>
      <c r="D34" s="36"/>
      <c r="E34" s="36"/>
      <c r="F34" s="37" t="s">
        <v>305</v>
      </c>
      <c r="G34" s="38" t="s">
        <v>306</v>
      </c>
      <c r="H34" s="49" t="s">
        <v>307</v>
      </c>
      <c r="I34" s="47"/>
      <c r="J34" s="38"/>
      <c r="K34" s="48"/>
      <c r="L34" s="8"/>
      <c r="M34" s="8"/>
      <c r="N34" s="8"/>
      <c r="O34" s="8"/>
      <c r="P34" s="8"/>
      <c r="Q34" s="8"/>
      <c r="R34" s="8"/>
      <c r="S34" s="8"/>
      <c r="T34" s="8"/>
      <c r="U34" s="8"/>
      <c r="V34" s="8"/>
      <c r="W34" s="8"/>
      <c r="X34" s="8"/>
      <c r="Y34" s="8"/>
      <c r="Z34" s="8"/>
    </row>
    <row r="35">
      <c r="A35" s="8"/>
      <c r="B35" s="36"/>
      <c r="C35" s="36"/>
      <c r="D35" s="36"/>
      <c r="E35" s="36"/>
      <c r="F35" s="37" t="s">
        <v>308</v>
      </c>
      <c r="G35" s="38" t="s">
        <v>309</v>
      </c>
      <c r="H35" s="39" t="s">
        <v>22</v>
      </c>
      <c r="I35" s="50"/>
      <c r="J35" s="38"/>
      <c r="K35" s="38"/>
      <c r="L35" s="8"/>
      <c r="M35" s="8"/>
      <c r="N35" s="8"/>
      <c r="O35" s="8"/>
      <c r="P35" s="8"/>
      <c r="Q35" s="8"/>
      <c r="R35" s="8"/>
      <c r="S35" s="8"/>
      <c r="T35" s="8"/>
      <c r="U35" s="8"/>
      <c r="V35" s="8"/>
      <c r="W35" s="8"/>
      <c r="X35" s="8"/>
      <c r="Y35" s="8"/>
      <c r="Z35" s="8"/>
    </row>
    <row r="36">
      <c r="A36" s="8"/>
      <c r="B36" s="36"/>
      <c r="C36" s="36"/>
      <c r="D36" s="36"/>
      <c r="E36" s="36"/>
      <c r="F36" s="37" t="s">
        <v>310</v>
      </c>
      <c r="G36" s="38" t="s">
        <v>311</v>
      </c>
      <c r="H36" s="49" t="s">
        <v>307</v>
      </c>
      <c r="I36" s="47"/>
      <c r="J36" s="38"/>
      <c r="K36" s="48"/>
      <c r="L36" s="8"/>
      <c r="M36" s="8"/>
      <c r="N36" s="8"/>
      <c r="O36" s="8"/>
      <c r="P36" s="8"/>
      <c r="Q36" s="8"/>
      <c r="R36" s="8"/>
      <c r="S36" s="8"/>
      <c r="T36" s="8"/>
      <c r="U36" s="8"/>
      <c r="V36" s="8"/>
      <c r="W36" s="8"/>
      <c r="X36" s="8"/>
      <c r="Y36" s="8"/>
      <c r="Z36" s="8"/>
    </row>
    <row r="37" ht="177.75" customHeight="1">
      <c r="A37" s="8"/>
      <c r="B37" s="36"/>
      <c r="C37" s="36" t="s">
        <v>312</v>
      </c>
      <c r="D37" s="36" t="s">
        <v>313</v>
      </c>
      <c r="E37" s="36" t="s">
        <v>314</v>
      </c>
      <c r="F37" s="37" t="s">
        <v>315</v>
      </c>
      <c r="G37" s="38" t="s">
        <v>316</v>
      </c>
      <c r="H37" s="39" t="s">
        <v>22</v>
      </c>
      <c r="I37" s="40" t="s">
        <v>317</v>
      </c>
      <c r="J37" s="38" t="s">
        <v>318</v>
      </c>
      <c r="K37" s="48"/>
      <c r="L37" s="8"/>
      <c r="M37" s="8" t="s">
        <v>209</v>
      </c>
      <c r="N37" s="8"/>
      <c r="O37" s="8"/>
      <c r="P37" s="8"/>
      <c r="Q37" s="8"/>
      <c r="R37" s="8"/>
      <c r="S37" s="8"/>
      <c r="T37" s="8"/>
      <c r="U37" s="8"/>
      <c r="V37" s="8"/>
      <c r="W37" s="8"/>
      <c r="X37" s="8"/>
      <c r="Y37" s="8"/>
      <c r="Z37" s="8"/>
    </row>
    <row r="38">
      <c r="A38" s="8"/>
      <c r="B38" s="36"/>
      <c r="C38" s="36" t="s">
        <v>319</v>
      </c>
      <c r="D38" s="36" t="s">
        <v>320</v>
      </c>
      <c r="E38" s="36" t="s">
        <v>321</v>
      </c>
      <c r="F38" s="37" t="s">
        <v>322</v>
      </c>
      <c r="G38" s="38" t="s">
        <v>323</v>
      </c>
      <c r="H38" s="39" t="s">
        <v>22</v>
      </c>
      <c r="I38" s="42" t="s">
        <v>324</v>
      </c>
      <c r="J38" s="38"/>
      <c r="K38" s="48" t="s">
        <v>325</v>
      </c>
      <c r="L38" s="8"/>
      <c r="M38" s="8"/>
      <c r="N38" s="8"/>
      <c r="O38" s="8"/>
      <c r="P38" s="8"/>
      <c r="Q38" s="8"/>
      <c r="R38" s="8"/>
      <c r="S38" s="8"/>
      <c r="T38" s="8"/>
      <c r="U38" s="8"/>
      <c r="V38" s="8"/>
      <c r="W38" s="8"/>
      <c r="X38" s="8"/>
      <c r="Y38" s="8"/>
      <c r="Z38" s="8"/>
    </row>
    <row r="39">
      <c r="A39" s="8"/>
      <c r="B39" s="36"/>
      <c r="C39" s="36"/>
      <c r="D39" s="36"/>
      <c r="E39" s="36"/>
      <c r="F39" s="37" t="s">
        <v>326</v>
      </c>
      <c r="G39" s="38" t="s">
        <v>327</v>
      </c>
      <c r="H39" s="39" t="s">
        <v>22</v>
      </c>
      <c r="I39" s="50"/>
      <c r="J39" s="38"/>
      <c r="K39" s="48"/>
      <c r="L39" s="8"/>
      <c r="M39" s="8"/>
      <c r="N39" s="8"/>
      <c r="O39" s="8"/>
      <c r="P39" s="8"/>
      <c r="Q39" s="8"/>
      <c r="R39" s="8"/>
      <c r="S39" s="8"/>
      <c r="T39" s="8"/>
      <c r="U39" s="8"/>
      <c r="V39" s="8"/>
      <c r="W39" s="8"/>
      <c r="X39" s="8"/>
      <c r="Y39" s="8"/>
      <c r="Z39" s="8"/>
    </row>
    <row r="40">
      <c r="A40" s="8"/>
      <c r="B40" s="36"/>
      <c r="C40" s="36"/>
      <c r="D40" s="36"/>
      <c r="E40" s="36"/>
      <c r="F40" s="37" t="s">
        <v>328</v>
      </c>
      <c r="G40" s="38" t="s">
        <v>329</v>
      </c>
      <c r="H40" s="39" t="s">
        <v>22</v>
      </c>
      <c r="I40" s="47"/>
      <c r="J40" s="38"/>
      <c r="K40" s="48"/>
      <c r="L40" s="8"/>
      <c r="M40" s="8"/>
      <c r="N40" s="8"/>
      <c r="O40" s="8"/>
      <c r="P40" s="8"/>
      <c r="Q40" s="8"/>
      <c r="R40" s="8"/>
      <c r="S40" s="8"/>
      <c r="T40" s="8"/>
      <c r="U40" s="8"/>
      <c r="V40" s="8"/>
      <c r="W40" s="8"/>
      <c r="X40" s="8"/>
      <c r="Y40" s="8"/>
      <c r="Z40" s="8"/>
    </row>
    <row r="41">
      <c r="A41" s="8"/>
      <c r="B41" s="36"/>
      <c r="C41" s="36"/>
      <c r="D41" s="36"/>
      <c r="E41" s="36"/>
      <c r="F41" s="37" t="s">
        <v>330</v>
      </c>
      <c r="G41" s="38" t="s">
        <v>331</v>
      </c>
      <c r="H41" s="39" t="s">
        <v>22</v>
      </c>
      <c r="I41" s="46"/>
      <c r="J41" s="38"/>
      <c r="K41" s="48"/>
      <c r="L41" s="8"/>
      <c r="M41" s="8"/>
      <c r="N41" s="8"/>
      <c r="O41" s="8"/>
      <c r="P41" s="8"/>
      <c r="Q41" s="8"/>
      <c r="R41" s="8"/>
      <c r="S41" s="8"/>
      <c r="T41" s="8"/>
      <c r="U41" s="8"/>
      <c r="V41" s="8"/>
      <c r="W41" s="8"/>
      <c r="X41" s="8"/>
      <c r="Y41" s="8"/>
      <c r="Z41" s="8"/>
    </row>
    <row r="42">
      <c r="A42" s="8"/>
      <c r="B42" s="36"/>
      <c r="C42" s="36" t="s">
        <v>332</v>
      </c>
      <c r="D42" s="36" t="s">
        <v>333</v>
      </c>
      <c r="E42" s="36" t="s">
        <v>334</v>
      </c>
      <c r="F42" s="37" t="s">
        <v>335</v>
      </c>
      <c r="G42" s="38" t="s">
        <v>336</v>
      </c>
      <c r="H42" s="39" t="s">
        <v>22</v>
      </c>
      <c r="I42" s="42" t="s">
        <v>337</v>
      </c>
      <c r="J42" s="41"/>
      <c r="K42" s="48" t="s">
        <v>325</v>
      </c>
      <c r="L42" s="8"/>
      <c r="M42" s="8"/>
      <c r="N42" s="8"/>
      <c r="O42" s="8"/>
      <c r="P42" s="8"/>
      <c r="Q42" s="8"/>
      <c r="R42" s="8"/>
      <c r="S42" s="8"/>
      <c r="T42" s="8"/>
      <c r="U42" s="8"/>
      <c r="V42" s="8"/>
      <c r="W42" s="8"/>
      <c r="X42" s="8"/>
      <c r="Y42" s="8"/>
      <c r="Z42" s="8"/>
    </row>
    <row r="43">
      <c r="A43" s="8"/>
      <c r="B43" s="36"/>
      <c r="C43" s="36"/>
      <c r="D43" s="36"/>
      <c r="E43" s="36"/>
      <c r="F43" s="37" t="s">
        <v>338</v>
      </c>
      <c r="G43" s="38" t="s">
        <v>339</v>
      </c>
      <c r="H43" s="39" t="s">
        <v>22</v>
      </c>
      <c r="I43" s="46"/>
      <c r="J43" s="38"/>
      <c r="K43" s="48"/>
      <c r="L43" s="8"/>
      <c r="M43" s="8"/>
      <c r="N43" s="8"/>
      <c r="O43" s="8"/>
      <c r="P43" s="8"/>
      <c r="Q43" s="8"/>
      <c r="R43" s="8"/>
      <c r="S43" s="8"/>
      <c r="T43" s="8"/>
      <c r="U43" s="8"/>
      <c r="V43" s="8"/>
      <c r="W43" s="8"/>
      <c r="X43" s="8"/>
      <c r="Y43" s="8"/>
      <c r="Z43" s="8"/>
    </row>
    <row r="44">
      <c r="A44" s="8"/>
      <c r="B44" s="36"/>
      <c r="C44" s="36"/>
      <c r="D44" s="36"/>
      <c r="E44" s="36"/>
      <c r="F44" s="37" t="s">
        <v>340</v>
      </c>
      <c r="G44" s="38" t="s">
        <v>341</v>
      </c>
      <c r="H44" s="49" t="s">
        <v>307</v>
      </c>
      <c r="I44" s="47"/>
      <c r="J44" s="38"/>
      <c r="K44" s="48"/>
      <c r="L44" s="8"/>
      <c r="M44" s="8"/>
      <c r="N44" s="8"/>
      <c r="O44" s="8"/>
      <c r="P44" s="8"/>
      <c r="Q44" s="8"/>
      <c r="R44" s="8"/>
      <c r="S44" s="8"/>
      <c r="T44" s="8"/>
      <c r="U44" s="8"/>
      <c r="V44" s="8"/>
      <c r="W44" s="8"/>
      <c r="X44" s="8"/>
      <c r="Y44" s="8"/>
      <c r="Z44" s="8"/>
    </row>
    <row r="45">
      <c r="A45" s="8"/>
      <c r="B45" s="36"/>
      <c r="C45" s="36"/>
      <c r="D45" s="36"/>
      <c r="E45" s="36"/>
      <c r="F45" s="37" t="s">
        <v>342</v>
      </c>
      <c r="G45" s="38" t="s">
        <v>343</v>
      </c>
      <c r="H45" s="39" t="s">
        <v>22</v>
      </c>
      <c r="I45" s="46"/>
      <c r="J45" s="38"/>
      <c r="K45" s="48"/>
      <c r="L45" s="8"/>
      <c r="M45" s="8"/>
      <c r="N45" s="8"/>
      <c r="O45" s="8"/>
      <c r="P45" s="8"/>
      <c r="Q45" s="8"/>
      <c r="R45" s="8"/>
      <c r="S45" s="8"/>
      <c r="T45" s="8"/>
      <c r="U45" s="8"/>
      <c r="V45" s="8"/>
      <c r="W45" s="8"/>
      <c r="X45" s="8"/>
      <c r="Y45" s="8"/>
      <c r="Z45" s="8"/>
    </row>
    <row r="46">
      <c r="A46" s="8"/>
      <c r="B46" s="36"/>
      <c r="C46" s="36" t="s">
        <v>344</v>
      </c>
      <c r="D46" s="36" t="s">
        <v>345</v>
      </c>
      <c r="E46" s="36" t="s">
        <v>346</v>
      </c>
      <c r="F46" s="37" t="s">
        <v>347</v>
      </c>
      <c r="G46" s="38" t="s">
        <v>348</v>
      </c>
      <c r="H46" s="39" t="s">
        <v>22</v>
      </c>
      <c r="I46" s="42" t="s">
        <v>349</v>
      </c>
      <c r="J46" s="51" t="s">
        <v>350</v>
      </c>
      <c r="K46" s="38" t="s">
        <v>240</v>
      </c>
      <c r="L46" s="8"/>
      <c r="M46" s="8"/>
      <c r="N46" s="8"/>
      <c r="O46" s="8"/>
      <c r="P46" s="8"/>
      <c r="Q46" s="8"/>
      <c r="R46" s="8"/>
      <c r="S46" s="8"/>
      <c r="T46" s="8"/>
      <c r="U46" s="8"/>
      <c r="V46" s="8"/>
      <c r="W46" s="8"/>
      <c r="X46" s="8"/>
      <c r="Y46" s="8"/>
      <c r="Z46" s="8"/>
    </row>
    <row r="47">
      <c r="A47" s="8"/>
      <c r="B47" s="36"/>
      <c r="C47" s="36" t="s">
        <v>351</v>
      </c>
      <c r="D47" s="36" t="s">
        <v>352</v>
      </c>
      <c r="E47" s="36" t="s">
        <v>353</v>
      </c>
      <c r="F47" s="37" t="s">
        <v>354</v>
      </c>
      <c r="G47" s="38" t="s">
        <v>355</v>
      </c>
      <c r="H47" s="39" t="s">
        <v>22</v>
      </c>
      <c r="I47" s="40" t="s">
        <v>356</v>
      </c>
      <c r="J47" s="51" t="s">
        <v>350</v>
      </c>
      <c r="K47" s="38" t="s">
        <v>240</v>
      </c>
      <c r="L47" s="8"/>
      <c r="M47" s="8"/>
      <c r="N47" s="8"/>
      <c r="O47" s="8"/>
      <c r="P47" s="8"/>
      <c r="Q47" s="8"/>
      <c r="R47" s="8"/>
      <c r="S47" s="8"/>
      <c r="T47" s="8"/>
      <c r="U47" s="8"/>
      <c r="V47" s="8"/>
      <c r="W47" s="8"/>
      <c r="X47" s="8"/>
      <c r="Y47" s="8"/>
      <c r="Z47" s="8"/>
    </row>
    <row r="48">
      <c r="A48" s="8"/>
      <c r="B48" s="36"/>
      <c r="C48" s="36" t="s">
        <v>357</v>
      </c>
      <c r="D48" s="36" t="s">
        <v>358</v>
      </c>
      <c r="E48" s="36" t="s">
        <v>359</v>
      </c>
      <c r="F48" s="37" t="s">
        <v>360</v>
      </c>
      <c r="G48" s="38" t="s">
        <v>361</v>
      </c>
      <c r="H48" s="39" t="s">
        <v>22</v>
      </c>
      <c r="I48" s="42" t="s">
        <v>349</v>
      </c>
      <c r="J48" s="51" t="s">
        <v>350</v>
      </c>
      <c r="K48" s="38"/>
      <c r="L48" s="8"/>
      <c r="M48" s="8"/>
      <c r="N48" s="8"/>
      <c r="O48" s="8"/>
      <c r="P48" s="8"/>
      <c r="Q48" s="8"/>
      <c r="R48" s="8"/>
      <c r="S48" s="8"/>
      <c r="T48" s="8"/>
      <c r="U48" s="8"/>
      <c r="V48" s="8"/>
      <c r="W48" s="8"/>
      <c r="X48" s="8"/>
      <c r="Y48" s="8"/>
      <c r="Z48" s="8"/>
    </row>
    <row r="49">
      <c r="A49" s="8"/>
      <c r="B49" s="36"/>
      <c r="C49" s="36" t="s">
        <v>362</v>
      </c>
      <c r="D49" s="36" t="s">
        <v>363</v>
      </c>
      <c r="E49" s="36" t="s">
        <v>364</v>
      </c>
      <c r="F49" s="37" t="s">
        <v>365</v>
      </c>
      <c r="G49" s="38" t="s">
        <v>366</v>
      </c>
      <c r="H49" s="39" t="s">
        <v>22</v>
      </c>
      <c r="I49" s="40" t="s">
        <v>367</v>
      </c>
      <c r="J49" s="38" t="s">
        <v>368</v>
      </c>
      <c r="K49" s="38"/>
      <c r="L49" s="8"/>
      <c r="M49" s="8"/>
      <c r="N49" s="8"/>
      <c r="O49" s="8"/>
      <c r="P49" s="8"/>
      <c r="Q49" s="8"/>
      <c r="R49" s="8"/>
      <c r="S49" s="8"/>
      <c r="T49" s="8"/>
      <c r="U49" s="8"/>
      <c r="V49" s="8"/>
      <c r="W49" s="8"/>
      <c r="X49" s="8"/>
      <c r="Y49" s="8"/>
      <c r="Z49" s="8"/>
    </row>
    <row r="50">
      <c r="A50" s="8"/>
      <c r="B50" s="36"/>
      <c r="C50" s="36"/>
      <c r="D50" s="36"/>
      <c r="E50" s="36"/>
      <c r="F50" s="37" t="s">
        <v>369</v>
      </c>
      <c r="G50" s="38" t="s">
        <v>370</v>
      </c>
      <c r="H50" s="39" t="s">
        <v>22</v>
      </c>
      <c r="I50" s="47"/>
      <c r="J50" s="38"/>
      <c r="K50" s="48"/>
      <c r="L50" s="8"/>
      <c r="M50" s="8"/>
      <c r="N50" s="8"/>
      <c r="O50" s="8"/>
      <c r="P50" s="8"/>
      <c r="Q50" s="8"/>
      <c r="R50" s="8"/>
      <c r="S50" s="8"/>
      <c r="T50" s="8"/>
      <c r="U50" s="8"/>
      <c r="V50" s="8"/>
      <c r="W50" s="8"/>
      <c r="X50" s="8"/>
      <c r="Y50" s="8"/>
      <c r="Z50" s="8"/>
    </row>
    <row r="51">
      <c r="A51" s="8"/>
      <c r="B51" s="36"/>
      <c r="C51" s="36" t="s">
        <v>371</v>
      </c>
      <c r="D51" s="36" t="s">
        <v>372</v>
      </c>
      <c r="E51" s="36" t="s">
        <v>373</v>
      </c>
      <c r="F51" s="37" t="s">
        <v>374</v>
      </c>
      <c r="G51" s="38" t="s">
        <v>375</v>
      </c>
      <c r="H51" s="39" t="s">
        <v>22</v>
      </c>
      <c r="I51" s="40" t="s">
        <v>376</v>
      </c>
      <c r="J51" s="38"/>
      <c r="K51" s="38" t="s">
        <v>377</v>
      </c>
      <c r="L51" s="8"/>
      <c r="M51" s="8"/>
      <c r="N51" s="8"/>
      <c r="O51" s="8"/>
      <c r="P51" s="8"/>
      <c r="Q51" s="8"/>
      <c r="R51" s="8"/>
      <c r="S51" s="8"/>
      <c r="T51" s="8"/>
      <c r="U51" s="8"/>
      <c r="V51" s="8"/>
      <c r="W51" s="8"/>
      <c r="X51" s="8"/>
      <c r="Y51" s="8"/>
      <c r="Z51" s="8"/>
    </row>
    <row r="52">
      <c r="A52" s="8"/>
      <c r="B52" s="36"/>
      <c r="C52" s="36"/>
      <c r="D52" s="36"/>
      <c r="E52" s="36"/>
      <c r="F52" s="37" t="s">
        <v>378</v>
      </c>
      <c r="G52" s="38" t="s">
        <v>379</v>
      </c>
      <c r="H52" s="39" t="s">
        <v>22</v>
      </c>
      <c r="I52" s="47"/>
      <c r="J52" s="38"/>
      <c r="K52" s="38"/>
      <c r="L52" s="8"/>
      <c r="M52" s="8"/>
      <c r="N52" s="8"/>
      <c r="O52" s="8"/>
      <c r="P52" s="8"/>
      <c r="Q52" s="8"/>
      <c r="R52" s="8"/>
      <c r="S52" s="8"/>
      <c r="T52" s="8"/>
      <c r="U52" s="8"/>
      <c r="V52" s="8"/>
      <c r="W52" s="8"/>
      <c r="X52" s="8"/>
      <c r="Y52" s="8"/>
      <c r="Z52" s="8"/>
    </row>
    <row r="53" ht="147.0" customHeight="1">
      <c r="A53" s="8"/>
      <c r="B53" s="36"/>
      <c r="C53" s="36"/>
      <c r="D53" s="36"/>
      <c r="E53" s="36"/>
      <c r="F53" s="37" t="s">
        <v>380</v>
      </c>
      <c r="G53" s="38" t="s">
        <v>381</v>
      </c>
      <c r="H53" s="39" t="s">
        <v>22</v>
      </c>
      <c r="I53" s="46"/>
      <c r="J53" s="38"/>
      <c r="K53" s="38"/>
      <c r="L53" s="8"/>
      <c r="M53" s="8"/>
      <c r="N53" s="8"/>
      <c r="O53" s="8"/>
      <c r="P53" s="8"/>
      <c r="Q53" s="8"/>
      <c r="R53" s="8"/>
      <c r="S53" s="8"/>
      <c r="T53" s="8"/>
      <c r="U53" s="8"/>
      <c r="V53" s="8"/>
      <c r="W53" s="8"/>
      <c r="X53" s="8"/>
      <c r="Y53" s="8"/>
      <c r="Z53" s="8"/>
    </row>
    <row r="54" ht="52.5" customHeight="1">
      <c r="A54" s="8"/>
      <c r="B54" s="36"/>
      <c r="C54" s="36"/>
      <c r="D54" s="36"/>
      <c r="E54" s="36"/>
      <c r="F54" s="37" t="s">
        <v>382</v>
      </c>
      <c r="G54" s="38" t="s">
        <v>383</v>
      </c>
      <c r="H54" s="39" t="s">
        <v>22</v>
      </c>
      <c r="I54" s="47"/>
      <c r="J54" s="38"/>
      <c r="K54" s="38"/>
      <c r="L54" s="8"/>
      <c r="M54" s="8"/>
      <c r="N54" s="8"/>
      <c r="O54" s="8"/>
      <c r="P54" s="8"/>
      <c r="Q54" s="8"/>
      <c r="R54" s="8"/>
      <c r="S54" s="8"/>
      <c r="T54" s="8"/>
      <c r="U54" s="8"/>
      <c r="V54" s="8"/>
      <c r="W54" s="8"/>
      <c r="X54" s="8"/>
      <c r="Y54" s="8"/>
      <c r="Z54" s="8"/>
    </row>
    <row r="55">
      <c r="A55" s="8"/>
      <c r="B55" s="36"/>
      <c r="C55" s="36" t="s">
        <v>384</v>
      </c>
      <c r="D55" s="36" t="s">
        <v>385</v>
      </c>
      <c r="E55" s="36" t="s">
        <v>386</v>
      </c>
      <c r="F55" s="37" t="s">
        <v>387</v>
      </c>
      <c r="G55" s="52" t="s">
        <v>388</v>
      </c>
      <c r="H55" s="39" t="s">
        <v>22</v>
      </c>
      <c r="I55" s="40" t="s">
        <v>389</v>
      </c>
      <c r="J55" s="38"/>
      <c r="K55" s="38" t="s">
        <v>390</v>
      </c>
      <c r="L55" s="8"/>
      <c r="M55" s="8"/>
      <c r="N55" s="8"/>
      <c r="O55" s="8"/>
      <c r="P55" s="8"/>
      <c r="Q55" s="8"/>
      <c r="R55" s="8"/>
      <c r="S55" s="8"/>
      <c r="T55" s="8"/>
      <c r="U55" s="8"/>
      <c r="V55" s="8"/>
      <c r="W55" s="8"/>
      <c r="X55" s="8"/>
      <c r="Y55" s="8"/>
      <c r="Z55" s="8"/>
    </row>
    <row r="56">
      <c r="A56" s="8"/>
      <c r="B56" s="36"/>
      <c r="C56" s="36"/>
      <c r="D56" s="36"/>
      <c r="E56" s="36"/>
      <c r="F56" s="37" t="s">
        <v>391</v>
      </c>
      <c r="G56" s="38" t="s">
        <v>392</v>
      </c>
      <c r="H56" s="39" t="s">
        <v>22</v>
      </c>
      <c r="I56" s="47"/>
      <c r="J56" s="38"/>
      <c r="K56" s="38"/>
      <c r="L56" s="8"/>
      <c r="M56" s="8"/>
      <c r="N56" s="8"/>
      <c r="O56" s="8"/>
      <c r="P56" s="8"/>
      <c r="Q56" s="8"/>
      <c r="R56" s="8"/>
      <c r="S56" s="8"/>
      <c r="T56" s="8"/>
      <c r="U56" s="8"/>
      <c r="V56" s="8"/>
      <c r="W56" s="8"/>
      <c r="X56" s="8"/>
      <c r="Y56" s="8"/>
      <c r="Z56" s="8"/>
    </row>
    <row r="57">
      <c r="A57" s="8"/>
      <c r="B57" s="36"/>
      <c r="C57" s="36"/>
      <c r="D57" s="36"/>
      <c r="E57" s="36"/>
      <c r="F57" s="37" t="s">
        <v>393</v>
      </c>
      <c r="G57" s="52" t="s">
        <v>394</v>
      </c>
      <c r="H57" s="39" t="s">
        <v>22</v>
      </c>
      <c r="I57" s="46"/>
      <c r="J57" s="38"/>
      <c r="K57" s="38"/>
      <c r="L57" s="8"/>
      <c r="M57" s="8"/>
      <c r="N57" s="8"/>
      <c r="O57" s="8"/>
      <c r="P57" s="8"/>
      <c r="Q57" s="8"/>
      <c r="R57" s="8"/>
      <c r="S57" s="8"/>
      <c r="T57" s="8"/>
      <c r="U57" s="8"/>
      <c r="V57" s="8"/>
      <c r="W57" s="8"/>
      <c r="X57" s="8"/>
      <c r="Y57" s="8"/>
      <c r="Z57" s="8"/>
    </row>
    <row r="58">
      <c r="A58" s="8"/>
      <c r="B58" s="36"/>
      <c r="C58" s="36" t="s">
        <v>395</v>
      </c>
      <c r="D58" s="36" t="s">
        <v>396</v>
      </c>
      <c r="E58" s="36" t="s">
        <v>397</v>
      </c>
      <c r="F58" s="37" t="s">
        <v>398</v>
      </c>
      <c r="G58" s="38" t="s">
        <v>399</v>
      </c>
      <c r="H58" s="39" t="s">
        <v>22</v>
      </c>
      <c r="I58" s="44" t="s">
        <v>400</v>
      </c>
      <c r="J58" s="38"/>
      <c r="K58" s="38" t="s">
        <v>401</v>
      </c>
      <c r="L58" s="8"/>
      <c r="M58" s="8"/>
      <c r="N58" s="8"/>
      <c r="O58" s="8"/>
      <c r="P58" s="8"/>
      <c r="Q58" s="8"/>
      <c r="R58" s="8"/>
      <c r="S58" s="8"/>
      <c r="T58" s="8"/>
      <c r="U58" s="8"/>
      <c r="V58" s="8"/>
      <c r="W58" s="8"/>
      <c r="X58" s="8"/>
      <c r="Y58" s="8"/>
      <c r="Z58" s="8"/>
    </row>
    <row r="59">
      <c r="A59" s="8"/>
      <c r="B59" s="36"/>
      <c r="C59" s="36" t="s">
        <v>402</v>
      </c>
      <c r="D59" s="36" t="s">
        <v>403</v>
      </c>
      <c r="E59" s="36" t="s">
        <v>404</v>
      </c>
      <c r="F59" s="37" t="s">
        <v>405</v>
      </c>
      <c r="G59" s="38" t="s">
        <v>406</v>
      </c>
      <c r="H59" s="39" t="s">
        <v>22</v>
      </c>
      <c r="I59" s="40" t="s">
        <v>407</v>
      </c>
      <c r="J59" s="38"/>
      <c r="K59" s="38" t="s">
        <v>401</v>
      </c>
      <c r="L59" s="8"/>
      <c r="M59" s="8"/>
      <c r="N59" s="8"/>
      <c r="O59" s="8"/>
      <c r="P59" s="8"/>
      <c r="Q59" s="8"/>
      <c r="R59" s="8"/>
      <c r="S59" s="8"/>
      <c r="T59" s="8"/>
      <c r="U59" s="8"/>
      <c r="V59" s="8"/>
      <c r="W59" s="8"/>
      <c r="X59" s="8"/>
      <c r="Y59" s="8"/>
      <c r="Z59" s="8"/>
    </row>
    <row r="60">
      <c r="A60" s="8"/>
      <c r="B60" s="36"/>
      <c r="C60" s="36" t="s">
        <v>408</v>
      </c>
      <c r="D60" s="36" t="s">
        <v>409</v>
      </c>
      <c r="E60" s="36" t="s">
        <v>410</v>
      </c>
      <c r="F60" s="37" t="s">
        <v>411</v>
      </c>
      <c r="G60" s="38" t="s">
        <v>412</v>
      </c>
      <c r="H60" s="39" t="s">
        <v>22</v>
      </c>
      <c r="I60" s="42" t="s">
        <v>413</v>
      </c>
      <c r="J60" s="38"/>
      <c r="K60" s="38" t="s">
        <v>401</v>
      </c>
      <c r="L60" s="8"/>
      <c r="M60" s="8"/>
      <c r="N60" s="8"/>
      <c r="O60" s="8"/>
      <c r="P60" s="8"/>
      <c r="Q60" s="8"/>
      <c r="R60" s="8"/>
      <c r="S60" s="8"/>
      <c r="T60" s="8"/>
      <c r="U60" s="8"/>
      <c r="V60" s="8"/>
      <c r="W60" s="8"/>
      <c r="X60" s="8"/>
      <c r="Y60" s="8"/>
      <c r="Z60" s="8"/>
    </row>
    <row r="61">
      <c r="A61" s="8"/>
      <c r="B61" s="36"/>
      <c r="C61" s="36"/>
      <c r="D61" s="36"/>
      <c r="E61" s="36"/>
      <c r="F61" s="37" t="s">
        <v>414</v>
      </c>
      <c r="G61" s="38" t="s">
        <v>415</v>
      </c>
      <c r="H61" s="39" t="s">
        <v>22</v>
      </c>
      <c r="I61" s="46"/>
      <c r="J61" s="38"/>
      <c r="K61" s="38"/>
      <c r="L61" s="8"/>
      <c r="M61" s="8"/>
      <c r="N61" s="8"/>
      <c r="O61" s="8"/>
      <c r="P61" s="8"/>
      <c r="Q61" s="8"/>
      <c r="R61" s="8"/>
      <c r="S61" s="8"/>
      <c r="T61" s="8"/>
      <c r="U61" s="8"/>
      <c r="V61" s="8"/>
      <c r="W61" s="8"/>
      <c r="X61" s="8"/>
      <c r="Y61" s="8"/>
      <c r="Z61" s="8"/>
    </row>
    <row r="62">
      <c r="A62" s="8"/>
      <c r="B62" s="36"/>
      <c r="C62" s="36"/>
      <c r="D62" s="36"/>
      <c r="E62" s="36"/>
      <c r="F62" s="37" t="s">
        <v>416</v>
      </c>
      <c r="G62" s="38" t="s">
        <v>417</v>
      </c>
      <c r="H62" s="39" t="s">
        <v>22</v>
      </c>
      <c r="I62" s="47"/>
      <c r="J62" s="38"/>
      <c r="K62" s="38"/>
      <c r="L62" s="8"/>
      <c r="M62" s="8"/>
      <c r="N62" s="8"/>
      <c r="O62" s="8"/>
      <c r="P62" s="8"/>
      <c r="Q62" s="8"/>
      <c r="R62" s="8"/>
      <c r="S62" s="8"/>
      <c r="T62" s="8"/>
      <c r="U62" s="8"/>
      <c r="V62" s="8"/>
      <c r="W62" s="8"/>
      <c r="X62" s="8"/>
      <c r="Y62" s="8"/>
      <c r="Z62" s="8"/>
    </row>
    <row r="63">
      <c r="A63" s="8"/>
      <c r="B63" s="36"/>
      <c r="C63" s="36" t="s">
        <v>418</v>
      </c>
      <c r="D63" s="36" t="s">
        <v>419</v>
      </c>
      <c r="E63" s="36" t="s">
        <v>420</v>
      </c>
      <c r="F63" s="37" t="s">
        <v>421</v>
      </c>
      <c r="G63" s="38" t="s">
        <v>422</v>
      </c>
      <c r="H63" s="39" t="s">
        <v>22</v>
      </c>
      <c r="I63" s="40" t="s">
        <v>423</v>
      </c>
      <c r="J63" s="38"/>
      <c r="K63" s="38" t="s">
        <v>390</v>
      </c>
      <c r="L63" s="8"/>
      <c r="M63" s="8"/>
      <c r="N63" s="8"/>
      <c r="O63" s="8"/>
      <c r="P63" s="8"/>
      <c r="Q63" s="8"/>
      <c r="R63" s="8"/>
      <c r="S63" s="8"/>
      <c r="T63" s="8"/>
      <c r="U63" s="8"/>
      <c r="V63" s="8"/>
      <c r="W63" s="8"/>
      <c r="X63" s="8"/>
      <c r="Y63" s="8"/>
      <c r="Z63" s="8"/>
    </row>
    <row r="64">
      <c r="A64" s="8"/>
      <c r="B64" s="36"/>
      <c r="C64" s="36"/>
      <c r="D64" s="36"/>
      <c r="E64" s="36"/>
      <c r="F64" s="37" t="s">
        <v>424</v>
      </c>
      <c r="G64" s="38" t="s">
        <v>425</v>
      </c>
      <c r="H64" s="39" t="s">
        <v>22</v>
      </c>
      <c r="I64" s="53"/>
      <c r="J64" s="38"/>
      <c r="K64" s="38"/>
      <c r="L64" s="8"/>
      <c r="M64" s="8"/>
      <c r="N64" s="8"/>
      <c r="O64" s="8"/>
      <c r="P64" s="8"/>
      <c r="Q64" s="8"/>
      <c r="R64" s="8"/>
      <c r="S64" s="8"/>
      <c r="T64" s="8"/>
      <c r="U64" s="8"/>
      <c r="V64" s="8"/>
      <c r="W64" s="8"/>
      <c r="X64" s="8"/>
      <c r="Y64" s="8"/>
      <c r="Z64" s="8"/>
    </row>
    <row r="65">
      <c r="A65" s="8"/>
      <c r="B65" s="36"/>
      <c r="C65" s="36" t="s">
        <v>426</v>
      </c>
      <c r="D65" s="36" t="s">
        <v>427</v>
      </c>
      <c r="E65" s="36" t="s">
        <v>428</v>
      </c>
      <c r="F65" s="37" t="s">
        <v>429</v>
      </c>
      <c r="G65" s="38" t="s">
        <v>430</v>
      </c>
      <c r="H65" s="39" t="s">
        <v>22</v>
      </c>
      <c r="I65" s="40" t="s">
        <v>431</v>
      </c>
      <c r="J65" s="38"/>
      <c r="K65" s="38" t="s">
        <v>432</v>
      </c>
      <c r="L65" s="8"/>
      <c r="M65" s="8"/>
      <c r="N65" s="8"/>
      <c r="O65" s="8"/>
      <c r="P65" s="8"/>
      <c r="Q65" s="8"/>
      <c r="R65" s="8"/>
      <c r="S65" s="8"/>
      <c r="T65" s="8"/>
      <c r="U65" s="8"/>
      <c r="V65" s="8"/>
      <c r="W65" s="8"/>
      <c r="X65" s="8"/>
      <c r="Y65" s="8"/>
      <c r="Z65" s="8"/>
    </row>
    <row r="66">
      <c r="A66" s="8"/>
      <c r="B66" s="36"/>
      <c r="C66" s="36"/>
      <c r="D66" s="36"/>
      <c r="E66" s="36"/>
      <c r="F66" s="37" t="s">
        <v>433</v>
      </c>
      <c r="G66" s="43" t="s">
        <v>434</v>
      </c>
      <c r="H66" s="39" t="s">
        <v>22</v>
      </c>
      <c r="I66" s="47"/>
      <c r="J66" s="38"/>
      <c r="K66" s="38"/>
      <c r="L66" s="8"/>
      <c r="M66" s="8"/>
      <c r="N66" s="8"/>
      <c r="O66" s="8"/>
      <c r="P66" s="8"/>
      <c r="Q66" s="8"/>
      <c r="R66" s="8"/>
      <c r="S66" s="8"/>
      <c r="T66" s="8"/>
      <c r="U66" s="8"/>
      <c r="V66" s="8"/>
      <c r="W66" s="8"/>
      <c r="X66" s="8"/>
      <c r="Y66" s="8"/>
      <c r="Z66" s="8"/>
    </row>
    <row r="67">
      <c r="A67" s="8"/>
      <c r="B67" s="36"/>
      <c r="C67" s="36"/>
      <c r="D67" s="36"/>
      <c r="E67" s="36"/>
      <c r="F67" s="37" t="s">
        <v>435</v>
      </c>
      <c r="G67" s="43" t="s">
        <v>436</v>
      </c>
      <c r="H67" s="39" t="s">
        <v>22</v>
      </c>
      <c r="I67" s="46"/>
      <c r="J67" s="38"/>
      <c r="K67" s="38"/>
      <c r="L67" s="8"/>
      <c r="M67" s="8"/>
      <c r="N67" s="8"/>
      <c r="O67" s="8"/>
      <c r="P67" s="8"/>
      <c r="Q67" s="8"/>
      <c r="R67" s="8"/>
      <c r="S67" s="8"/>
      <c r="T67" s="8"/>
      <c r="U67" s="8"/>
      <c r="V67" s="8"/>
      <c r="W67" s="8"/>
      <c r="X67" s="8"/>
      <c r="Y67" s="8"/>
      <c r="Z67" s="8"/>
    </row>
    <row r="68">
      <c r="A68" s="8"/>
      <c r="B68" s="36"/>
      <c r="C68" s="36" t="s">
        <v>437</v>
      </c>
      <c r="D68" s="36" t="s">
        <v>438</v>
      </c>
      <c r="E68" s="36" t="s">
        <v>439</v>
      </c>
      <c r="F68" s="37" t="s">
        <v>440</v>
      </c>
      <c r="G68" s="38" t="s">
        <v>441</v>
      </c>
      <c r="H68" s="39" t="s">
        <v>22</v>
      </c>
      <c r="I68" s="42" t="s">
        <v>442</v>
      </c>
      <c r="J68" s="38" t="s">
        <v>443</v>
      </c>
      <c r="K68" s="38"/>
      <c r="L68" s="8"/>
      <c r="M68" s="8"/>
      <c r="N68" s="8"/>
      <c r="O68" s="8"/>
      <c r="P68" s="8"/>
      <c r="Q68" s="8"/>
      <c r="R68" s="8"/>
      <c r="S68" s="8"/>
      <c r="T68" s="8"/>
      <c r="U68" s="8"/>
      <c r="V68" s="8"/>
      <c r="W68" s="8"/>
      <c r="X68" s="8"/>
      <c r="Y68" s="8"/>
      <c r="Z68" s="8"/>
    </row>
    <row r="69">
      <c r="A69" s="8"/>
      <c r="B69" s="36"/>
      <c r="C69" s="36"/>
      <c r="D69" s="36"/>
      <c r="E69" s="36"/>
      <c r="F69" s="37" t="s">
        <v>444</v>
      </c>
      <c r="G69" s="38" t="s">
        <v>445</v>
      </c>
      <c r="H69" s="39" t="s">
        <v>22</v>
      </c>
      <c r="I69" s="46"/>
      <c r="J69" s="38"/>
      <c r="K69" s="38"/>
      <c r="L69" s="8"/>
      <c r="M69" s="8"/>
      <c r="N69" s="8"/>
      <c r="O69" s="8"/>
      <c r="P69" s="8"/>
      <c r="Q69" s="8"/>
      <c r="R69" s="8"/>
      <c r="S69" s="8"/>
      <c r="T69" s="8"/>
      <c r="U69" s="8"/>
      <c r="V69" s="8"/>
      <c r="W69" s="8"/>
      <c r="X69" s="8"/>
      <c r="Y69" s="8"/>
      <c r="Z69" s="8"/>
    </row>
    <row r="70">
      <c r="A70" s="8"/>
      <c r="B70" s="36"/>
      <c r="C70" s="36"/>
      <c r="D70" s="36"/>
      <c r="E70" s="36"/>
      <c r="F70" s="37" t="s">
        <v>446</v>
      </c>
      <c r="G70" s="38" t="s">
        <v>447</v>
      </c>
      <c r="H70" s="39" t="s">
        <v>22</v>
      </c>
      <c r="I70" s="47"/>
      <c r="J70" s="38"/>
      <c r="K70" s="38"/>
      <c r="L70" s="8"/>
      <c r="M70" s="8"/>
      <c r="N70" s="8"/>
      <c r="O70" s="8"/>
      <c r="P70" s="8"/>
      <c r="Q70" s="8"/>
      <c r="R70" s="8"/>
      <c r="S70" s="8"/>
      <c r="T70" s="8"/>
      <c r="U70" s="8"/>
      <c r="V70" s="8"/>
      <c r="W70" s="8"/>
      <c r="X70" s="8"/>
      <c r="Y70" s="8"/>
      <c r="Z70" s="8"/>
    </row>
    <row r="71" ht="120.0" customHeight="1">
      <c r="A71" s="8"/>
      <c r="B71" s="36"/>
      <c r="C71" s="36" t="s">
        <v>448</v>
      </c>
      <c r="D71" s="36" t="s">
        <v>449</v>
      </c>
      <c r="E71" s="36" t="s">
        <v>450</v>
      </c>
      <c r="F71" s="37" t="s">
        <v>451</v>
      </c>
      <c r="G71" s="38" t="s">
        <v>452</v>
      </c>
      <c r="H71" s="39" t="s">
        <v>22</v>
      </c>
      <c r="I71" s="40" t="s">
        <v>453</v>
      </c>
      <c r="J71" s="38"/>
      <c r="K71" s="38" t="s">
        <v>166</v>
      </c>
      <c r="L71" s="8"/>
      <c r="M71" s="8"/>
      <c r="N71" s="8"/>
      <c r="O71" s="8"/>
      <c r="P71" s="8"/>
      <c r="Q71" s="8"/>
      <c r="R71" s="8"/>
      <c r="S71" s="8"/>
      <c r="T71" s="8"/>
      <c r="U71" s="8"/>
      <c r="V71" s="8"/>
      <c r="W71" s="8"/>
      <c r="X71" s="8"/>
      <c r="Y71" s="8"/>
      <c r="Z71" s="8"/>
    </row>
    <row r="72" ht="58.5" customHeight="1">
      <c r="A72" s="8"/>
      <c r="B72" s="36"/>
      <c r="C72" s="36" t="s">
        <v>454</v>
      </c>
      <c r="D72" s="36" t="s">
        <v>455</v>
      </c>
      <c r="E72" s="36" t="s">
        <v>456</v>
      </c>
      <c r="F72" s="37" t="s">
        <v>457</v>
      </c>
      <c r="G72" s="38" t="s">
        <v>458</v>
      </c>
      <c r="H72" s="39" t="s">
        <v>22</v>
      </c>
      <c r="I72" s="44" t="s">
        <v>459</v>
      </c>
      <c r="J72" s="38"/>
      <c r="K72" s="48" t="s">
        <v>460</v>
      </c>
      <c r="L72" s="8"/>
      <c r="M72" s="8"/>
      <c r="N72" s="8"/>
      <c r="O72" s="8"/>
      <c r="P72" s="8"/>
      <c r="Q72" s="8"/>
      <c r="R72" s="8"/>
      <c r="S72" s="8"/>
      <c r="T72" s="8"/>
      <c r="U72" s="8"/>
      <c r="V72" s="8"/>
      <c r="W72" s="8"/>
      <c r="X72" s="8"/>
      <c r="Y72" s="8"/>
      <c r="Z72" s="8"/>
    </row>
    <row r="73">
      <c r="A73" s="8"/>
      <c r="B73" s="36"/>
      <c r="C73" s="36" t="s">
        <v>461</v>
      </c>
      <c r="D73" s="36" t="s">
        <v>462</v>
      </c>
      <c r="E73" s="36" t="s">
        <v>463</v>
      </c>
      <c r="F73" s="37" t="s">
        <v>464</v>
      </c>
      <c r="G73" s="38" t="s">
        <v>465</v>
      </c>
      <c r="H73" s="39" t="s">
        <v>22</v>
      </c>
      <c r="I73" s="45" t="s">
        <v>466</v>
      </c>
      <c r="J73" s="38"/>
      <c r="K73" s="48"/>
      <c r="L73" s="8"/>
      <c r="M73" s="8"/>
      <c r="N73" s="8"/>
      <c r="O73" s="8"/>
      <c r="P73" s="8"/>
      <c r="Q73" s="8"/>
      <c r="R73" s="8"/>
      <c r="S73" s="8"/>
      <c r="T73" s="8"/>
      <c r="U73" s="8"/>
      <c r="V73" s="8"/>
      <c r="W73" s="8"/>
      <c r="X73" s="8"/>
      <c r="Y73" s="8"/>
      <c r="Z73" s="8"/>
    </row>
    <row r="74">
      <c r="A74" s="8"/>
      <c r="B74" s="36"/>
      <c r="C74" s="36" t="s">
        <v>467</v>
      </c>
      <c r="D74" s="36" t="s">
        <v>468</v>
      </c>
      <c r="E74" s="36" t="s">
        <v>469</v>
      </c>
      <c r="F74" s="37" t="s">
        <v>470</v>
      </c>
      <c r="G74" s="38" t="s">
        <v>471</v>
      </c>
      <c r="H74" s="39" t="s">
        <v>22</v>
      </c>
      <c r="I74" s="44" t="s">
        <v>472</v>
      </c>
      <c r="J74" s="38"/>
      <c r="K74" s="48" t="s">
        <v>166</v>
      </c>
      <c r="L74" s="8"/>
      <c r="M74" s="8"/>
      <c r="N74" s="8"/>
      <c r="O74" s="8"/>
      <c r="P74" s="8"/>
      <c r="Q74" s="8"/>
      <c r="R74" s="8"/>
      <c r="S74" s="8"/>
      <c r="T74" s="8"/>
      <c r="U74" s="8"/>
      <c r="V74" s="8"/>
      <c r="W74" s="8"/>
      <c r="X74" s="8"/>
      <c r="Y74" s="8"/>
      <c r="Z74" s="8"/>
    </row>
    <row r="75">
      <c r="A75" s="8"/>
      <c r="B75" s="36"/>
      <c r="C75" s="36" t="s">
        <v>473</v>
      </c>
      <c r="D75" s="36" t="s">
        <v>474</v>
      </c>
      <c r="E75" s="36" t="s">
        <v>475</v>
      </c>
      <c r="F75" s="37" t="s">
        <v>476</v>
      </c>
      <c r="G75" s="38" t="s">
        <v>477</v>
      </c>
      <c r="H75" s="39" t="s">
        <v>22</v>
      </c>
      <c r="I75" s="40" t="s">
        <v>478</v>
      </c>
      <c r="J75" s="38" t="s">
        <v>479</v>
      </c>
      <c r="K75" s="48"/>
      <c r="L75" s="8"/>
      <c r="M75" s="8"/>
      <c r="N75" s="8"/>
      <c r="O75" s="8"/>
      <c r="P75" s="8"/>
      <c r="Q75" s="8"/>
      <c r="R75" s="8"/>
      <c r="S75" s="8"/>
      <c r="T75" s="8"/>
      <c r="U75" s="8"/>
      <c r="V75" s="8"/>
      <c r="W75" s="8"/>
      <c r="X75" s="8"/>
      <c r="Y75" s="8"/>
      <c r="Z75" s="8"/>
    </row>
    <row r="76">
      <c r="A76" s="8"/>
      <c r="B76" s="36"/>
      <c r="C76" s="36" t="s">
        <v>480</v>
      </c>
      <c r="D76" s="36" t="s">
        <v>481</v>
      </c>
      <c r="E76" s="36" t="s">
        <v>482</v>
      </c>
      <c r="F76" s="37" t="s">
        <v>483</v>
      </c>
      <c r="G76" s="38" t="s">
        <v>484</v>
      </c>
      <c r="H76" s="39" t="s">
        <v>22</v>
      </c>
      <c r="I76" s="42" t="s">
        <v>485</v>
      </c>
      <c r="J76" s="38" t="s">
        <v>486</v>
      </c>
      <c r="K76" s="48"/>
      <c r="L76" s="8"/>
      <c r="M76" s="8"/>
      <c r="N76" s="8"/>
      <c r="O76" s="8"/>
      <c r="P76" s="8"/>
      <c r="Q76" s="8"/>
      <c r="R76" s="8"/>
      <c r="S76" s="8"/>
      <c r="T76" s="8"/>
      <c r="U76" s="8"/>
      <c r="V76" s="8"/>
      <c r="W76" s="8"/>
      <c r="X76" s="8"/>
      <c r="Y76" s="8"/>
      <c r="Z76" s="8"/>
    </row>
    <row r="77">
      <c r="A77" s="8"/>
      <c r="B77" s="36"/>
      <c r="C77" s="36"/>
      <c r="D77" s="36"/>
      <c r="E77" s="36"/>
      <c r="F77" s="37" t="s">
        <v>487</v>
      </c>
      <c r="G77" s="38" t="s">
        <v>488</v>
      </c>
      <c r="H77" s="39" t="s">
        <v>22</v>
      </c>
      <c r="I77" s="46"/>
      <c r="J77" s="38"/>
      <c r="K77" s="48"/>
      <c r="L77" s="8"/>
      <c r="M77" s="8"/>
      <c r="N77" s="8"/>
      <c r="O77" s="8"/>
      <c r="P77" s="8"/>
      <c r="Q77" s="8"/>
      <c r="R77" s="8"/>
      <c r="S77" s="8"/>
      <c r="T77" s="8"/>
      <c r="U77" s="8"/>
      <c r="V77" s="8"/>
      <c r="W77" s="8"/>
      <c r="X77" s="8"/>
      <c r="Y77" s="8"/>
      <c r="Z77" s="8"/>
    </row>
    <row r="78">
      <c r="A78" s="8"/>
      <c r="B78" s="36"/>
      <c r="C78" s="36" t="s">
        <v>489</v>
      </c>
      <c r="D78" s="36" t="s">
        <v>490</v>
      </c>
      <c r="E78" s="36" t="s">
        <v>491</v>
      </c>
      <c r="F78" s="37" t="s">
        <v>492</v>
      </c>
      <c r="G78" s="38" t="s">
        <v>493</v>
      </c>
      <c r="H78" s="39" t="s">
        <v>22</v>
      </c>
      <c r="I78" s="42" t="s">
        <v>494</v>
      </c>
      <c r="J78" s="41"/>
      <c r="K78" s="48" t="s">
        <v>166</v>
      </c>
      <c r="L78" s="8"/>
      <c r="M78" s="8"/>
      <c r="N78" s="8"/>
      <c r="O78" s="8"/>
      <c r="P78" s="8"/>
      <c r="Q78" s="8"/>
      <c r="R78" s="8"/>
      <c r="S78" s="8"/>
      <c r="T78" s="8"/>
      <c r="U78" s="8"/>
      <c r="V78" s="8"/>
      <c r="W78" s="8"/>
      <c r="X78" s="8"/>
      <c r="Y78" s="8"/>
      <c r="Z78" s="8"/>
    </row>
    <row r="79">
      <c r="A79" s="8"/>
      <c r="B79" s="37" t="s">
        <v>495</v>
      </c>
      <c r="C79" s="36" t="s">
        <v>496</v>
      </c>
      <c r="D79" s="36" t="s">
        <v>497</v>
      </c>
      <c r="E79" s="36" t="s">
        <v>498</v>
      </c>
      <c r="F79" s="37" t="s">
        <v>499</v>
      </c>
      <c r="G79" s="38" t="s">
        <v>500</v>
      </c>
      <c r="H79" s="39" t="s">
        <v>22</v>
      </c>
      <c r="I79" s="45" t="s">
        <v>501</v>
      </c>
      <c r="J79" s="38" t="s">
        <v>502</v>
      </c>
      <c r="K79" s="38"/>
      <c r="L79" s="8"/>
      <c r="M79" s="8"/>
      <c r="N79" s="8"/>
      <c r="O79" s="8"/>
      <c r="P79" s="8"/>
      <c r="Q79" s="8"/>
      <c r="R79" s="8"/>
      <c r="S79" s="8"/>
      <c r="T79" s="8"/>
      <c r="U79" s="8"/>
      <c r="V79" s="8"/>
      <c r="W79" s="8"/>
      <c r="X79" s="8"/>
      <c r="Y79" s="8"/>
      <c r="Z79" s="8"/>
    </row>
    <row r="80">
      <c r="A80" s="8"/>
      <c r="B80" s="37"/>
      <c r="C80" s="36"/>
      <c r="D80" s="36"/>
      <c r="E80" s="36"/>
      <c r="F80" s="37" t="s">
        <v>503</v>
      </c>
      <c r="G80" s="38" t="s">
        <v>504</v>
      </c>
      <c r="H80" s="39" t="s">
        <v>22</v>
      </c>
      <c r="I80" s="47"/>
      <c r="J80" s="38"/>
      <c r="K80" s="38"/>
      <c r="L80" s="8"/>
      <c r="M80" s="8"/>
      <c r="N80" s="8"/>
      <c r="O80" s="8"/>
      <c r="P80" s="8"/>
      <c r="Q80" s="8"/>
      <c r="R80" s="8"/>
      <c r="S80" s="8"/>
      <c r="T80" s="8"/>
      <c r="U80" s="8"/>
      <c r="V80" s="8"/>
      <c r="W80" s="8"/>
      <c r="X80" s="8"/>
      <c r="Y80" s="8"/>
      <c r="Z80" s="8"/>
    </row>
    <row r="81">
      <c r="A81" s="8"/>
      <c r="B81" s="37"/>
      <c r="C81" s="36" t="s">
        <v>505</v>
      </c>
      <c r="D81" s="36" t="s">
        <v>506</v>
      </c>
      <c r="E81" s="36" t="s">
        <v>507</v>
      </c>
      <c r="F81" s="37" t="s">
        <v>508</v>
      </c>
      <c r="G81" s="38" t="s">
        <v>509</v>
      </c>
      <c r="H81" s="39" t="s">
        <v>22</v>
      </c>
      <c r="I81" s="40" t="s">
        <v>510</v>
      </c>
      <c r="J81" s="38" t="s">
        <v>511</v>
      </c>
      <c r="K81" s="38"/>
      <c r="L81" s="8"/>
      <c r="M81" s="8"/>
      <c r="N81" s="8"/>
      <c r="O81" s="8"/>
      <c r="P81" s="8"/>
      <c r="Q81" s="8"/>
      <c r="R81" s="8"/>
      <c r="S81" s="8"/>
      <c r="T81" s="8"/>
      <c r="U81" s="8"/>
      <c r="V81" s="8"/>
      <c r="W81" s="8"/>
      <c r="X81" s="8"/>
      <c r="Y81" s="8"/>
      <c r="Z81" s="8"/>
    </row>
    <row r="82">
      <c r="A82" s="8"/>
      <c r="B82" s="37"/>
      <c r="C82" s="36" t="s">
        <v>512</v>
      </c>
      <c r="D82" s="36" t="s">
        <v>513</v>
      </c>
      <c r="E82" s="36" t="s">
        <v>514</v>
      </c>
      <c r="F82" s="37" t="s">
        <v>515</v>
      </c>
      <c r="G82" s="38" t="s">
        <v>516</v>
      </c>
      <c r="H82" s="39" t="s">
        <v>22</v>
      </c>
      <c r="I82" s="42" t="s">
        <v>517</v>
      </c>
      <c r="J82" s="54" t="s">
        <v>518</v>
      </c>
      <c r="K82" s="38"/>
      <c r="L82" s="8"/>
      <c r="M82" s="8"/>
      <c r="N82" s="8"/>
      <c r="O82" s="8"/>
      <c r="P82" s="8"/>
      <c r="Q82" s="8"/>
      <c r="R82" s="8"/>
      <c r="S82" s="8"/>
      <c r="T82" s="8"/>
      <c r="U82" s="8"/>
      <c r="V82" s="8"/>
      <c r="W82" s="8"/>
      <c r="X82" s="8"/>
      <c r="Y82" s="8"/>
      <c r="Z82" s="8"/>
    </row>
    <row r="83">
      <c r="A83" s="8"/>
      <c r="B83" s="37"/>
      <c r="C83" s="36"/>
      <c r="D83" s="36"/>
      <c r="E83" s="36"/>
      <c r="F83" s="37" t="s">
        <v>519</v>
      </c>
      <c r="G83" s="38" t="s">
        <v>520</v>
      </c>
      <c r="H83" s="39" t="s">
        <v>22</v>
      </c>
      <c r="I83" s="40" t="s">
        <v>521</v>
      </c>
      <c r="J83" s="38"/>
      <c r="K83" s="38"/>
      <c r="L83" s="8"/>
      <c r="M83" s="8"/>
      <c r="N83" s="8"/>
      <c r="O83" s="8"/>
      <c r="P83" s="8"/>
      <c r="Q83" s="8"/>
      <c r="R83" s="8"/>
      <c r="S83" s="8"/>
      <c r="T83" s="8"/>
      <c r="U83" s="8"/>
      <c r="V83" s="8"/>
      <c r="W83" s="8"/>
      <c r="X83" s="8"/>
      <c r="Y83" s="8"/>
      <c r="Z83" s="8"/>
    </row>
    <row r="84">
      <c r="A84" s="8"/>
      <c r="B84" s="37"/>
      <c r="C84" s="36"/>
      <c r="D84" s="36"/>
      <c r="E84" s="36"/>
      <c r="F84" s="37" t="s">
        <v>522</v>
      </c>
      <c r="G84" s="38" t="s">
        <v>523</v>
      </c>
      <c r="H84" s="39" t="s">
        <v>22</v>
      </c>
      <c r="I84" s="44" t="s">
        <v>524</v>
      </c>
      <c r="J84" s="38"/>
      <c r="K84" s="38"/>
      <c r="L84" s="8"/>
      <c r="M84" s="8"/>
      <c r="N84" s="8"/>
      <c r="O84" s="8"/>
      <c r="P84" s="8"/>
      <c r="Q84" s="8"/>
      <c r="R84" s="8"/>
      <c r="S84" s="8"/>
      <c r="T84" s="8"/>
      <c r="U84" s="8"/>
      <c r="V84" s="8"/>
      <c r="W84" s="8"/>
      <c r="X84" s="8"/>
      <c r="Y84" s="8"/>
      <c r="Z84" s="8"/>
    </row>
    <row r="85">
      <c r="A85" s="8"/>
      <c r="B85" s="37"/>
      <c r="C85" s="36"/>
      <c r="D85" s="36"/>
      <c r="E85" s="36"/>
      <c r="F85" s="37" t="s">
        <v>525</v>
      </c>
      <c r="G85" s="38" t="s">
        <v>526</v>
      </c>
      <c r="H85" s="39" t="s">
        <v>22</v>
      </c>
      <c r="I85" s="45" t="s">
        <v>527</v>
      </c>
      <c r="J85" s="38"/>
      <c r="K85" s="38"/>
      <c r="L85" s="8"/>
      <c r="M85" s="8"/>
      <c r="N85" s="8"/>
      <c r="O85" s="8"/>
      <c r="P85" s="8"/>
      <c r="Q85" s="8"/>
      <c r="R85" s="8"/>
      <c r="S85" s="8"/>
      <c r="T85" s="8"/>
      <c r="U85" s="8"/>
      <c r="V85" s="8"/>
      <c r="W85" s="8"/>
      <c r="X85" s="8"/>
      <c r="Y85" s="8"/>
      <c r="Z85" s="8"/>
    </row>
    <row r="86">
      <c r="A86" s="8"/>
      <c r="B86" s="37"/>
      <c r="C86" s="36" t="s">
        <v>528</v>
      </c>
      <c r="D86" s="36" t="s">
        <v>529</v>
      </c>
      <c r="E86" s="36" t="s">
        <v>530</v>
      </c>
      <c r="F86" s="37" t="s">
        <v>531</v>
      </c>
      <c r="G86" s="38" t="s">
        <v>532</v>
      </c>
      <c r="H86" s="39" t="s">
        <v>22</v>
      </c>
      <c r="I86" s="42" t="s">
        <v>533</v>
      </c>
      <c r="J86" s="38" t="s">
        <v>511</v>
      </c>
      <c r="K86" s="38" t="s">
        <v>198</v>
      </c>
      <c r="L86" s="8"/>
      <c r="M86" s="8"/>
      <c r="N86" s="8"/>
      <c r="O86" s="8"/>
      <c r="P86" s="8"/>
      <c r="Q86" s="8"/>
      <c r="R86" s="8"/>
      <c r="S86" s="8"/>
      <c r="T86" s="8"/>
      <c r="U86" s="8"/>
      <c r="V86" s="8"/>
      <c r="W86" s="8"/>
      <c r="X86" s="8"/>
      <c r="Y86" s="8"/>
      <c r="Z86" s="8"/>
    </row>
    <row r="87">
      <c r="A87" s="8"/>
      <c r="B87" s="37"/>
      <c r="C87" s="36" t="s">
        <v>534</v>
      </c>
      <c r="D87" s="36" t="s">
        <v>535</v>
      </c>
      <c r="E87" s="36" t="s">
        <v>536</v>
      </c>
      <c r="F87" s="37" t="s">
        <v>537</v>
      </c>
      <c r="G87" s="38" t="s">
        <v>538</v>
      </c>
      <c r="H87" s="39" t="s">
        <v>22</v>
      </c>
      <c r="I87" s="40" t="s">
        <v>539</v>
      </c>
      <c r="J87" s="38" t="s">
        <v>540</v>
      </c>
      <c r="K87" s="38" t="s">
        <v>240</v>
      </c>
      <c r="L87" s="8"/>
      <c r="M87" s="8"/>
      <c r="N87" s="8"/>
      <c r="O87" s="8"/>
      <c r="P87" s="8"/>
      <c r="Q87" s="8"/>
      <c r="R87" s="8"/>
      <c r="S87" s="8"/>
      <c r="T87" s="8"/>
      <c r="U87" s="8"/>
      <c r="V87" s="8"/>
      <c r="W87" s="8"/>
      <c r="X87" s="8"/>
      <c r="Y87" s="8"/>
      <c r="Z87" s="8"/>
    </row>
    <row r="88">
      <c r="A88" s="8"/>
      <c r="B88" s="37"/>
      <c r="C88" s="36" t="s">
        <v>541</v>
      </c>
      <c r="D88" s="36" t="s">
        <v>542</v>
      </c>
      <c r="E88" s="36" t="s">
        <v>543</v>
      </c>
      <c r="F88" s="37" t="s">
        <v>544</v>
      </c>
      <c r="G88" s="38" t="s">
        <v>545</v>
      </c>
      <c r="H88" s="39" t="s">
        <v>22</v>
      </c>
      <c r="I88" s="42" t="s">
        <v>539</v>
      </c>
      <c r="J88" s="38" t="s">
        <v>546</v>
      </c>
      <c r="K88" s="38" t="s">
        <v>198</v>
      </c>
      <c r="L88" s="8"/>
      <c r="M88" s="8"/>
      <c r="N88" s="8"/>
      <c r="O88" s="8"/>
      <c r="P88" s="8"/>
      <c r="Q88" s="8"/>
      <c r="R88" s="8"/>
      <c r="S88" s="8"/>
      <c r="T88" s="8"/>
      <c r="U88" s="8"/>
      <c r="V88" s="8"/>
      <c r="W88" s="8"/>
      <c r="X88" s="8"/>
      <c r="Y88" s="8"/>
      <c r="Z88" s="8"/>
    </row>
    <row r="89" ht="148.5" customHeight="1">
      <c r="A89" s="8"/>
      <c r="B89" s="37"/>
      <c r="C89" s="36" t="s">
        <v>547</v>
      </c>
      <c r="D89" s="36" t="s">
        <v>548</v>
      </c>
      <c r="E89" s="36" t="s">
        <v>549</v>
      </c>
      <c r="F89" s="37" t="s">
        <v>550</v>
      </c>
      <c r="G89" s="38" t="s">
        <v>551</v>
      </c>
      <c r="H89" s="39" t="s">
        <v>22</v>
      </c>
      <c r="I89" s="40" t="s">
        <v>552</v>
      </c>
      <c r="J89" s="54" t="s">
        <v>553</v>
      </c>
      <c r="K89" s="48" t="s">
        <v>232</v>
      </c>
      <c r="L89" s="8"/>
      <c r="M89" s="8"/>
      <c r="N89" s="8"/>
      <c r="O89" s="8"/>
      <c r="P89" s="8"/>
      <c r="Q89" s="8"/>
      <c r="R89" s="8"/>
      <c r="S89" s="8"/>
      <c r="T89" s="8"/>
      <c r="U89" s="8"/>
      <c r="V89" s="8"/>
      <c r="W89" s="8"/>
      <c r="X89" s="8"/>
      <c r="Y89" s="8"/>
      <c r="Z89" s="8"/>
    </row>
    <row r="90" ht="85.5" customHeight="1">
      <c r="A90" s="8"/>
      <c r="B90" s="37"/>
      <c r="C90" s="36" t="s">
        <v>554</v>
      </c>
      <c r="D90" s="36" t="s">
        <v>555</v>
      </c>
      <c r="E90" s="36" t="s">
        <v>556</v>
      </c>
      <c r="F90" s="37" t="s">
        <v>557</v>
      </c>
      <c r="G90" s="38" t="s">
        <v>558</v>
      </c>
      <c r="H90" s="39" t="s">
        <v>22</v>
      </c>
      <c r="I90" s="42" t="s">
        <v>559</v>
      </c>
      <c r="J90" s="38" t="s">
        <v>560</v>
      </c>
      <c r="K90" s="48" t="s">
        <v>561</v>
      </c>
      <c r="L90" s="8"/>
      <c r="M90" s="8"/>
      <c r="N90" s="8"/>
      <c r="O90" s="8"/>
      <c r="P90" s="8"/>
      <c r="Q90" s="8"/>
      <c r="R90" s="8"/>
      <c r="S90" s="8"/>
      <c r="T90" s="8"/>
      <c r="U90" s="8"/>
      <c r="V90" s="8"/>
      <c r="W90" s="8"/>
      <c r="X90" s="8"/>
      <c r="Y90" s="8"/>
      <c r="Z90" s="8"/>
    </row>
    <row r="91">
      <c r="A91" s="8"/>
      <c r="B91" s="37"/>
      <c r="C91" s="36"/>
      <c r="D91" s="36"/>
      <c r="E91" s="36"/>
      <c r="F91" s="37" t="s">
        <v>562</v>
      </c>
      <c r="G91" s="43" t="s">
        <v>563</v>
      </c>
      <c r="H91" s="39" t="s">
        <v>22</v>
      </c>
      <c r="I91" s="40" t="s">
        <v>564</v>
      </c>
      <c r="J91" s="38"/>
      <c r="K91" s="38"/>
      <c r="L91" s="8"/>
      <c r="M91" s="8"/>
      <c r="N91" s="8"/>
      <c r="O91" s="8"/>
      <c r="P91" s="8"/>
      <c r="Q91" s="8"/>
      <c r="R91" s="8"/>
      <c r="S91" s="8"/>
      <c r="T91" s="8"/>
      <c r="U91" s="8"/>
      <c r="V91" s="8"/>
      <c r="W91" s="8"/>
      <c r="X91" s="8"/>
      <c r="Y91" s="8"/>
      <c r="Z91" s="8"/>
    </row>
    <row r="92">
      <c r="A92" s="8"/>
      <c r="B92" s="37" t="s">
        <v>565</v>
      </c>
      <c r="C92" s="36" t="s">
        <v>566</v>
      </c>
      <c r="D92" s="36" t="s">
        <v>567</v>
      </c>
      <c r="E92" s="36" t="s">
        <v>568</v>
      </c>
      <c r="F92" s="37" t="s">
        <v>569</v>
      </c>
      <c r="G92" s="38" t="s">
        <v>570</v>
      </c>
      <c r="H92" s="39" t="s">
        <v>22</v>
      </c>
      <c r="I92" s="42" t="s">
        <v>571</v>
      </c>
      <c r="J92" s="43"/>
      <c r="K92" s="48" t="s">
        <v>572</v>
      </c>
      <c r="L92" s="8"/>
      <c r="M92" s="8"/>
      <c r="N92" s="8"/>
      <c r="O92" s="8"/>
      <c r="P92" s="8"/>
      <c r="Q92" s="8"/>
      <c r="R92" s="8"/>
      <c r="S92" s="8"/>
      <c r="T92" s="8"/>
      <c r="U92" s="8"/>
      <c r="V92" s="8"/>
      <c r="W92" s="8"/>
      <c r="X92" s="8"/>
      <c r="Y92" s="8"/>
      <c r="Z92" s="8"/>
    </row>
    <row r="93">
      <c r="A93" s="8"/>
      <c r="B93" s="37"/>
      <c r="C93" s="36"/>
      <c r="D93" s="36"/>
      <c r="E93" s="36"/>
      <c r="F93" s="37" t="s">
        <v>573</v>
      </c>
      <c r="G93" s="38" t="s">
        <v>574</v>
      </c>
      <c r="H93" s="39" t="s">
        <v>22</v>
      </c>
      <c r="I93" s="40" t="s">
        <v>575</v>
      </c>
      <c r="J93" s="38"/>
      <c r="K93" s="48" t="s">
        <v>572</v>
      </c>
      <c r="L93" s="8"/>
      <c r="M93" s="8"/>
      <c r="N93" s="8"/>
      <c r="O93" s="8"/>
      <c r="P93" s="8"/>
      <c r="Q93" s="8"/>
      <c r="R93" s="8"/>
      <c r="S93" s="8"/>
      <c r="T93" s="8"/>
      <c r="U93" s="8"/>
      <c r="V93" s="8"/>
      <c r="W93" s="8"/>
      <c r="X93" s="8"/>
      <c r="Y93" s="8"/>
      <c r="Z93" s="8"/>
    </row>
    <row r="94">
      <c r="A94" s="8"/>
      <c r="B94" s="37"/>
      <c r="C94" s="36" t="s">
        <v>576</v>
      </c>
      <c r="D94" s="36" t="s">
        <v>577</v>
      </c>
      <c r="E94" s="36" t="s">
        <v>578</v>
      </c>
      <c r="F94" s="37" t="s">
        <v>579</v>
      </c>
      <c r="G94" s="38" t="s">
        <v>580</v>
      </c>
      <c r="H94" s="39" t="s">
        <v>22</v>
      </c>
      <c r="I94" s="42" t="s">
        <v>581</v>
      </c>
      <c r="J94" s="38"/>
      <c r="K94" s="48" t="s">
        <v>572</v>
      </c>
      <c r="L94" s="8"/>
      <c r="M94" s="8"/>
      <c r="N94" s="8"/>
      <c r="O94" s="8"/>
      <c r="P94" s="8"/>
      <c r="Q94" s="8"/>
      <c r="R94" s="8"/>
      <c r="S94" s="8"/>
      <c r="T94" s="8"/>
      <c r="U94" s="8"/>
      <c r="V94" s="8"/>
      <c r="W94" s="8"/>
      <c r="X94" s="8"/>
      <c r="Y94" s="8"/>
      <c r="Z94" s="8"/>
    </row>
    <row r="95">
      <c r="A95" s="8"/>
      <c r="B95" s="37"/>
      <c r="C95" s="36"/>
      <c r="D95" s="36"/>
      <c r="E95" s="36"/>
      <c r="F95" s="37" t="s">
        <v>582</v>
      </c>
      <c r="G95" s="38" t="s">
        <v>583</v>
      </c>
      <c r="H95" s="39" t="s">
        <v>22</v>
      </c>
      <c r="I95" s="46"/>
      <c r="J95" s="38"/>
      <c r="K95" s="38"/>
      <c r="L95" s="8"/>
      <c r="M95" s="8"/>
      <c r="N95" s="8"/>
      <c r="O95" s="8"/>
      <c r="P95" s="8"/>
      <c r="Q95" s="8"/>
      <c r="R95" s="8"/>
      <c r="S95" s="8"/>
      <c r="T95" s="8"/>
      <c r="U95" s="8"/>
      <c r="V95" s="8"/>
      <c r="W95" s="8"/>
      <c r="X95" s="8"/>
      <c r="Y95" s="8"/>
      <c r="Z95" s="8"/>
    </row>
    <row r="96">
      <c r="A96" s="8"/>
      <c r="B96" s="37"/>
      <c r="C96" s="36"/>
      <c r="D96" s="36"/>
      <c r="E96" s="36"/>
      <c r="F96" s="37" t="s">
        <v>584</v>
      </c>
      <c r="G96" s="38" t="s">
        <v>585</v>
      </c>
      <c r="H96" s="49" t="s">
        <v>307</v>
      </c>
      <c r="I96" s="55" t="s">
        <v>586</v>
      </c>
      <c r="J96" s="38"/>
      <c r="K96" s="38"/>
      <c r="L96" s="8"/>
      <c r="M96" s="8"/>
      <c r="N96" s="8"/>
      <c r="O96" s="8"/>
      <c r="P96" s="8"/>
      <c r="Q96" s="8"/>
      <c r="R96" s="8"/>
      <c r="S96" s="8"/>
      <c r="T96" s="8"/>
      <c r="U96" s="8"/>
      <c r="V96" s="8"/>
      <c r="W96" s="8"/>
      <c r="X96" s="8"/>
      <c r="Y96" s="8"/>
      <c r="Z96" s="8"/>
    </row>
    <row r="97">
      <c r="A97" s="8"/>
      <c r="B97" s="37"/>
      <c r="C97" s="36"/>
      <c r="D97" s="36"/>
      <c r="E97" s="36"/>
      <c r="F97" s="37" t="s">
        <v>587</v>
      </c>
      <c r="G97" s="38" t="s">
        <v>588</v>
      </c>
      <c r="H97" s="39" t="s">
        <v>22</v>
      </c>
      <c r="I97" s="46"/>
      <c r="J97" s="38"/>
      <c r="K97" s="38"/>
      <c r="L97" s="8"/>
      <c r="M97" s="8"/>
      <c r="N97" s="8"/>
      <c r="O97" s="8"/>
      <c r="P97" s="8"/>
      <c r="Q97" s="8"/>
      <c r="R97" s="8"/>
      <c r="S97" s="8"/>
      <c r="T97" s="8"/>
      <c r="U97" s="8"/>
      <c r="V97" s="8"/>
      <c r="W97" s="8"/>
      <c r="X97" s="8"/>
      <c r="Y97" s="8"/>
      <c r="Z97" s="8"/>
    </row>
    <row r="98">
      <c r="A98" s="8"/>
      <c r="B98" s="37"/>
      <c r="C98" s="36"/>
      <c r="D98" s="36"/>
      <c r="E98" s="36"/>
      <c r="F98" s="37" t="s">
        <v>589</v>
      </c>
      <c r="G98" s="38" t="s">
        <v>590</v>
      </c>
      <c r="H98" s="39" t="s">
        <v>22</v>
      </c>
      <c r="I98" s="47"/>
      <c r="J98" s="38"/>
      <c r="K98" s="38"/>
      <c r="L98" s="8"/>
      <c r="M98" s="8"/>
      <c r="N98" s="8"/>
      <c r="O98" s="8"/>
      <c r="P98" s="8"/>
      <c r="Q98" s="8"/>
      <c r="R98" s="8"/>
      <c r="S98" s="8"/>
      <c r="T98" s="8"/>
      <c r="U98" s="8"/>
      <c r="V98" s="8"/>
      <c r="W98" s="8"/>
      <c r="X98" s="8"/>
      <c r="Y98" s="8"/>
      <c r="Z98" s="8"/>
    </row>
    <row r="99">
      <c r="A99" s="8"/>
      <c r="B99" s="37"/>
      <c r="C99" s="36" t="s">
        <v>591</v>
      </c>
      <c r="D99" s="36" t="s">
        <v>592</v>
      </c>
      <c r="E99" s="36" t="s">
        <v>593</v>
      </c>
      <c r="F99" s="37" t="s">
        <v>594</v>
      </c>
      <c r="G99" s="38" t="s">
        <v>595</v>
      </c>
      <c r="H99" s="39" t="s">
        <v>22</v>
      </c>
      <c r="I99" s="45" t="s">
        <v>596</v>
      </c>
      <c r="J99" s="38"/>
      <c r="K99" s="48" t="s">
        <v>597</v>
      </c>
      <c r="L99" s="8"/>
      <c r="M99" s="8"/>
      <c r="N99" s="8"/>
      <c r="O99" s="8"/>
      <c r="P99" s="8"/>
      <c r="Q99" s="8"/>
      <c r="R99" s="8"/>
      <c r="S99" s="8"/>
      <c r="T99" s="8"/>
      <c r="U99" s="8"/>
      <c r="V99" s="8"/>
      <c r="W99" s="8"/>
      <c r="X99" s="8"/>
      <c r="Y99" s="8"/>
      <c r="Z99" s="8"/>
    </row>
    <row r="100">
      <c r="A100" s="8"/>
      <c r="B100" s="37"/>
      <c r="C100" s="36" t="s">
        <v>598</v>
      </c>
      <c r="D100" s="36" t="s">
        <v>599</v>
      </c>
      <c r="E100" s="36" t="s">
        <v>600</v>
      </c>
      <c r="F100" s="37" t="s">
        <v>601</v>
      </c>
      <c r="G100" s="38" t="s">
        <v>602</v>
      </c>
      <c r="H100" s="49" t="s">
        <v>307</v>
      </c>
      <c r="I100" s="42" t="s">
        <v>603</v>
      </c>
      <c r="J100" s="38" t="s">
        <v>604</v>
      </c>
      <c r="K100" s="48" t="s">
        <v>597</v>
      </c>
      <c r="L100" s="8"/>
      <c r="M100" s="8"/>
      <c r="N100" s="8"/>
      <c r="O100" s="8"/>
      <c r="P100" s="8"/>
      <c r="Q100" s="8"/>
      <c r="R100" s="8"/>
      <c r="S100" s="8"/>
      <c r="T100" s="8"/>
      <c r="U100" s="8"/>
      <c r="V100" s="8"/>
      <c r="W100" s="8"/>
      <c r="X100" s="8"/>
      <c r="Y100" s="8"/>
      <c r="Z100" s="8"/>
    </row>
    <row r="101">
      <c r="A101" s="8"/>
      <c r="B101" s="37"/>
      <c r="C101" s="36"/>
      <c r="D101" s="36"/>
      <c r="E101" s="36"/>
      <c r="F101" s="37" t="s">
        <v>605</v>
      </c>
      <c r="G101" s="38" t="s">
        <v>606</v>
      </c>
      <c r="H101" s="49" t="s">
        <v>307</v>
      </c>
      <c r="I101" s="46"/>
      <c r="J101" s="38"/>
      <c r="K101" s="38"/>
      <c r="L101" s="8"/>
      <c r="M101" s="8"/>
      <c r="N101" s="8"/>
      <c r="O101" s="8"/>
      <c r="P101" s="8"/>
      <c r="Q101" s="8"/>
      <c r="R101" s="8"/>
      <c r="S101" s="8"/>
      <c r="T101" s="8"/>
      <c r="U101" s="8"/>
      <c r="V101" s="8"/>
      <c r="W101" s="8"/>
      <c r="X101" s="8"/>
      <c r="Y101" s="8"/>
      <c r="Z101" s="8"/>
    </row>
    <row r="102">
      <c r="A102" s="8"/>
      <c r="B102" s="37"/>
      <c r="C102" s="36"/>
      <c r="D102" s="36"/>
      <c r="E102" s="36"/>
      <c r="F102" s="37" t="s">
        <v>607</v>
      </c>
      <c r="G102" s="38" t="s">
        <v>608</v>
      </c>
      <c r="H102" s="49" t="s">
        <v>307</v>
      </c>
      <c r="I102" s="47"/>
      <c r="J102" s="38"/>
      <c r="K102" s="38"/>
      <c r="L102" s="8"/>
      <c r="M102" s="8"/>
      <c r="N102" s="8"/>
      <c r="O102" s="8"/>
      <c r="P102" s="8"/>
      <c r="Q102" s="8"/>
      <c r="R102" s="8"/>
      <c r="S102" s="8"/>
      <c r="T102" s="8"/>
      <c r="U102" s="8"/>
      <c r="V102" s="8"/>
      <c r="W102" s="8"/>
      <c r="X102" s="8"/>
      <c r="Y102" s="8"/>
      <c r="Z102" s="8"/>
    </row>
    <row r="103">
      <c r="A103" s="8"/>
      <c r="B103" s="37"/>
      <c r="C103" s="36" t="s">
        <v>609</v>
      </c>
      <c r="D103" s="36" t="s">
        <v>610</v>
      </c>
      <c r="E103" s="36" t="s">
        <v>611</v>
      </c>
      <c r="F103" s="37" t="s">
        <v>612</v>
      </c>
      <c r="G103" s="38" t="s">
        <v>613</v>
      </c>
      <c r="H103" s="39" t="s">
        <v>22</v>
      </c>
      <c r="I103" s="40" t="s">
        <v>614</v>
      </c>
      <c r="J103" s="38" t="s">
        <v>615</v>
      </c>
      <c r="K103" s="48" t="s">
        <v>597</v>
      </c>
      <c r="L103" s="8"/>
      <c r="M103" s="8"/>
      <c r="N103" s="8"/>
      <c r="O103" s="8"/>
      <c r="P103" s="8"/>
      <c r="Q103" s="8"/>
      <c r="R103" s="8"/>
      <c r="S103" s="8"/>
      <c r="T103" s="8"/>
      <c r="U103" s="8"/>
      <c r="V103" s="8"/>
      <c r="W103" s="8"/>
      <c r="X103" s="8"/>
      <c r="Y103" s="8"/>
      <c r="Z103" s="8"/>
    </row>
    <row r="104" ht="16.5" customHeight="1">
      <c r="A104" s="8"/>
      <c r="B104" s="37"/>
      <c r="C104" s="36"/>
      <c r="D104" s="36"/>
      <c r="E104" s="36"/>
      <c r="F104" s="37" t="s">
        <v>616</v>
      </c>
      <c r="G104" s="38" t="s">
        <v>617</v>
      </c>
      <c r="H104" s="39" t="s">
        <v>22</v>
      </c>
      <c r="I104" s="47"/>
      <c r="J104" s="38"/>
      <c r="K104" s="38"/>
      <c r="L104" s="8"/>
      <c r="M104" s="8"/>
      <c r="N104" s="8"/>
      <c r="O104" s="8"/>
      <c r="P104" s="8"/>
      <c r="Q104" s="8"/>
      <c r="R104" s="8"/>
      <c r="S104" s="8"/>
      <c r="T104" s="8"/>
      <c r="U104" s="8"/>
      <c r="V104" s="8"/>
      <c r="W104" s="8"/>
      <c r="X104" s="8"/>
      <c r="Y104" s="8"/>
      <c r="Z104" s="8"/>
    </row>
    <row r="105" ht="16.5" customHeight="1">
      <c r="A105" s="8"/>
      <c r="B105" s="37"/>
      <c r="C105" s="36"/>
      <c r="D105" s="36"/>
      <c r="E105" s="36"/>
      <c r="F105" s="37" t="s">
        <v>618</v>
      </c>
      <c r="G105" s="38" t="s">
        <v>619</v>
      </c>
      <c r="H105" s="39" t="s">
        <v>22</v>
      </c>
      <c r="I105" s="46"/>
      <c r="J105" s="38"/>
      <c r="K105" s="38"/>
      <c r="L105" s="8"/>
      <c r="M105" s="8"/>
      <c r="N105" s="8"/>
      <c r="O105" s="8"/>
      <c r="P105" s="8"/>
      <c r="Q105" s="8"/>
      <c r="R105" s="8"/>
      <c r="S105" s="8"/>
      <c r="T105" s="8"/>
      <c r="U105" s="8"/>
      <c r="V105" s="8"/>
      <c r="W105" s="8"/>
      <c r="X105" s="8"/>
      <c r="Y105" s="8"/>
      <c r="Z105" s="8"/>
    </row>
    <row r="106" ht="60.0" customHeight="1">
      <c r="A106" s="8"/>
      <c r="B106" s="37"/>
      <c r="C106" s="36" t="s">
        <v>620</v>
      </c>
      <c r="D106" s="36" t="s">
        <v>621</v>
      </c>
      <c r="E106" s="36" t="s">
        <v>622</v>
      </c>
      <c r="F106" s="37" t="s">
        <v>623</v>
      </c>
      <c r="G106" s="38" t="s">
        <v>624</v>
      </c>
      <c r="H106" s="39" t="s">
        <v>22</v>
      </c>
      <c r="I106" s="42" t="s">
        <v>625</v>
      </c>
      <c r="J106" s="38"/>
      <c r="K106" s="48" t="s">
        <v>597</v>
      </c>
      <c r="L106" s="8"/>
      <c r="M106" s="8"/>
      <c r="N106" s="8"/>
      <c r="O106" s="8"/>
      <c r="P106" s="8"/>
      <c r="Q106" s="8"/>
      <c r="R106" s="8"/>
      <c r="S106" s="8"/>
      <c r="T106" s="8"/>
      <c r="U106" s="8"/>
      <c r="V106" s="8"/>
      <c r="W106" s="8"/>
      <c r="X106" s="8"/>
      <c r="Y106" s="8"/>
      <c r="Z106" s="8"/>
    </row>
    <row r="107" ht="81.75" customHeight="1">
      <c r="A107" s="8"/>
      <c r="B107" s="37"/>
      <c r="C107" s="36" t="s">
        <v>626</v>
      </c>
      <c r="D107" s="36" t="s">
        <v>627</v>
      </c>
      <c r="E107" s="36" t="s">
        <v>628</v>
      </c>
      <c r="F107" s="37" t="s">
        <v>629</v>
      </c>
      <c r="G107" s="38" t="s">
        <v>630</v>
      </c>
      <c r="H107" s="39" t="s">
        <v>22</v>
      </c>
      <c r="I107" s="40" t="s">
        <v>631</v>
      </c>
      <c r="J107" s="38" t="s">
        <v>632</v>
      </c>
      <c r="K107" s="48" t="s">
        <v>633</v>
      </c>
      <c r="L107" s="8"/>
      <c r="M107" s="8"/>
      <c r="N107" s="8"/>
      <c r="O107" s="8"/>
      <c r="P107" s="8"/>
      <c r="Q107" s="8"/>
      <c r="R107" s="8"/>
      <c r="S107" s="8"/>
      <c r="T107" s="8"/>
      <c r="U107" s="8"/>
      <c r="V107" s="8"/>
      <c r="W107" s="8"/>
      <c r="X107" s="8"/>
      <c r="Y107" s="8"/>
      <c r="Z107" s="8"/>
    </row>
    <row r="108" ht="78.0" customHeight="1">
      <c r="A108" s="8"/>
      <c r="B108" s="37"/>
      <c r="C108" s="36"/>
      <c r="D108" s="36"/>
      <c r="E108" s="36"/>
      <c r="F108" s="37" t="s">
        <v>634</v>
      </c>
      <c r="G108" s="38" t="s">
        <v>635</v>
      </c>
      <c r="H108" s="39" t="s">
        <v>22</v>
      </c>
      <c r="I108" s="42" t="s">
        <v>636</v>
      </c>
      <c r="J108" s="38" t="s">
        <v>632</v>
      </c>
      <c r="K108" s="38"/>
      <c r="L108" s="8"/>
      <c r="M108" s="8"/>
      <c r="N108" s="8"/>
      <c r="O108" s="8"/>
      <c r="P108" s="8"/>
      <c r="Q108" s="8"/>
      <c r="R108" s="8"/>
      <c r="S108" s="8"/>
      <c r="T108" s="8"/>
      <c r="U108" s="8"/>
      <c r="V108" s="8"/>
      <c r="W108" s="8"/>
      <c r="X108" s="8"/>
      <c r="Y108" s="8"/>
      <c r="Z108" s="8"/>
    </row>
    <row r="109" ht="70.5" customHeight="1">
      <c r="A109" s="8"/>
      <c r="B109" s="37"/>
      <c r="C109" s="36" t="s">
        <v>637</v>
      </c>
      <c r="D109" s="36" t="s">
        <v>638</v>
      </c>
      <c r="E109" s="36" t="s">
        <v>639</v>
      </c>
      <c r="F109" s="37" t="s">
        <v>640</v>
      </c>
      <c r="G109" s="38" t="s">
        <v>641</v>
      </c>
      <c r="H109" s="39" t="s">
        <v>22</v>
      </c>
      <c r="I109" s="40" t="s">
        <v>642</v>
      </c>
      <c r="J109" s="38" t="s">
        <v>615</v>
      </c>
      <c r="K109" s="48" t="s">
        <v>572</v>
      </c>
      <c r="L109" s="8"/>
      <c r="M109" s="8"/>
      <c r="N109" s="8"/>
      <c r="O109" s="8"/>
      <c r="P109" s="8"/>
      <c r="Q109" s="8"/>
      <c r="R109" s="8"/>
      <c r="S109" s="8"/>
      <c r="T109" s="8"/>
      <c r="U109" s="8"/>
      <c r="V109" s="8"/>
      <c r="W109" s="8"/>
      <c r="X109" s="8"/>
      <c r="Y109" s="8"/>
      <c r="Z109" s="8"/>
    </row>
    <row r="110">
      <c r="A110" s="8"/>
      <c r="B110" s="37"/>
      <c r="C110" s="36" t="s">
        <v>643</v>
      </c>
      <c r="D110" s="36" t="s">
        <v>644</v>
      </c>
      <c r="E110" s="36" t="s">
        <v>645</v>
      </c>
      <c r="F110" s="37" t="s">
        <v>646</v>
      </c>
      <c r="G110" s="38" t="s">
        <v>647</v>
      </c>
      <c r="H110" s="39" t="s">
        <v>22</v>
      </c>
      <c r="I110" s="42" t="s">
        <v>648</v>
      </c>
      <c r="J110" s="38"/>
      <c r="K110" s="48" t="s">
        <v>649</v>
      </c>
      <c r="L110" s="8"/>
      <c r="M110" s="8"/>
      <c r="N110" s="8"/>
      <c r="O110" s="8"/>
      <c r="P110" s="8"/>
      <c r="Q110" s="8"/>
      <c r="R110" s="8"/>
      <c r="S110" s="8"/>
      <c r="T110" s="8"/>
      <c r="U110" s="8"/>
      <c r="V110" s="8"/>
      <c r="W110" s="8"/>
      <c r="X110" s="8"/>
      <c r="Y110" s="8"/>
      <c r="Z110" s="8"/>
    </row>
    <row r="111">
      <c r="A111" s="8"/>
      <c r="B111" s="37"/>
      <c r="C111" s="36" t="s">
        <v>650</v>
      </c>
      <c r="D111" s="36" t="s">
        <v>651</v>
      </c>
      <c r="E111" s="36" t="s">
        <v>652</v>
      </c>
      <c r="F111" s="37" t="s">
        <v>653</v>
      </c>
      <c r="G111" s="56" t="s">
        <v>654</v>
      </c>
      <c r="H111" s="39" t="s">
        <v>22</v>
      </c>
      <c r="I111" s="40" t="s">
        <v>655</v>
      </c>
      <c r="J111" s="38"/>
      <c r="K111" s="38" t="s">
        <v>656</v>
      </c>
      <c r="L111" s="8"/>
      <c r="M111" s="8"/>
      <c r="N111" s="8"/>
      <c r="O111" s="8"/>
      <c r="P111" s="8"/>
      <c r="Q111" s="8"/>
      <c r="R111" s="8"/>
      <c r="S111" s="8"/>
      <c r="T111" s="8"/>
      <c r="U111" s="8"/>
      <c r="V111" s="8"/>
      <c r="W111" s="8"/>
      <c r="X111" s="8"/>
      <c r="Y111" s="8"/>
      <c r="Z111" s="8"/>
    </row>
    <row r="112">
      <c r="A112" s="8"/>
      <c r="B112" s="37"/>
      <c r="C112" s="36"/>
      <c r="D112" s="36"/>
      <c r="E112" s="36"/>
      <c r="F112" s="37" t="s">
        <v>657</v>
      </c>
      <c r="G112" s="56" t="s">
        <v>658</v>
      </c>
      <c r="H112" s="39" t="s">
        <v>22</v>
      </c>
      <c r="I112" s="47"/>
      <c r="J112" s="38"/>
      <c r="K112" s="48"/>
      <c r="L112" s="8"/>
      <c r="M112" s="8"/>
      <c r="N112" s="8"/>
      <c r="O112" s="8"/>
      <c r="P112" s="8"/>
      <c r="Q112" s="8"/>
      <c r="R112" s="8"/>
      <c r="S112" s="8"/>
      <c r="T112" s="8"/>
      <c r="U112" s="8"/>
      <c r="V112" s="8"/>
      <c r="W112" s="8"/>
      <c r="X112" s="8"/>
      <c r="Y112" s="8"/>
      <c r="Z112" s="8"/>
    </row>
    <row r="113">
      <c r="A113" s="8"/>
      <c r="B113" s="37"/>
      <c r="C113" s="36"/>
      <c r="D113" s="36"/>
      <c r="E113" s="36"/>
      <c r="F113" s="37" t="s">
        <v>659</v>
      </c>
      <c r="G113" s="56" t="s">
        <v>660</v>
      </c>
      <c r="H113" s="39" t="s">
        <v>22</v>
      </c>
      <c r="I113" s="46"/>
      <c r="J113" s="38"/>
      <c r="K113" s="38"/>
      <c r="L113" s="8"/>
      <c r="M113" s="8"/>
      <c r="N113" s="8"/>
      <c r="O113" s="8"/>
      <c r="P113" s="8"/>
      <c r="Q113" s="8"/>
      <c r="R113" s="8"/>
      <c r="S113" s="8"/>
      <c r="T113" s="8"/>
      <c r="U113" s="8"/>
      <c r="V113" s="8"/>
      <c r="W113" s="8"/>
      <c r="X113" s="8"/>
      <c r="Y113" s="8"/>
      <c r="Z113" s="8"/>
    </row>
    <row r="114">
      <c r="A114" s="8"/>
      <c r="B114" s="37"/>
      <c r="C114" s="36"/>
      <c r="D114" s="36"/>
      <c r="E114" s="36"/>
      <c r="F114" s="37" t="s">
        <v>661</v>
      </c>
      <c r="G114" s="56" t="s">
        <v>662</v>
      </c>
      <c r="H114" s="39" t="s">
        <v>22</v>
      </c>
      <c r="I114" s="53"/>
      <c r="J114" s="38"/>
      <c r="K114" s="48"/>
      <c r="L114" s="8"/>
      <c r="M114" s="8"/>
      <c r="N114" s="8"/>
      <c r="O114" s="8"/>
      <c r="P114" s="8"/>
      <c r="Q114" s="8"/>
      <c r="R114" s="8"/>
      <c r="S114" s="8"/>
      <c r="T114" s="8"/>
      <c r="U114" s="8"/>
      <c r="V114" s="8"/>
      <c r="W114" s="8"/>
      <c r="X114" s="8"/>
      <c r="Y114" s="8"/>
      <c r="Z114" s="8"/>
    </row>
    <row r="115">
      <c r="A115" s="8"/>
      <c r="B115" s="37"/>
      <c r="C115" s="36" t="s">
        <v>663</v>
      </c>
      <c r="D115" s="36" t="s">
        <v>664</v>
      </c>
      <c r="E115" s="36" t="s">
        <v>665</v>
      </c>
      <c r="F115" s="37" t="s">
        <v>666</v>
      </c>
      <c r="G115" s="56" t="s">
        <v>667</v>
      </c>
      <c r="H115" s="39" t="s">
        <v>22</v>
      </c>
      <c r="I115" s="40" t="s">
        <v>668</v>
      </c>
      <c r="J115" s="38" t="s">
        <v>615</v>
      </c>
      <c r="K115" s="38" t="s">
        <v>633</v>
      </c>
      <c r="L115" s="8"/>
      <c r="M115" s="8"/>
      <c r="N115" s="8"/>
      <c r="O115" s="8"/>
      <c r="P115" s="8"/>
      <c r="Q115" s="8"/>
      <c r="R115" s="8"/>
      <c r="S115" s="8"/>
      <c r="T115" s="8"/>
      <c r="U115" s="8"/>
      <c r="V115" s="8"/>
      <c r="W115" s="8"/>
      <c r="X115" s="8"/>
      <c r="Y115" s="8"/>
      <c r="Z115" s="8"/>
    </row>
    <row r="116">
      <c r="A116" s="8"/>
      <c r="B116" s="37"/>
      <c r="C116" s="36" t="s">
        <v>669</v>
      </c>
      <c r="D116" s="36" t="s">
        <v>670</v>
      </c>
      <c r="E116" s="36" t="s">
        <v>671</v>
      </c>
      <c r="F116" s="37" t="s">
        <v>672</v>
      </c>
      <c r="G116" s="56" t="s">
        <v>673</v>
      </c>
      <c r="H116" s="39" t="s">
        <v>22</v>
      </c>
      <c r="I116" s="42" t="s">
        <v>674</v>
      </c>
      <c r="J116" s="38" t="s">
        <v>615</v>
      </c>
      <c r="K116" s="38" t="s">
        <v>633</v>
      </c>
      <c r="L116" s="8"/>
      <c r="M116" s="8"/>
      <c r="N116" s="8"/>
      <c r="O116" s="8"/>
      <c r="P116" s="8"/>
      <c r="Q116" s="8"/>
      <c r="R116" s="8"/>
      <c r="S116" s="8"/>
      <c r="T116" s="8"/>
      <c r="U116" s="8"/>
      <c r="V116" s="8"/>
      <c r="W116" s="8"/>
      <c r="X116" s="8"/>
      <c r="Y116" s="8"/>
      <c r="Z116" s="8"/>
    </row>
    <row r="117">
      <c r="A117" s="8"/>
      <c r="B117" s="37"/>
      <c r="C117" s="36" t="s">
        <v>675</v>
      </c>
      <c r="D117" s="36" t="s">
        <v>676</v>
      </c>
      <c r="E117" s="36" t="s">
        <v>677</v>
      </c>
      <c r="F117" s="37" t="s">
        <v>678</v>
      </c>
      <c r="G117" s="56" t="s">
        <v>679</v>
      </c>
      <c r="H117" s="49" t="s">
        <v>307</v>
      </c>
      <c r="I117" s="40" t="s">
        <v>680</v>
      </c>
      <c r="J117" s="38" t="s">
        <v>681</v>
      </c>
      <c r="K117" s="38" t="s">
        <v>633</v>
      </c>
      <c r="L117" s="8"/>
      <c r="M117" s="8"/>
      <c r="N117" s="8"/>
      <c r="O117" s="8"/>
      <c r="P117" s="8"/>
      <c r="Q117" s="8"/>
      <c r="R117" s="8"/>
      <c r="S117" s="8"/>
      <c r="T117" s="8"/>
      <c r="U117" s="8"/>
      <c r="V117" s="8"/>
      <c r="W117" s="8"/>
      <c r="X117" s="8"/>
      <c r="Y117" s="8"/>
      <c r="Z117" s="8"/>
    </row>
    <row r="118">
      <c r="A118" s="8"/>
      <c r="B118" s="37"/>
      <c r="C118" s="36" t="s">
        <v>682</v>
      </c>
      <c r="D118" s="36" t="s">
        <v>683</v>
      </c>
      <c r="E118" s="36" t="s">
        <v>684</v>
      </c>
      <c r="F118" s="37" t="s">
        <v>685</v>
      </c>
      <c r="G118" s="56" t="s">
        <v>686</v>
      </c>
      <c r="H118" s="39" t="s">
        <v>22</v>
      </c>
      <c r="I118" s="42" t="s">
        <v>687</v>
      </c>
      <c r="J118" s="38"/>
      <c r="K118" s="48" t="s">
        <v>688</v>
      </c>
      <c r="L118" s="8"/>
      <c r="M118" s="8"/>
      <c r="N118" s="8"/>
      <c r="O118" s="8"/>
      <c r="P118" s="8"/>
      <c r="Q118" s="8"/>
      <c r="R118" s="8"/>
      <c r="S118" s="8"/>
      <c r="T118" s="8"/>
      <c r="U118" s="8"/>
      <c r="V118" s="8"/>
      <c r="W118" s="8"/>
      <c r="X118" s="8"/>
      <c r="Y118" s="8"/>
      <c r="Z118" s="8"/>
    </row>
    <row r="119">
      <c r="A119" s="8"/>
      <c r="B119" s="37"/>
      <c r="C119" s="36"/>
      <c r="D119" s="36"/>
      <c r="E119" s="36"/>
      <c r="F119" s="37" t="s">
        <v>689</v>
      </c>
      <c r="G119" s="56" t="s">
        <v>690</v>
      </c>
      <c r="H119" s="39" t="s">
        <v>22</v>
      </c>
      <c r="I119" s="46"/>
      <c r="J119" s="38"/>
      <c r="K119" s="48"/>
      <c r="L119" s="8"/>
      <c r="M119" s="8"/>
      <c r="N119" s="8"/>
      <c r="O119" s="8"/>
      <c r="P119" s="8"/>
      <c r="Q119" s="8"/>
      <c r="R119" s="8"/>
      <c r="S119" s="8"/>
      <c r="T119" s="8"/>
      <c r="U119" s="8"/>
      <c r="V119" s="8"/>
      <c r="W119" s="8"/>
      <c r="X119" s="8"/>
      <c r="Y119" s="8"/>
      <c r="Z119" s="8"/>
    </row>
    <row r="120">
      <c r="A120" s="8"/>
      <c r="B120" s="37" t="s">
        <v>691</v>
      </c>
      <c r="C120" s="36" t="s">
        <v>692</v>
      </c>
      <c r="D120" s="36" t="s">
        <v>693</v>
      </c>
      <c r="E120" s="36" t="s">
        <v>694</v>
      </c>
      <c r="F120" s="37" t="s">
        <v>695</v>
      </c>
      <c r="G120" s="56" t="s">
        <v>696</v>
      </c>
      <c r="H120" s="39" t="s">
        <v>22</v>
      </c>
      <c r="I120" s="42" t="s">
        <v>697</v>
      </c>
      <c r="J120" s="43" t="s">
        <v>698</v>
      </c>
      <c r="K120" s="38" t="s">
        <v>699</v>
      </c>
      <c r="L120" s="8"/>
      <c r="M120" s="8"/>
      <c r="N120" s="8"/>
      <c r="O120" s="8"/>
      <c r="P120" s="8"/>
      <c r="Q120" s="8"/>
      <c r="R120" s="8"/>
      <c r="S120" s="8"/>
      <c r="T120" s="8"/>
      <c r="U120" s="8"/>
      <c r="V120" s="8"/>
      <c r="W120" s="8"/>
      <c r="X120" s="8"/>
      <c r="Y120" s="8"/>
      <c r="Z120" s="8"/>
    </row>
    <row r="121">
      <c r="A121" s="8"/>
      <c r="B121" s="37"/>
      <c r="C121" s="36"/>
      <c r="D121" s="36"/>
      <c r="E121" s="36"/>
      <c r="F121" s="37" t="s">
        <v>700</v>
      </c>
      <c r="G121" s="56" t="s">
        <v>701</v>
      </c>
      <c r="H121" s="39" t="s">
        <v>22</v>
      </c>
      <c r="I121" s="50"/>
      <c r="J121" s="38"/>
      <c r="K121" s="38"/>
      <c r="L121" s="8"/>
      <c r="M121" s="8"/>
      <c r="N121" s="8"/>
      <c r="O121" s="8"/>
      <c r="P121" s="8"/>
      <c r="Q121" s="8"/>
      <c r="R121" s="8"/>
      <c r="S121" s="8"/>
      <c r="T121" s="8"/>
      <c r="U121" s="8"/>
      <c r="V121" s="8"/>
      <c r="W121" s="8"/>
      <c r="X121" s="8"/>
      <c r="Y121" s="8"/>
      <c r="Z121" s="8"/>
    </row>
    <row r="122">
      <c r="A122" s="8"/>
      <c r="B122" s="37"/>
      <c r="C122" s="36" t="s">
        <v>702</v>
      </c>
      <c r="D122" s="36" t="s">
        <v>703</v>
      </c>
      <c r="E122" s="36" t="s">
        <v>704</v>
      </c>
      <c r="F122" s="37" t="s">
        <v>705</v>
      </c>
      <c r="G122" s="56" t="s">
        <v>706</v>
      </c>
      <c r="H122" s="39" t="s">
        <v>22</v>
      </c>
      <c r="I122" s="42" t="s">
        <v>707</v>
      </c>
      <c r="J122" s="38"/>
      <c r="K122" s="48" t="s">
        <v>325</v>
      </c>
      <c r="L122" s="8"/>
      <c r="M122" s="8"/>
      <c r="N122" s="8"/>
      <c r="O122" s="8"/>
      <c r="P122" s="8"/>
      <c r="Q122" s="8"/>
      <c r="R122" s="8"/>
      <c r="S122" s="8"/>
      <c r="T122" s="8"/>
      <c r="U122" s="8"/>
      <c r="V122" s="8"/>
      <c r="W122" s="8"/>
      <c r="X122" s="8"/>
      <c r="Y122" s="8"/>
      <c r="Z122" s="8"/>
    </row>
    <row r="123">
      <c r="A123" s="8"/>
      <c r="B123" s="37"/>
      <c r="C123" s="36"/>
      <c r="D123" s="36"/>
      <c r="E123" s="36"/>
      <c r="F123" s="37" t="s">
        <v>708</v>
      </c>
      <c r="G123" s="56" t="s">
        <v>709</v>
      </c>
      <c r="H123" s="39" t="s">
        <v>22</v>
      </c>
      <c r="I123" s="40" t="s">
        <v>710</v>
      </c>
      <c r="J123" s="38" t="s">
        <v>711</v>
      </c>
      <c r="K123" s="48"/>
      <c r="L123" s="8"/>
      <c r="M123" s="8"/>
      <c r="N123" s="8"/>
      <c r="O123" s="8"/>
      <c r="P123" s="8"/>
      <c r="Q123" s="8"/>
      <c r="R123" s="8"/>
      <c r="S123" s="8"/>
      <c r="T123" s="8"/>
      <c r="U123" s="8"/>
      <c r="V123" s="8"/>
      <c r="W123" s="8"/>
      <c r="X123" s="8"/>
      <c r="Y123" s="8"/>
      <c r="Z123" s="8"/>
    </row>
    <row r="124">
      <c r="A124" s="8"/>
      <c r="B124" s="37"/>
      <c r="C124" s="36" t="s">
        <v>712</v>
      </c>
      <c r="D124" s="36" t="s">
        <v>713</v>
      </c>
      <c r="E124" s="36" t="s">
        <v>714</v>
      </c>
      <c r="F124" s="37" t="s">
        <v>715</v>
      </c>
      <c r="G124" s="56" t="s">
        <v>716</v>
      </c>
      <c r="H124" s="39" t="s">
        <v>22</v>
      </c>
      <c r="I124" s="42" t="s">
        <v>717</v>
      </c>
      <c r="J124" s="38" t="s">
        <v>718</v>
      </c>
      <c r="K124" s="48" t="s">
        <v>325</v>
      </c>
      <c r="L124" s="8"/>
      <c r="M124" s="8"/>
      <c r="N124" s="8"/>
      <c r="O124" s="8"/>
      <c r="P124" s="8"/>
      <c r="Q124" s="8"/>
      <c r="R124" s="8"/>
      <c r="S124" s="8"/>
      <c r="T124" s="8"/>
      <c r="U124" s="8"/>
      <c r="V124" s="8"/>
      <c r="W124" s="8"/>
      <c r="X124" s="8"/>
      <c r="Y124" s="8"/>
      <c r="Z124" s="8"/>
    </row>
    <row r="125">
      <c r="A125" s="8"/>
      <c r="B125" s="37"/>
      <c r="C125" s="36" t="s">
        <v>719</v>
      </c>
      <c r="D125" s="36" t="s">
        <v>720</v>
      </c>
      <c r="E125" s="36" t="s">
        <v>721</v>
      </c>
      <c r="F125" s="37" t="s">
        <v>722</v>
      </c>
      <c r="G125" s="56" t="s">
        <v>723</v>
      </c>
      <c r="H125" s="39" t="s">
        <v>22</v>
      </c>
      <c r="I125" s="40" t="s">
        <v>724</v>
      </c>
      <c r="J125" s="38" t="s">
        <v>247</v>
      </c>
      <c r="K125" s="48" t="s">
        <v>725</v>
      </c>
      <c r="L125" s="8"/>
      <c r="M125" s="8"/>
      <c r="N125" s="8"/>
      <c r="O125" s="8"/>
      <c r="P125" s="8"/>
      <c r="Q125" s="8"/>
      <c r="R125" s="8"/>
      <c r="S125" s="8"/>
      <c r="T125" s="8"/>
      <c r="U125" s="8"/>
      <c r="V125" s="8"/>
      <c r="W125" s="8"/>
      <c r="X125" s="8"/>
      <c r="Y125" s="8"/>
      <c r="Z125" s="8"/>
    </row>
    <row r="126">
      <c r="A126" s="8"/>
      <c r="B126" s="37"/>
      <c r="C126" s="36" t="s">
        <v>726</v>
      </c>
      <c r="D126" s="36" t="s">
        <v>727</v>
      </c>
      <c r="E126" s="36" t="s">
        <v>728</v>
      </c>
      <c r="F126" s="37" t="s">
        <v>729</v>
      </c>
      <c r="G126" s="56" t="s">
        <v>730</v>
      </c>
      <c r="H126" s="39" t="s">
        <v>22</v>
      </c>
      <c r="I126" s="42" t="s">
        <v>731</v>
      </c>
      <c r="J126" s="38" t="s">
        <v>732</v>
      </c>
      <c r="K126" s="48"/>
      <c r="L126" s="8"/>
      <c r="M126" s="8"/>
      <c r="N126" s="8"/>
      <c r="O126" s="8"/>
      <c r="P126" s="8"/>
      <c r="Q126" s="8"/>
      <c r="R126" s="8"/>
      <c r="S126" s="8"/>
      <c r="T126" s="8"/>
      <c r="U126" s="8"/>
      <c r="V126" s="8"/>
      <c r="W126" s="8"/>
      <c r="X126" s="8"/>
      <c r="Y126" s="8"/>
      <c r="Z126" s="8"/>
    </row>
    <row r="127">
      <c r="A127" s="8"/>
      <c r="B127" s="37"/>
      <c r="C127" s="36" t="s">
        <v>733</v>
      </c>
      <c r="D127" s="36" t="s">
        <v>734</v>
      </c>
      <c r="E127" s="36" t="s">
        <v>735</v>
      </c>
      <c r="F127" s="37" t="s">
        <v>736</v>
      </c>
      <c r="G127" s="56" t="s">
        <v>737</v>
      </c>
      <c r="H127" s="39" t="s">
        <v>22</v>
      </c>
      <c r="I127" s="40" t="s">
        <v>738</v>
      </c>
      <c r="J127" s="38" t="s">
        <v>739</v>
      </c>
      <c r="K127" s="48" t="s">
        <v>232</v>
      </c>
      <c r="L127" s="8"/>
      <c r="M127" s="8"/>
      <c r="N127" s="8"/>
      <c r="O127" s="8"/>
      <c r="P127" s="8"/>
      <c r="Q127" s="8"/>
      <c r="R127" s="8"/>
      <c r="S127" s="8"/>
      <c r="T127" s="8"/>
      <c r="U127" s="8"/>
      <c r="V127" s="8"/>
      <c r="W127" s="8"/>
      <c r="X127" s="8"/>
      <c r="Y127" s="8"/>
      <c r="Z127" s="8"/>
    </row>
    <row r="128">
      <c r="A128" s="8"/>
      <c r="B128" s="37"/>
      <c r="C128" s="36" t="s">
        <v>740</v>
      </c>
      <c r="D128" s="36" t="s">
        <v>741</v>
      </c>
      <c r="E128" s="36" t="s">
        <v>742</v>
      </c>
      <c r="F128" s="37" t="s">
        <v>743</v>
      </c>
      <c r="G128" s="56" t="s">
        <v>744</v>
      </c>
      <c r="H128" s="39" t="s">
        <v>22</v>
      </c>
      <c r="I128" s="42" t="s">
        <v>745</v>
      </c>
      <c r="J128" s="38" t="s">
        <v>746</v>
      </c>
      <c r="K128" s="38" t="s">
        <v>747</v>
      </c>
      <c r="L128" s="8"/>
      <c r="M128" s="8"/>
      <c r="N128" s="8"/>
      <c r="O128" s="8"/>
      <c r="P128" s="8"/>
      <c r="Q128" s="8"/>
      <c r="R128" s="8"/>
      <c r="S128" s="8"/>
      <c r="T128" s="8"/>
      <c r="U128" s="8"/>
      <c r="V128" s="8"/>
      <c r="W128" s="8"/>
      <c r="X128" s="8"/>
      <c r="Y128" s="8"/>
      <c r="Z128" s="8"/>
    </row>
    <row r="129">
      <c r="A129" s="8"/>
      <c r="B129" s="37"/>
      <c r="C129" s="36" t="s">
        <v>748</v>
      </c>
      <c r="D129" s="36" t="s">
        <v>749</v>
      </c>
      <c r="E129" s="36" t="s">
        <v>750</v>
      </c>
      <c r="F129" s="37" t="s">
        <v>751</v>
      </c>
      <c r="G129" s="56" t="s">
        <v>752</v>
      </c>
      <c r="H129" s="39" t="s">
        <v>22</v>
      </c>
      <c r="I129" s="40" t="s">
        <v>753</v>
      </c>
      <c r="J129" s="38" t="s">
        <v>754</v>
      </c>
      <c r="K129" s="48" t="s">
        <v>145</v>
      </c>
      <c r="L129" s="8"/>
      <c r="M129" s="8"/>
      <c r="N129" s="8"/>
      <c r="O129" s="8"/>
      <c r="P129" s="8"/>
      <c r="Q129" s="8"/>
      <c r="R129" s="8"/>
      <c r="S129" s="8"/>
      <c r="T129" s="8"/>
      <c r="U129" s="8"/>
      <c r="V129" s="8"/>
      <c r="W129" s="8"/>
      <c r="X129" s="8"/>
      <c r="Y129" s="8"/>
      <c r="Z129" s="8"/>
    </row>
    <row r="130">
      <c r="A130" s="8"/>
      <c r="B130" s="37"/>
      <c r="C130" s="36"/>
      <c r="D130" s="36"/>
      <c r="E130" s="36"/>
      <c r="F130" s="37" t="s">
        <v>755</v>
      </c>
      <c r="G130" s="38" t="s">
        <v>756</v>
      </c>
      <c r="H130" s="39" t="s">
        <v>22</v>
      </c>
      <c r="I130" s="47"/>
      <c r="J130" s="38"/>
      <c r="K130" s="48"/>
      <c r="L130" s="8"/>
      <c r="M130" s="8"/>
      <c r="N130" s="8"/>
      <c r="O130" s="8"/>
      <c r="P130" s="8"/>
      <c r="Q130" s="8"/>
      <c r="R130" s="8"/>
      <c r="S130" s="8"/>
      <c r="T130" s="8"/>
      <c r="U130" s="8"/>
      <c r="V130" s="8"/>
      <c r="W130" s="8"/>
      <c r="X130" s="8"/>
      <c r="Y130" s="8"/>
      <c r="Z130" s="8"/>
    </row>
    <row r="131">
      <c r="A131" s="8"/>
      <c r="B131" s="37"/>
      <c r="C131" s="36" t="s">
        <v>757</v>
      </c>
      <c r="D131" s="36" t="s">
        <v>758</v>
      </c>
      <c r="E131" s="36" t="s">
        <v>759</v>
      </c>
      <c r="F131" s="37" t="s">
        <v>760</v>
      </c>
      <c r="G131" s="56" t="s">
        <v>761</v>
      </c>
      <c r="H131" s="39" t="s">
        <v>22</v>
      </c>
      <c r="I131" s="40" t="s">
        <v>762</v>
      </c>
      <c r="J131" s="38" t="s">
        <v>247</v>
      </c>
      <c r="K131" s="48" t="s">
        <v>145</v>
      </c>
      <c r="L131" s="8"/>
      <c r="M131" s="8"/>
      <c r="N131" s="8"/>
      <c r="O131" s="8"/>
      <c r="P131" s="8"/>
      <c r="Q131" s="8"/>
      <c r="R131" s="8"/>
      <c r="S131" s="8"/>
      <c r="T131" s="8"/>
      <c r="U131" s="8"/>
      <c r="V131" s="8"/>
      <c r="W131" s="8"/>
      <c r="X131" s="8"/>
      <c r="Y131" s="8"/>
      <c r="Z131" s="8"/>
    </row>
    <row r="132">
      <c r="A132" s="8"/>
      <c r="B132" s="37"/>
      <c r="C132" s="36"/>
      <c r="D132" s="36"/>
      <c r="E132" s="36"/>
      <c r="F132" s="37" t="s">
        <v>763</v>
      </c>
      <c r="G132" s="56" t="s">
        <v>764</v>
      </c>
      <c r="H132" s="39" t="s">
        <v>22</v>
      </c>
      <c r="I132" s="47"/>
      <c r="J132" s="38"/>
      <c r="K132" s="38"/>
      <c r="L132" s="8"/>
      <c r="M132" s="8"/>
      <c r="N132" s="8"/>
      <c r="O132" s="8"/>
      <c r="P132" s="8"/>
      <c r="Q132" s="8"/>
      <c r="R132" s="8"/>
      <c r="S132" s="8"/>
      <c r="T132" s="8"/>
      <c r="U132" s="8"/>
      <c r="V132" s="8"/>
      <c r="W132" s="8"/>
      <c r="X132" s="8"/>
      <c r="Y132" s="8"/>
      <c r="Z132" s="8"/>
    </row>
    <row r="133">
      <c r="A133" s="8"/>
      <c r="B133" s="37"/>
      <c r="C133" s="36"/>
      <c r="D133" s="36"/>
      <c r="E133" s="36"/>
      <c r="F133" s="37" t="s">
        <v>765</v>
      </c>
      <c r="G133" s="56" t="s">
        <v>766</v>
      </c>
      <c r="H133" s="39" t="s">
        <v>22</v>
      </c>
      <c r="I133" s="46"/>
      <c r="J133" s="38"/>
      <c r="K133" s="38"/>
      <c r="L133" s="8"/>
      <c r="M133" s="8"/>
      <c r="N133" s="8"/>
      <c r="O133" s="8"/>
      <c r="P133" s="8"/>
      <c r="Q133" s="8"/>
      <c r="R133" s="8"/>
      <c r="S133" s="8"/>
      <c r="T133" s="8"/>
      <c r="U133" s="8"/>
      <c r="V133" s="8"/>
      <c r="W133" s="8"/>
      <c r="X133" s="8"/>
      <c r="Y133" s="8"/>
      <c r="Z133" s="8"/>
    </row>
    <row r="134">
      <c r="A134" s="8"/>
      <c r="B134" s="37"/>
      <c r="C134" s="36" t="s">
        <v>767</v>
      </c>
      <c r="D134" s="36" t="s">
        <v>768</v>
      </c>
      <c r="E134" s="36" t="s">
        <v>769</v>
      </c>
      <c r="F134" s="37" t="s">
        <v>770</v>
      </c>
      <c r="G134" s="56" t="s">
        <v>771</v>
      </c>
      <c r="H134" s="39" t="s">
        <v>22</v>
      </c>
      <c r="I134" s="42" t="s">
        <v>772</v>
      </c>
      <c r="J134" s="38" t="s">
        <v>773</v>
      </c>
      <c r="K134" s="48"/>
      <c r="L134" s="8"/>
      <c r="M134" s="8"/>
      <c r="N134" s="8"/>
      <c r="O134" s="8"/>
      <c r="P134" s="8"/>
      <c r="Q134" s="8"/>
      <c r="R134" s="8"/>
      <c r="S134" s="8"/>
      <c r="T134" s="8"/>
      <c r="U134" s="8"/>
      <c r="V134" s="8"/>
      <c r="W134" s="8"/>
      <c r="X134" s="8"/>
      <c r="Y134" s="8"/>
      <c r="Z134" s="8"/>
    </row>
    <row r="135">
      <c r="A135" s="8"/>
      <c r="B135" s="37"/>
      <c r="C135" s="36" t="s">
        <v>774</v>
      </c>
      <c r="D135" s="36" t="s">
        <v>775</v>
      </c>
      <c r="E135" s="36" t="s">
        <v>776</v>
      </c>
      <c r="F135" s="37" t="s">
        <v>777</v>
      </c>
      <c r="G135" s="56" t="s">
        <v>778</v>
      </c>
      <c r="H135" s="49" t="s">
        <v>307</v>
      </c>
      <c r="I135" s="40" t="s">
        <v>779</v>
      </c>
      <c r="J135" s="51" t="s">
        <v>780</v>
      </c>
      <c r="K135" s="38"/>
      <c r="L135" s="8"/>
      <c r="M135" s="8"/>
      <c r="N135" s="8"/>
      <c r="O135" s="8"/>
      <c r="P135" s="8"/>
      <c r="Q135" s="8"/>
      <c r="R135" s="8"/>
      <c r="S135" s="8"/>
      <c r="T135" s="8"/>
      <c r="U135" s="8"/>
      <c r="V135" s="8"/>
      <c r="W135" s="8"/>
      <c r="X135" s="8"/>
      <c r="Y135" s="8"/>
      <c r="Z135" s="8"/>
    </row>
    <row r="136">
      <c r="A136" s="8"/>
      <c r="B136" s="37"/>
      <c r="C136" s="36" t="s">
        <v>781</v>
      </c>
      <c r="D136" s="36" t="s">
        <v>782</v>
      </c>
      <c r="E136" s="36" t="s">
        <v>783</v>
      </c>
      <c r="F136" s="37" t="s">
        <v>784</v>
      </c>
      <c r="G136" s="56" t="s">
        <v>785</v>
      </c>
      <c r="H136" s="49" t="s">
        <v>307</v>
      </c>
      <c r="I136" s="42" t="s">
        <v>786</v>
      </c>
      <c r="J136" s="51" t="s">
        <v>773</v>
      </c>
      <c r="K136" s="48"/>
      <c r="L136" s="8"/>
      <c r="M136" s="8"/>
      <c r="N136" s="8"/>
      <c r="O136" s="8"/>
      <c r="P136" s="8"/>
      <c r="Q136" s="8"/>
      <c r="R136" s="8"/>
      <c r="S136" s="8"/>
      <c r="T136" s="8"/>
      <c r="U136" s="8"/>
      <c r="V136" s="8"/>
      <c r="W136" s="8"/>
      <c r="X136" s="8"/>
      <c r="Y136" s="8"/>
      <c r="Z136" s="8"/>
    </row>
    <row r="137">
      <c r="A137" s="8"/>
      <c r="B137" s="37"/>
      <c r="C137" s="36"/>
      <c r="D137" s="36"/>
      <c r="E137" s="36"/>
      <c r="F137" s="37" t="s">
        <v>787</v>
      </c>
      <c r="G137" s="56" t="s">
        <v>788</v>
      </c>
      <c r="H137" s="39" t="s">
        <v>22</v>
      </c>
      <c r="I137" s="46"/>
      <c r="J137" s="38"/>
      <c r="K137" s="48"/>
      <c r="L137" s="8"/>
      <c r="M137" s="8"/>
      <c r="N137" s="8"/>
      <c r="O137" s="8"/>
      <c r="P137" s="8"/>
      <c r="Q137" s="8"/>
      <c r="R137" s="8"/>
      <c r="S137" s="8"/>
      <c r="T137" s="8"/>
      <c r="U137" s="8"/>
      <c r="V137" s="8"/>
      <c r="W137" s="8"/>
      <c r="X137" s="8"/>
      <c r="Y137" s="8"/>
      <c r="Z137" s="8"/>
    </row>
    <row r="138">
      <c r="A138" s="8"/>
      <c r="B138" s="37"/>
      <c r="C138" s="36" t="s">
        <v>789</v>
      </c>
      <c r="D138" s="36" t="s">
        <v>790</v>
      </c>
      <c r="E138" s="36" t="s">
        <v>791</v>
      </c>
      <c r="F138" s="37" t="s">
        <v>792</v>
      </c>
      <c r="G138" s="56" t="s">
        <v>793</v>
      </c>
      <c r="H138" s="39" t="s">
        <v>22</v>
      </c>
      <c r="I138" s="42" t="s">
        <v>794</v>
      </c>
      <c r="J138" s="57"/>
      <c r="K138" s="48" t="s">
        <v>401</v>
      </c>
      <c r="L138" s="8"/>
      <c r="M138" s="8"/>
      <c r="N138" s="8"/>
      <c r="O138" s="8"/>
      <c r="P138" s="8"/>
      <c r="Q138" s="8"/>
      <c r="R138" s="8"/>
      <c r="S138" s="8"/>
      <c r="T138" s="8"/>
      <c r="U138" s="8"/>
      <c r="V138" s="8"/>
      <c r="W138" s="8"/>
      <c r="X138" s="8"/>
      <c r="Y138" s="8"/>
      <c r="Z138" s="8"/>
    </row>
    <row r="139">
      <c r="A139" s="8"/>
      <c r="B139" s="37"/>
      <c r="C139" s="36" t="s">
        <v>795</v>
      </c>
      <c r="D139" s="36" t="s">
        <v>796</v>
      </c>
      <c r="E139" s="36" t="s">
        <v>797</v>
      </c>
      <c r="F139" s="37" t="s">
        <v>798</v>
      </c>
      <c r="G139" s="56" t="s">
        <v>799</v>
      </c>
      <c r="H139" s="39" t="s">
        <v>22</v>
      </c>
      <c r="I139" s="45" t="s">
        <v>800</v>
      </c>
      <c r="J139" s="38" t="s">
        <v>553</v>
      </c>
      <c r="K139" s="48"/>
      <c r="L139" s="8"/>
      <c r="M139" s="8"/>
      <c r="N139" s="8"/>
      <c r="O139" s="8"/>
      <c r="P139" s="8"/>
      <c r="Q139" s="8"/>
      <c r="R139" s="8"/>
      <c r="S139" s="8"/>
      <c r="T139" s="8"/>
      <c r="U139" s="8"/>
      <c r="V139" s="8"/>
      <c r="W139" s="8"/>
      <c r="X139" s="8"/>
      <c r="Y139" s="8"/>
      <c r="Z139" s="8"/>
    </row>
    <row r="140">
      <c r="A140" s="8"/>
      <c r="B140" s="37"/>
      <c r="C140" s="36" t="s">
        <v>801</v>
      </c>
      <c r="D140" s="36" t="s">
        <v>802</v>
      </c>
      <c r="E140" s="36" t="s">
        <v>803</v>
      </c>
      <c r="F140" s="37" t="s">
        <v>804</v>
      </c>
      <c r="G140" s="56" t="s">
        <v>805</v>
      </c>
      <c r="H140" s="49" t="s">
        <v>307</v>
      </c>
      <c r="I140" s="42" t="s">
        <v>806</v>
      </c>
      <c r="J140" s="57" t="s">
        <v>807</v>
      </c>
      <c r="K140" s="48"/>
      <c r="L140" s="8"/>
      <c r="M140" s="8"/>
      <c r="N140" s="8"/>
      <c r="O140" s="8"/>
      <c r="P140" s="8"/>
      <c r="Q140" s="8"/>
      <c r="R140" s="8"/>
      <c r="S140" s="8"/>
      <c r="T140" s="8"/>
      <c r="U140" s="8"/>
      <c r="V140" s="8"/>
      <c r="W140" s="8"/>
      <c r="X140" s="8"/>
      <c r="Y140" s="8"/>
      <c r="Z140" s="8"/>
    </row>
    <row r="141">
      <c r="A141" s="8"/>
      <c r="B141" s="37"/>
      <c r="C141" s="36"/>
      <c r="D141" s="36"/>
      <c r="E141" s="36"/>
      <c r="F141" s="37" t="s">
        <v>808</v>
      </c>
      <c r="G141" s="56" t="s">
        <v>809</v>
      </c>
      <c r="H141" s="39" t="s">
        <v>22</v>
      </c>
      <c r="I141" s="46"/>
      <c r="J141" s="38"/>
      <c r="K141" s="48"/>
      <c r="L141" s="8"/>
      <c r="M141" s="8"/>
      <c r="N141" s="8"/>
      <c r="O141" s="8"/>
      <c r="P141" s="8"/>
      <c r="Q141" s="8"/>
      <c r="R141" s="8"/>
      <c r="S141" s="8"/>
      <c r="T141" s="8"/>
      <c r="U141" s="8"/>
      <c r="V141" s="8"/>
      <c r="W141" s="8"/>
      <c r="X141" s="8"/>
      <c r="Y141" s="8"/>
      <c r="Z141" s="8"/>
    </row>
    <row r="142">
      <c r="A142" s="8"/>
      <c r="B142" s="37"/>
      <c r="C142" s="36"/>
      <c r="D142" s="36"/>
      <c r="E142" s="36"/>
      <c r="F142" s="37" t="s">
        <v>810</v>
      </c>
      <c r="G142" s="56" t="s">
        <v>811</v>
      </c>
      <c r="H142" s="49" t="s">
        <v>307</v>
      </c>
      <c r="I142" s="47"/>
      <c r="J142" s="38"/>
      <c r="K142" s="48"/>
      <c r="L142" s="8"/>
      <c r="M142" s="8"/>
      <c r="N142" s="8"/>
      <c r="O142" s="8"/>
      <c r="P142" s="8"/>
      <c r="Q142" s="8"/>
      <c r="R142" s="8"/>
      <c r="S142" s="8"/>
      <c r="T142" s="8"/>
      <c r="U142" s="8"/>
      <c r="V142" s="8"/>
      <c r="W142" s="8"/>
      <c r="X142" s="8"/>
      <c r="Y142" s="8"/>
      <c r="Z142" s="8"/>
    </row>
    <row r="143">
      <c r="A143" s="8"/>
      <c r="B143" s="37"/>
      <c r="C143" s="36" t="s">
        <v>812</v>
      </c>
      <c r="D143" s="36" t="s">
        <v>813</v>
      </c>
      <c r="E143" s="36" t="s">
        <v>814</v>
      </c>
      <c r="F143" s="37" t="s">
        <v>815</v>
      </c>
      <c r="G143" s="56" t="s">
        <v>816</v>
      </c>
      <c r="H143" s="39" t="s">
        <v>22</v>
      </c>
      <c r="I143" s="40" t="s">
        <v>817</v>
      </c>
      <c r="J143" s="38" t="s">
        <v>818</v>
      </c>
      <c r="K143" s="48" t="s">
        <v>819</v>
      </c>
      <c r="L143" s="8"/>
      <c r="M143" s="8"/>
      <c r="N143" s="8"/>
      <c r="O143" s="8"/>
      <c r="P143" s="8"/>
      <c r="Q143" s="8"/>
      <c r="R143" s="8"/>
      <c r="S143" s="8"/>
      <c r="T143" s="8"/>
      <c r="U143" s="8"/>
      <c r="V143" s="8"/>
      <c r="W143" s="8"/>
      <c r="X143" s="8"/>
      <c r="Y143" s="8"/>
      <c r="Z143" s="8"/>
    </row>
    <row r="144">
      <c r="A144" s="8"/>
      <c r="B144" s="37"/>
      <c r="C144" s="36"/>
      <c r="D144" s="36"/>
      <c r="E144" s="36"/>
      <c r="F144" s="37" t="s">
        <v>820</v>
      </c>
      <c r="G144" s="56" t="s">
        <v>821</v>
      </c>
      <c r="H144" s="39" t="s">
        <v>22</v>
      </c>
      <c r="I144" s="47"/>
      <c r="J144" s="38"/>
      <c r="K144" s="48"/>
      <c r="L144" s="8"/>
      <c r="M144" s="8"/>
      <c r="N144" s="8"/>
      <c r="O144" s="8"/>
      <c r="P144" s="8"/>
      <c r="Q144" s="8"/>
      <c r="R144" s="8"/>
      <c r="S144" s="8"/>
      <c r="T144" s="8"/>
      <c r="U144" s="8"/>
      <c r="V144" s="8"/>
      <c r="W144" s="8"/>
      <c r="X144" s="8"/>
      <c r="Y144" s="8"/>
      <c r="Z144" s="8"/>
    </row>
    <row r="145">
      <c r="A145" s="8"/>
      <c r="B145" s="37"/>
      <c r="C145" s="36" t="s">
        <v>822</v>
      </c>
      <c r="D145" s="36" t="s">
        <v>823</v>
      </c>
      <c r="E145" s="36" t="s">
        <v>824</v>
      </c>
      <c r="F145" s="37" t="s">
        <v>825</v>
      </c>
      <c r="G145" s="56" t="s">
        <v>826</v>
      </c>
      <c r="H145" s="39" t="s">
        <v>22</v>
      </c>
      <c r="I145" s="40" t="s">
        <v>827</v>
      </c>
      <c r="J145" s="38" t="s">
        <v>828</v>
      </c>
      <c r="K145" s="48"/>
      <c r="L145" s="8"/>
      <c r="M145" s="8"/>
      <c r="N145" s="8"/>
      <c r="O145" s="8"/>
      <c r="P145" s="8"/>
      <c r="Q145" s="8"/>
      <c r="R145" s="8"/>
      <c r="S145" s="8"/>
      <c r="T145" s="8"/>
      <c r="U145" s="8"/>
      <c r="V145" s="8"/>
      <c r="W145" s="8"/>
      <c r="X145" s="8"/>
      <c r="Y145" s="8"/>
      <c r="Z145" s="8"/>
    </row>
    <row r="146">
      <c r="A146" s="8"/>
      <c r="B146" s="37"/>
      <c r="C146" s="36" t="s">
        <v>829</v>
      </c>
      <c r="D146" s="36" t="s">
        <v>830</v>
      </c>
      <c r="E146" s="36" t="s">
        <v>831</v>
      </c>
      <c r="F146" s="37" t="s">
        <v>832</v>
      </c>
      <c r="G146" s="56" t="s">
        <v>833</v>
      </c>
      <c r="H146" s="39" t="s">
        <v>22</v>
      </c>
      <c r="I146" s="42" t="s">
        <v>834</v>
      </c>
      <c r="J146" s="38"/>
      <c r="K146" s="48"/>
      <c r="L146" s="8"/>
      <c r="M146" s="8"/>
      <c r="N146" s="8"/>
      <c r="O146" s="8"/>
      <c r="P146" s="8"/>
      <c r="Q146" s="8"/>
      <c r="R146" s="8"/>
      <c r="S146" s="8"/>
      <c r="T146" s="8"/>
      <c r="U146" s="8"/>
      <c r="V146" s="8"/>
      <c r="W146" s="8"/>
      <c r="X146" s="8"/>
      <c r="Y146" s="8"/>
      <c r="Z146" s="8"/>
    </row>
    <row r="147">
      <c r="A147" s="8"/>
      <c r="B147" s="37"/>
      <c r="C147" s="36" t="s">
        <v>835</v>
      </c>
      <c r="D147" s="36" t="s">
        <v>836</v>
      </c>
      <c r="E147" s="36" t="s">
        <v>837</v>
      </c>
      <c r="F147" s="37" t="s">
        <v>838</v>
      </c>
      <c r="G147" s="56" t="s">
        <v>839</v>
      </c>
      <c r="H147" s="39" t="s">
        <v>22</v>
      </c>
      <c r="I147" s="40" t="s">
        <v>840</v>
      </c>
      <c r="J147" s="38" t="s">
        <v>841</v>
      </c>
      <c r="K147" s="48"/>
      <c r="L147" s="8"/>
      <c r="M147" s="8"/>
      <c r="N147" s="8"/>
      <c r="O147" s="8"/>
      <c r="P147" s="8"/>
      <c r="Q147" s="8"/>
      <c r="R147" s="8"/>
      <c r="S147" s="8"/>
      <c r="T147" s="8"/>
      <c r="U147" s="8"/>
      <c r="V147" s="8"/>
      <c r="W147" s="8"/>
      <c r="X147" s="8"/>
      <c r="Y147" s="8"/>
      <c r="Z147" s="8"/>
    </row>
    <row r="148">
      <c r="A148" s="8"/>
      <c r="B148" s="37"/>
      <c r="C148" s="36"/>
      <c r="D148" s="36"/>
      <c r="E148" s="36"/>
      <c r="F148" s="37" t="s">
        <v>842</v>
      </c>
      <c r="G148" s="56" t="s">
        <v>843</v>
      </c>
      <c r="H148" s="39" t="s">
        <v>22</v>
      </c>
      <c r="I148" s="47"/>
      <c r="J148" s="38"/>
      <c r="K148" s="48"/>
      <c r="L148" s="8"/>
      <c r="M148" s="8"/>
      <c r="N148" s="8"/>
      <c r="O148" s="8"/>
      <c r="P148" s="8"/>
      <c r="Q148" s="8"/>
      <c r="R148" s="8"/>
      <c r="S148" s="8"/>
      <c r="T148" s="8"/>
      <c r="U148" s="8"/>
      <c r="V148" s="8"/>
      <c r="W148" s="8"/>
      <c r="X148" s="8"/>
      <c r="Y148" s="8"/>
      <c r="Z148" s="8"/>
    </row>
    <row r="149">
      <c r="A149" s="8"/>
      <c r="B149" s="37"/>
      <c r="C149" s="36" t="s">
        <v>844</v>
      </c>
      <c r="D149" s="36" t="s">
        <v>845</v>
      </c>
      <c r="E149" s="36" t="s">
        <v>846</v>
      </c>
      <c r="F149" s="37" t="s">
        <v>847</v>
      </c>
      <c r="G149" s="56" t="s">
        <v>848</v>
      </c>
      <c r="H149" s="39" t="s">
        <v>22</v>
      </c>
      <c r="I149" s="45" t="s">
        <v>849</v>
      </c>
      <c r="J149" s="38" t="s">
        <v>850</v>
      </c>
      <c r="K149" s="48"/>
      <c r="L149" s="8"/>
      <c r="M149" s="8"/>
      <c r="N149" s="8"/>
      <c r="O149" s="8"/>
      <c r="P149" s="8"/>
      <c r="Q149" s="8"/>
      <c r="R149" s="8"/>
      <c r="S149" s="8"/>
      <c r="T149" s="8"/>
      <c r="U149" s="8"/>
      <c r="V149" s="8"/>
      <c r="W149" s="8"/>
      <c r="X149" s="8"/>
      <c r="Y149" s="8"/>
      <c r="Z149" s="8"/>
    </row>
    <row r="150">
      <c r="A150" s="8"/>
      <c r="B150" s="37"/>
      <c r="C150" s="36" t="s">
        <v>851</v>
      </c>
      <c r="D150" s="36" t="s">
        <v>852</v>
      </c>
      <c r="E150" s="36" t="s">
        <v>853</v>
      </c>
      <c r="F150" s="37" t="s">
        <v>854</v>
      </c>
      <c r="G150" s="56" t="s">
        <v>855</v>
      </c>
      <c r="H150" s="39" t="s">
        <v>22</v>
      </c>
      <c r="I150" s="42" t="s">
        <v>856</v>
      </c>
      <c r="J150" s="38" t="s">
        <v>850</v>
      </c>
      <c r="K150" s="48"/>
      <c r="L150" s="8"/>
      <c r="M150" s="8"/>
      <c r="N150" s="8"/>
      <c r="O150" s="8"/>
      <c r="P150" s="8"/>
      <c r="Q150" s="8"/>
      <c r="R150" s="8"/>
      <c r="S150" s="8"/>
      <c r="T150" s="8"/>
      <c r="U150" s="8"/>
      <c r="V150" s="8"/>
      <c r="W150" s="8"/>
      <c r="X150" s="8"/>
      <c r="Y150" s="8"/>
      <c r="Z150" s="8"/>
    </row>
    <row r="151">
      <c r="A151" s="8"/>
      <c r="B151" s="37"/>
      <c r="C151" s="36" t="s">
        <v>857</v>
      </c>
      <c r="D151" s="36" t="s">
        <v>858</v>
      </c>
      <c r="E151" s="36" t="s">
        <v>859</v>
      </c>
      <c r="F151" s="37" t="s">
        <v>860</v>
      </c>
      <c r="G151" s="56" t="s">
        <v>861</v>
      </c>
      <c r="H151" s="39" t="s">
        <v>22</v>
      </c>
      <c r="I151" s="40" t="s">
        <v>856</v>
      </c>
      <c r="J151" s="38" t="s">
        <v>553</v>
      </c>
      <c r="K151" s="48"/>
      <c r="L151" s="8"/>
      <c r="M151" s="8"/>
      <c r="N151" s="8"/>
      <c r="O151" s="8"/>
      <c r="P151" s="8"/>
      <c r="Q151" s="8"/>
      <c r="R151" s="8"/>
      <c r="S151" s="8"/>
      <c r="T151" s="8"/>
      <c r="U151" s="8"/>
      <c r="V151" s="8"/>
      <c r="W151" s="8"/>
      <c r="X151" s="8"/>
      <c r="Y151" s="8"/>
      <c r="Z151" s="8"/>
    </row>
    <row r="152">
      <c r="A152" s="8"/>
      <c r="B152" s="37"/>
      <c r="C152" s="36" t="s">
        <v>862</v>
      </c>
      <c r="D152" s="36" t="s">
        <v>863</v>
      </c>
      <c r="E152" s="36" t="s">
        <v>864</v>
      </c>
      <c r="F152" s="37" t="s">
        <v>865</v>
      </c>
      <c r="G152" s="56" t="s">
        <v>866</v>
      </c>
      <c r="H152" s="39" t="s">
        <v>22</v>
      </c>
      <c r="I152" s="42" t="s">
        <v>867</v>
      </c>
      <c r="J152" s="38" t="s">
        <v>868</v>
      </c>
      <c r="K152" s="48"/>
      <c r="L152" s="8"/>
      <c r="M152" s="8"/>
      <c r="N152" s="8"/>
      <c r="O152" s="8"/>
      <c r="P152" s="8"/>
      <c r="Q152" s="8"/>
      <c r="R152" s="8"/>
      <c r="S152" s="8"/>
      <c r="T152" s="8"/>
      <c r="U152" s="8"/>
      <c r="V152" s="8"/>
      <c r="W152" s="8"/>
      <c r="X152" s="8"/>
      <c r="Y152" s="8"/>
      <c r="Z152" s="8"/>
    </row>
    <row r="153">
      <c r="A153" s="8"/>
      <c r="B153" s="37"/>
      <c r="C153" s="36" t="s">
        <v>869</v>
      </c>
      <c r="D153" s="36" t="s">
        <v>870</v>
      </c>
      <c r="E153" s="36" t="s">
        <v>871</v>
      </c>
      <c r="F153" s="37" t="s">
        <v>872</v>
      </c>
      <c r="G153" s="56" t="s">
        <v>873</v>
      </c>
      <c r="H153" s="39" t="s">
        <v>22</v>
      </c>
      <c r="I153" s="40" t="s">
        <v>874</v>
      </c>
      <c r="J153" s="38"/>
      <c r="K153" s="48" t="s">
        <v>875</v>
      </c>
      <c r="L153" s="8"/>
      <c r="M153" s="8"/>
      <c r="N153" s="8"/>
      <c r="O153" s="8"/>
      <c r="P153" s="8"/>
      <c r="Q153" s="8"/>
      <c r="R153" s="8"/>
      <c r="S153" s="8"/>
      <c r="T153" s="8"/>
      <c r="U153" s="8"/>
      <c r="V153" s="8"/>
      <c r="W153" s="8"/>
      <c r="X153" s="8"/>
      <c r="Y153" s="8"/>
      <c r="Z153" s="8"/>
    </row>
    <row r="154">
      <c r="A154" s="8"/>
      <c r="B154" s="37"/>
      <c r="C154" s="36"/>
      <c r="D154" s="36"/>
      <c r="E154" s="36"/>
      <c r="F154" s="37" t="s">
        <v>876</v>
      </c>
      <c r="G154" s="56" t="s">
        <v>877</v>
      </c>
      <c r="H154" s="39" t="s">
        <v>22</v>
      </c>
      <c r="I154" s="47"/>
      <c r="J154" s="38"/>
      <c r="K154" s="48"/>
      <c r="L154" s="8"/>
      <c r="M154" s="8"/>
      <c r="N154" s="8"/>
      <c r="O154" s="8"/>
      <c r="P154" s="8"/>
      <c r="Q154" s="8"/>
      <c r="R154" s="8"/>
      <c r="S154" s="8"/>
      <c r="T154" s="8"/>
      <c r="U154" s="8"/>
      <c r="V154" s="8"/>
      <c r="W154" s="8"/>
      <c r="X154" s="8"/>
      <c r="Y154" s="8"/>
      <c r="Z154" s="8"/>
    </row>
    <row r="155" ht="27.75" customHeight="1">
      <c r="A155" s="8"/>
      <c r="B155" s="37"/>
      <c r="C155" s="36"/>
      <c r="D155" s="36"/>
      <c r="E155" s="36"/>
      <c r="F155" s="37" t="s">
        <v>878</v>
      </c>
      <c r="G155" s="56" t="s">
        <v>879</v>
      </c>
      <c r="H155" s="39" t="s">
        <v>22</v>
      </c>
      <c r="I155" s="46"/>
      <c r="J155" s="38"/>
      <c r="K155" s="48"/>
      <c r="L155" s="8"/>
      <c r="M155" s="8"/>
      <c r="N155" s="8"/>
      <c r="O155" s="8"/>
      <c r="P155" s="8"/>
      <c r="Q155" s="8"/>
      <c r="R155" s="8"/>
      <c r="S155" s="8"/>
      <c r="T155" s="8"/>
      <c r="U155" s="8"/>
      <c r="V155" s="8"/>
      <c r="W155" s="8"/>
      <c r="X155" s="8"/>
      <c r="Y155" s="8"/>
      <c r="Z155" s="8"/>
    </row>
    <row r="156">
      <c r="A156" s="8"/>
      <c r="B156" s="37"/>
      <c r="C156" s="36" t="s">
        <v>880</v>
      </c>
      <c r="D156" s="36" t="s">
        <v>881</v>
      </c>
      <c r="E156" s="36" t="s">
        <v>882</v>
      </c>
      <c r="F156" s="37" t="s">
        <v>883</v>
      </c>
      <c r="G156" s="56" t="s">
        <v>884</v>
      </c>
      <c r="H156" s="39" t="s">
        <v>22</v>
      </c>
      <c r="I156" s="42" t="s">
        <v>885</v>
      </c>
      <c r="J156" s="38"/>
      <c r="K156" s="48" t="s">
        <v>725</v>
      </c>
      <c r="L156" s="8"/>
      <c r="M156" s="8"/>
      <c r="N156" s="8"/>
      <c r="O156" s="8"/>
      <c r="P156" s="8"/>
      <c r="Q156" s="8"/>
      <c r="R156" s="8"/>
      <c r="S156" s="8"/>
      <c r="T156" s="8"/>
      <c r="U156" s="8"/>
      <c r="V156" s="8"/>
      <c r="W156" s="8"/>
      <c r="X156" s="8"/>
      <c r="Y156" s="8"/>
      <c r="Z156" s="8"/>
    </row>
    <row r="157">
      <c r="A157" s="8"/>
      <c r="B157" s="37"/>
      <c r="C157" s="36" t="s">
        <v>886</v>
      </c>
      <c r="D157" s="36" t="s">
        <v>887</v>
      </c>
      <c r="E157" s="36" t="s">
        <v>888</v>
      </c>
      <c r="F157" s="37" t="s">
        <v>889</v>
      </c>
      <c r="G157" s="56" t="s">
        <v>890</v>
      </c>
      <c r="H157" s="39" t="s">
        <v>22</v>
      </c>
      <c r="I157" s="40" t="s">
        <v>891</v>
      </c>
      <c r="J157" s="38" t="s">
        <v>754</v>
      </c>
      <c r="K157" s="38"/>
      <c r="L157" s="8"/>
      <c r="M157" s="8"/>
      <c r="N157" s="8"/>
      <c r="O157" s="8"/>
      <c r="P157" s="8"/>
      <c r="Q157" s="8"/>
      <c r="R157" s="8"/>
      <c r="S157" s="8"/>
      <c r="T157" s="8"/>
      <c r="U157" s="8"/>
      <c r="V157" s="8"/>
      <c r="W157" s="8"/>
      <c r="X157" s="8"/>
      <c r="Y157" s="8"/>
      <c r="Z157" s="8"/>
    </row>
    <row r="158">
      <c r="A158" s="8"/>
      <c r="B158" s="37"/>
      <c r="C158" s="36"/>
      <c r="D158" s="36"/>
      <c r="E158" s="36"/>
      <c r="F158" s="37" t="s">
        <v>892</v>
      </c>
      <c r="G158" s="56" t="s">
        <v>893</v>
      </c>
      <c r="H158" s="39" t="s">
        <v>22</v>
      </c>
      <c r="I158" s="47"/>
      <c r="J158" s="38"/>
      <c r="K158" s="48"/>
      <c r="L158" s="8"/>
      <c r="M158" s="8"/>
      <c r="N158" s="8"/>
      <c r="O158" s="8"/>
      <c r="P158" s="8"/>
      <c r="Q158" s="8"/>
      <c r="R158" s="8"/>
      <c r="S158" s="8"/>
      <c r="T158" s="8"/>
      <c r="U158" s="8"/>
      <c r="V158" s="8"/>
      <c r="W158" s="8"/>
      <c r="X158" s="8"/>
      <c r="Y158" s="8"/>
      <c r="Z158" s="8"/>
    </row>
    <row r="159">
      <c r="A159" s="8"/>
      <c r="B159" s="37"/>
      <c r="C159" s="36" t="s">
        <v>894</v>
      </c>
      <c r="D159" s="36" t="s">
        <v>895</v>
      </c>
      <c r="E159" s="36" t="s">
        <v>896</v>
      </c>
      <c r="F159" s="37" t="s">
        <v>897</v>
      </c>
      <c r="G159" s="56" t="s">
        <v>898</v>
      </c>
      <c r="H159" s="39" t="s">
        <v>22</v>
      </c>
      <c r="I159" s="40" t="s">
        <v>899</v>
      </c>
      <c r="J159" s="38"/>
      <c r="K159" s="48" t="s">
        <v>900</v>
      </c>
      <c r="L159" s="8"/>
      <c r="M159" s="8"/>
      <c r="N159" s="8"/>
      <c r="O159" s="8"/>
      <c r="P159" s="8"/>
      <c r="Q159" s="8"/>
      <c r="R159" s="8"/>
      <c r="S159" s="8"/>
      <c r="T159" s="8"/>
      <c r="U159" s="8"/>
      <c r="V159" s="8"/>
      <c r="W159" s="8"/>
      <c r="X159" s="8"/>
      <c r="Y159" s="8"/>
      <c r="Z159" s="8"/>
    </row>
    <row r="160">
      <c r="A160" s="8"/>
      <c r="B160" s="37"/>
      <c r="C160" s="36" t="s">
        <v>901</v>
      </c>
      <c r="D160" s="36" t="s">
        <v>902</v>
      </c>
      <c r="E160" s="36" t="s">
        <v>903</v>
      </c>
      <c r="F160" s="37" t="s">
        <v>904</v>
      </c>
      <c r="G160" s="56" t="s">
        <v>905</v>
      </c>
      <c r="H160" s="39" t="s">
        <v>22</v>
      </c>
      <c r="I160" s="42" t="s">
        <v>906</v>
      </c>
      <c r="J160" s="51" t="s">
        <v>907</v>
      </c>
      <c r="K160" s="48"/>
      <c r="L160" s="8"/>
      <c r="M160" s="8"/>
      <c r="N160" s="8"/>
      <c r="O160" s="8"/>
      <c r="P160" s="8"/>
      <c r="Q160" s="8"/>
      <c r="R160" s="8"/>
      <c r="S160" s="8"/>
      <c r="T160" s="8"/>
      <c r="U160" s="8"/>
      <c r="V160" s="8"/>
      <c r="W160" s="8"/>
      <c r="X160" s="8"/>
      <c r="Y160" s="8"/>
      <c r="Z160" s="8"/>
    </row>
    <row r="161">
      <c r="A161" s="8"/>
      <c r="B161" s="37"/>
      <c r="C161" s="36"/>
      <c r="D161" s="36"/>
      <c r="E161" s="36"/>
      <c r="F161" s="37" t="s">
        <v>908</v>
      </c>
      <c r="G161" s="56" t="s">
        <v>909</v>
      </c>
      <c r="H161" s="39" t="s">
        <v>22</v>
      </c>
      <c r="I161" s="46"/>
      <c r="J161" s="38"/>
      <c r="K161" s="48"/>
      <c r="L161" s="8"/>
      <c r="M161" s="8"/>
      <c r="N161" s="8"/>
      <c r="O161" s="8"/>
      <c r="P161" s="8"/>
      <c r="Q161" s="8"/>
      <c r="R161" s="8"/>
      <c r="S161" s="8"/>
      <c r="T161" s="8"/>
      <c r="U161" s="8"/>
      <c r="V161" s="8"/>
      <c r="W161" s="8"/>
      <c r="X161" s="8"/>
      <c r="Y161" s="8"/>
      <c r="Z161" s="8"/>
    </row>
    <row r="162" ht="33.75" customHeight="1">
      <c r="A162" s="8"/>
      <c r="B162" s="37"/>
      <c r="C162" s="36"/>
      <c r="D162" s="36"/>
      <c r="E162" s="36"/>
      <c r="F162" s="37" t="s">
        <v>910</v>
      </c>
      <c r="G162" s="56" t="s">
        <v>911</v>
      </c>
      <c r="H162" s="58" t="s">
        <v>22</v>
      </c>
      <c r="I162" s="59" t="s">
        <v>912</v>
      </c>
      <c r="J162" s="38"/>
      <c r="K162" s="48"/>
      <c r="L162" s="8"/>
      <c r="M162" s="8"/>
      <c r="N162" s="8"/>
      <c r="O162" s="8"/>
      <c r="P162" s="8"/>
      <c r="Q162" s="8"/>
      <c r="R162" s="8"/>
      <c r="S162" s="8"/>
      <c r="T162" s="8"/>
      <c r="U162" s="8"/>
      <c r="V162" s="8"/>
      <c r="W162" s="8"/>
      <c r="X162" s="8"/>
      <c r="Y162" s="8"/>
      <c r="Z162" s="8"/>
    </row>
    <row r="163" ht="41.25" customHeight="1">
      <c r="A163" s="8"/>
      <c r="B163" s="37"/>
      <c r="C163" s="36" t="s">
        <v>913</v>
      </c>
      <c r="D163" s="36" t="s">
        <v>914</v>
      </c>
      <c r="E163" s="36" t="s">
        <v>915</v>
      </c>
      <c r="F163" s="37" t="s">
        <v>916</v>
      </c>
      <c r="G163" s="56" t="s">
        <v>917</v>
      </c>
      <c r="H163" s="39" t="s">
        <v>22</v>
      </c>
      <c r="I163" s="40" t="s">
        <v>906</v>
      </c>
      <c r="J163" s="51" t="s">
        <v>918</v>
      </c>
      <c r="K163" s="48" t="s">
        <v>232</v>
      </c>
      <c r="L163" s="8"/>
      <c r="M163" s="8"/>
      <c r="N163" s="8"/>
      <c r="O163" s="8"/>
      <c r="P163" s="8"/>
      <c r="Q163" s="8"/>
      <c r="R163" s="8"/>
      <c r="S163" s="8"/>
      <c r="T163" s="8"/>
      <c r="U163" s="8"/>
      <c r="V163" s="8"/>
      <c r="W163" s="8"/>
      <c r="X163" s="8"/>
      <c r="Y163" s="8"/>
      <c r="Z163" s="8"/>
    </row>
    <row r="164">
      <c r="A164" s="8"/>
      <c r="B164" s="37"/>
      <c r="C164" s="36"/>
      <c r="D164" s="36"/>
      <c r="E164" s="36"/>
      <c r="F164" s="37" t="s">
        <v>919</v>
      </c>
      <c r="G164" s="56" t="s">
        <v>920</v>
      </c>
      <c r="H164" s="39" t="s">
        <v>22</v>
      </c>
      <c r="I164" s="47"/>
      <c r="J164" s="38"/>
      <c r="K164" s="48"/>
      <c r="L164" s="8"/>
      <c r="M164" s="8"/>
      <c r="N164" s="8"/>
      <c r="O164" s="8"/>
      <c r="P164" s="8"/>
      <c r="Q164" s="8"/>
      <c r="R164" s="8"/>
      <c r="S164" s="8"/>
      <c r="T164" s="8"/>
      <c r="U164" s="8"/>
      <c r="V164" s="8"/>
      <c r="W164" s="8"/>
      <c r="X164" s="8"/>
      <c r="Y164" s="8"/>
      <c r="Z164" s="8"/>
    </row>
    <row r="165">
      <c r="A165" s="8"/>
      <c r="B165" s="37"/>
      <c r="C165" s="36" t="s">
        <v>921</v>
      </c>
      <c r="D165" s="36" t="s">
        <v>922</v>
      </c>
      <c r="E165" s="36" t="s">
        <v>923</v>
      </c>
      <c r="F165" s="37" t="s">
        <v>924</v>
      </c>
      <c r="G165" s="56" t="s">
        <v>925</v>
      </c>
      <c r="H165" s="39" t="s">
        <v>22</v>
      </c>
      <c r="I165" s="45" t="s">
        <v>926</v>
      </c>
      <c r="J165" s="38"/>
      <c r="K165" s="48" t="s">
        <v>240</v>
      </c>
      <c r="L165" s="8"/>
      <c r="M165" s="8"/>
      <c r="N165" s="8"/>
      <c r="O165" s="8"/>
      <c r="P165" s="8"/>
      <c r="Q165" s="8"/>
      <c r="R165" s="8"/>
      <c r="S165" s="8"/>
      <c r="T165" s="8"/>
      <c r="U165" s="8"/>
      <c r="V165" s="8"/>
      <c r="W165" s="8"/>
      <c r="X165" s="8"/>
      <c r="Y165" s="8"/>
      <c r="Z165" s="8"/>
    </row>
    <row r="166">
      <c r="A166" s="8"/>
      <c r="B166" s="37"/>
      <c r="C166" s="36" t="s">
        <v>927</v>
      </c>
      <c r="D166" s="36" t="s">
        <v>928</v>
      </c>
      <c r="E166" s="36" t="s">
        <v>929</v>
      </c>
      <c r="F166" s="37" t="s">
        <v>930</v>
      </c>
      <c r="G166" s="56" t="s">
        <v>931</v>
      </c>
      <c r="H166" s="39" t="s">
        <v>22</v>
      </c>
      <c r="I166" s="42" t="s">
        <v>932</v>
      </c>
      <c r="J166" s="38" t="s">
        <v>553</v>
      </c>
      <c r="K166" s="48" t="s">
        <v>725</v>
      </c>
      <c r="L166" s="8"/>
      <c r="M166" s="8"/>
      <c r="N166" s="8"/>
      <c r="O166" s="8"/>
      <c r="P166" s="8"/>
      <c r="Q166" s="8"/>
      <c r="R166" s="8"/>
      <c r="S166" s="8"/>
      <c r="T166" s="8"/>
      <c r="U166" s="8"/>
      <c r="V166" s="8"/>
      <c r="W166" s="8"/>
      <c r="X166" s="8"/>
      <c r="Y166" s="8"/>
      <c r="Z166" s="8"/>
    </row>
    <row r="167">
      <c r="A167" s="8"/>
      <c r="B167" s="37"/>
      <c r="C167" s="36"/>
      <c r="D167" s="36"/>
      <c r="E167" s="36"/>
      <c r="F167" s="37" t="s">
        <v>933</v>
      </c>
      <c r="G167" s="56" t="s">
        <v>934</v>
      </c>
      <c r="H167" s="39" t="s">
        <v>22</v>
      </c>
      <c r="I167" s="46"/>
      <c r="J167" s="38"/>
      <c r="K167" s="48"/>
      <c r="L167" s="8"/>
      <c r="M167" s="8"/>
      <c r="N167" s="8"/>
      <c r="O167" s="8"/>
      <c r="P167" s="8"/>
      <c r="Q167" s="8"/>
      <c r="R167" s="8"/>
      <c r="S167" s="8"/>
      <c r="T167" s="8"/>
      <c r="U167" s="8"/>
      <c r="V167" s="8"/>
      <c r="W167" s="8"/>
      <c r="X167" s="8"/>
      <c r="Y167" s="8"/>
      <c r="Z167" s="8"/>
    </row>
    <row r="168">
      <c r="A168" s="8"/>
      <c r="B168" s="37"/>
      <c r="C168" s="36" t="s">
        <v>935</v>
      </c>
      <c r="D168" s="36" t="s">
        <v>936</v>
      </c>
      <c r="E168" s="36" t="s">
        <v>937</v>
      </c>
      <c r="F168" s="37" t="s">
        <v>938</v>
      </c>
      <c r="G168" s="56" t="s">
        <v>939</v>
      </c>
      <c r="H168" s="39" t="s">
        <v>22</v>
      </c>
      <c r="I168" s="42" t="s">
        <v>940</v>
      </c>
      <c r="J168" s="38" t="s">
        <v>941</v>
      </c>
      <c r="K168" s="48" t="s">
        <v>232</v>
      </c>
      <c r="L168" s="8"/>
      <c r="M168" s="8"/>
      <c r="N168" s="8"/>
      <c r="O168" s="8"/>
      <c r="P168" s="8"/>
      <c r="Q168" s="8"/>
      <c r="R168" s="8"/>
      <c r="S168" s="8"/>
      <c r="T168" s="8"/>
      <c r="U168" s="8"/>
      <c r="V168" s="8"/>
      <c r="W168" s="8"/>
      <c r="X168" s="8"/>
      <c r="Y168" s="8"/>
      <c r="Z168" s="8"/>
    </row>
    <row r="169">
      <c r="A169" s="8"/>
      <c r="B169" s="37"/>
      <c r="C169" s="36"/>
      <c r="D169" s="36"/>
      <c r="E169" s="36"/>
      <c r="F169" s="37" t="s">
        <v>942</v>
      </c>
      <c r="G169" s="56" t="s">
        <v>943</v>
      </c>
      <c r="H169" s="39" t="s">
        <v>22</v>
      </c>
      <c r="I169" s="50"/>
      <c r="J169" s="38"/>
      <c r="K169" s="48"/>
      <c r="L169" s="8"/>
      <c r="M169" s="8"/>
      <c r="N169" s="8"/>
      <c r="O169" s="8"/>
      <c r="P169" s="8"/>
      <c r="Q169" s="8"/>
      <c r="R169" s="8"/>
      <c r="S169" s="8"/>
      <c r="T169" s="8"/>
      <c r="U169" s="8"/>
      <c r="V169" s="8"/>
      <c r="W169" s="8"/>
      <c r="X169" s="8"/>
      <c r="Y169" s="8"/>
      <c r="Z169" s="8"/>
    </row>
    <row r="170">
      <c r="A170" s="8"/>
      <c r="B170" s="37"/>
      <c r="C170" s="36"/>
      <c r="D170" s="36"/>
      <c r="E170" s="36"/>
      <c r="F170" s="37" t="s">
        <v>944</v>
      </c>
      <c r="G170" s="56" t="s">
        <v>945</v>
      </c>
      <c r="H170" s="39" t="s">
        <v>22</v>
      </c>
      <c r="I170" s="53"/>
      <c r="J170" s="38"/>
      <c r="K170" s="48"/>
      <c r="L170" s="8"/>
      <c r="M170" s="8"/>
      <c r="N170" s="8"/>
      <c r="O170" s="8"/>
      <c r="P170" s="8"/>
      <c r="Q170" s="8"/>
      <c r="R170" s="8"/>
      <c r="S170" s="8"/>
      <c r="T170" s="8"/>
      <c r="U170" s="8"/>
      <c r="V170" s="8"/>
      <c r="W170" s="8"/>
      <c r="X170" s="8"/>
      <c r="Y170" s="8"/>
      <c r="Z170" s="8"/>
    </row>
    <row r="171">
      <c r="A171" s="8"/>
      <c r="B171" s="37"/>
      <c r="C171" s="36"/>
      <c r="D171" s="36"/>
      <c r="E171" s="36"/>
      <c r="F171" s="37" t="s">
        <v>946</v>
      </c>
      <c r="G171" s="56" t="s">
        <v>947</v>
      </c>
      <c r="H171" s="39" t="s">
        <v>22</v>
      </c>
      <c r="I171" s="50"/>
      <c r="J171" s="38"/>
      <c r="K171" s="48"/>
      <c r="L171" s="8"/>
      <c r="M171" s="8"/>
      <c r="N171" s="8"/>
      <c r="O171" s="8"/>
      <c r="P171" s="8"/>
      <c r="Q171" s="8"/>
      <c r="R171" s="8"/>
      <c r="S171" s="8"/>
      <c r="T171" s="8"/>
      <c r="U171" s="8"/>
      <c r="V171" s="8"/>
      <c r="W171" s="8"/>
      <c r="X171" s="8"/>
      <c r="Y171" s="8"/>
      <c r="Z171" s="8"/>
    </row>
    <row r="172">
      <c r="A172" s="8"/>
      <c r="B172" s="37"/>
      <c r="C172" s="36" t="s">
        <v>948</v>
      </c>
      <c r="D172" s="36" t="s">
        <v>949</v>
      </c>
      <c r="E172" s="36" t="s">
        <v>950</v>
      </c>
      <c r="F172" s="37" t="s">
        <v>951</v>
      </c>
      <c r="G172" s="56" t="s">
        <v>952</v>
      </c>
      <c r="H172" s="39" t="s">
        <v>22</v>
      </c>
      <c r="I172" s="42" t="s">
        <v>953</v>
      </c>
      <c r="J172" s="38" t="s">
        <v>954</v>
      </c>
      <c r="K172" s="48" t="s">
        <v>725</v>
      </c>
      <c r="L172" s="8"/>
      <c r="M172" s="8"/>
      <c r="N172" s="8"/>
      <c r="O172" s="8"/>
      <c r="P172" s="8"/>
      <c r="Q172" s="8"/>
      <c r="R172" s="8"/>
      <c r="S172" s="8"/>
      <c r="T172" s="8"/>
      <c r="U172" s="8"/>
      <c r="V172" s="8"/>
      <c r="W172" s="8"/>
      <c r="X172" s="8"/>
      <c r="Y172" s="8"/>
      <c r="Z172" s="8"/>
    </row>
    <row r="173">
      <c r="A173" s="8"/>
      <c r="B173" s="37"/>
      <c r="C173" s="36" t="s">
        <v>955</v>
      </c>
      <c r="D173" s="36" t="s">
        <v>956</v>
      </c>
      <c r="E173" s="36" t="s">
        <v>957</v>
      </c>
      <c r="F173" s="37" t="s">
        <v>958</v>
      </c>
      <c r="G173" s="56" t="s">
        <v>959</v>
      </c>
      <c r="H173" s="39" t="s">
        <v>22</v>
      </c>
      <c r="I173" s="40" t="s">
        <v>960</v>
      </c>
      <c r="J173" s="38" t="s">
        <v>961</v>
      </c>
      <c r="K173" s="48"/>
      <c r="L173" s="8"/>
      <c r="M173" s="8"/>
      <c r="N173" s="8"/>
      <c r="O173" s="8"/>
      <c r="P173" s="8"/>
      <c r="Q173" s="8"/>
      <c r="R173" s="8"/>
      <c r="S173" s="8"/>
      <c r="T173" s="8"/>
      <c r="U173" s="8"/>
      <c r="V173" s="8"/>
      <c r="W173" s="8"/>
      <c r="X173" s="8"/>
      <c r="Y173" s="8"/>
      <c r="Z173" s="8"/>
    </row>
    <row r="174">
      <c r="A174" s="8"/>
      <c r="B174" s="37"/>
      <c r="C174" s="36"/>
      <c r="D174" s="36"/>
      <c r="E174" s="36"/>
      <c r="F174" s="37" t="s">
        <v>962</v>
      </c>
      <c r="G174" s="56" t="s">
        <v>963</v>
      </c>
      <c r="H174" s="39" t="s">
        <v>22</v>
      </c>
      <c r="I174" s="42" t="s">
        <v>964</v>
      </c>
      <c r="J174" s="38"/>
      <c r="K174" s="48"/>
      <c r="L174" s="8"/>
      <c r="M174" s="8"/>
      <c r="N174" s="8"/>
      <c r="O174" s="8"/>
      <c r="P174" s="8"/>
      <c r="Q174" s="8"/>
      <c r="R174" s="8"/>
      <c r="S174" s="8"/>
      <c r="T174" s="8"/>
      <c r="U174" s="8"/>
      <c r="V174" s="8"/>
      <c r="W174" s="8"/>
      <c r="X174" s="8"/>
      <c r="Y174" s="8"/>
      <c r="Z174" s="8"/>
    </row>
    <row r="175" ht="16.5" customHeight="1">
      <c r="A175" s="8"/>
      <c r="B175" s="27"/>
      <c r="C175" s="27"/>
      <c r="D175" s="27"/>
      <c r="E175" s="28"/>
      <c r="F175" s="29"/>
      <c r="G175" s="28"/>
      <c r="H175" s="30"/>
      <c r="I175" s="31"/>
      <c r="J175" s="28"/>
      <c r="K175" s="27"/>
      <c r="L175" s="8"/>
      <c r="M175" s="8"/>
      <c r="N175" s="8"/>
      <c r="O175" s="8"/>
      <c r="P175" s="8"/>
      <c r="Q175" s="8"/>
      <c r="R175" s="8"/>
      <c r="S175" s="8"/>
      <c r="T175" s="8"/>
      <c r="U175" s="8"/>
      <c r="V175" s="8"/>
      <c r="W175" s="8"/>
      <c r="X175" s="8"/>
      <c r="Y175" s="8"/>
      <c r="Z175" s="8"/>
    </row>
    <row r="176" ht="16.5" customHeight="1">
      <c r="A176" s="8"/>
      <c r="B176" s="27"/>
      <c r="C176" s="27"/>
      <c r="D176" s="27"/>
      <c r="E176" s="28"/>
      <c r="F176" s="29"/>
      <c r="G176" s="28"/>
      <c r="H176" s="30"/>
      <c r="I176" s="31"/>
      <c r="J176" s="28"/>
      <c r="K176" s="27"/>
      <c r="L176" s="8"/>
      <c r="M176" s="8"/>
      <c r="N176" s="8"/>
      <c r="O176" s="8"/>
      <c r="P176" s="8"/>
      <c r="Q176" s="8"/>
      <c r="R176" s="8"/>
      <c r="S176" s="8"/>
      <c r="T176" s="8"/>
      <c r="U176" s="8"/>
      <c r="V176" s="8"/>
      <c r="W176" s="8"/>
      <c r="X176" s="8"/>
      <c r="Y176" s="8"/>
      <c r="Z176" s="8"/>
    </row>
    <row r="177" ht="16.5" customHeight="1">
      <c r="A177" s="8"/>
      <c r="B177" s="27"/>
      <c r="C177" s="27"/>
      <c r="D177" s="27"/>
      <c r="E177" s="28"/>
      <c r="F177" s="29"/>
      <c r="G177" s="28"/>
      <c r="H177" s="30"/>
      <c r="I177" s="31"/>
      <c r="J177" s="28"/>
      <c r="K177" s="27"/>
      <c r="L177" s="8"/>
      <c r="M177" s="8"/>
      <c r="N177" s="8"/>
      <c r="O177" s="8"/>
      <c r="P177" s="8"/>
      <c r="Q177" s="8"/>
      <c r="R177" s="8"/>
      <c r="S177" s="8"/>
      <c r="T177" s="8"/>
      <c r="U177" s="8"/>
      <c r="V177" s="8"/>
      <c r="W177" s="8"/>
      <c r="X177" s="8"/>
      <c r="Y177" s="8"/>
      <c r="Z177" s="8"/>
    </row>
    <row r="178" ht="16.5" customHeight="1">
      <c r="A178" s="8"/>
      <c r="B178" s="27"/>
      <c r="C178" s="27"/>
      <c r="D178" s="27"/>
      <c r="E178" s="28"/>
      <c r="F178" s="29"/>
      <c r="G178" s="28"/>
      <c r="H178" s="30"/>
      <c r="I178" s="31"/>
      <c r="J178" s="28"/>
      <c r="K178" s="27"/>
      <c r="L178" s="8"/>
      <c r="M178" s="8"/>
      <c r="N178" s="8"/>
      <c r="O178" s="8"/>
      <c r="P178" s="8"/>
      <c r="Q178" s="8"/>
      <c r="R178" s="8"/>
      <c r="S178" s="8"/>
      <c r="T178" s="8"/>
      <c r="U178" s="8"/>
      <c r="V178" s="8"/>
      <c r="W178" s="8"/>
      <c r="X178" s="8"/>
      <c r="Y178" s="8"/>
      <c r="Z178" s="8"/>
    </row>
    <row r="179" ht="16.5" customHeight="1">
      <c r="A179" s="8"/>
      <c r="B179" s="27"/>
      <c r="C179" s="27"/>
      <c r="D179" s="27"/>
      <c r="E179" s="28"/>
      <c r="F179" s="29"/>
      <c r="G179" s="28"/>
      <c r="H179" s="30"/>
      <c r="I179" s="31"/>
      <c r="J179" s="28"/>
      <c r="K179" s="27"/>
      <c r="L179" s="8"/>
      <c r="M179" s="8"/>
      <c r="N179" s="8"/>
      <c r="O179" s="8"/>
      <c r="P179" s="8"/>
      <c r="Q179" s="8"/>
      <c r="R179" s="8"/>
      <c r="S179" s="8"/>
      <c r="T179" s="8"/>
      <c r="U179" s="8"/>
      <c r="V179" s="8"/>
      <c r="W179" s="8"/>
      <c r="X179" s="8"/>
      <c r="Y179" s="8"/>
      <c r="Z179" s="8"/>
    </row>
    <row r="180" ht="16.5" customHeight="1">
      <c r="A180" s="8"/>
      <c r="B180" s="27"/>
      <c r="C180" s="27"/>
      <c r="D180" s="27"/>
      <c r="E180" s="28"/>
      <c r="F180" s="29"/>
      <c r="G180" s="28"/>
      <c r="H180" s="30"/>
      <c r="I180" s="31"/>
      <c r="J180" s="28"/>
      <c r="K180" s="27"/>
      <c r="L180" s="8"/>
      <c r="M180" s="8"/>
      <c r="N180" s="8"/>
      <c r="O180" s="8"/>
      <c r="P180" s="8"/>
      <c r="Q180" s="8"/>
      <c r="R180" s="8"/>
      <c r="S180" s="8"/>
      <c r="T180" s="8"/>
      <c r="U180" s="8"/>
      <c r="V180" s="8"/>
      <c r="W180" s="8"/>
      <c r="X180" s="8"/>
      <c r="Y180" s="8"/>
      <c r="Z180" s="8"/>
    </row>
    <row r="181" ht="16.5" customHeight="1">
      <c r="A181" s="8"/>
      <c r="B181" s="27"/>
      <c r="C181" s="27"/>
      <c r="D181" s="27"/>
      <c r="E181" s="28"/>
      <c r="F181" s="29"/>
      <c r="G181" s="28"/>
      <c r="H181" s="30"/>
      <c r="I181" s="31"/>
      <c r="J181" s="28"/>
      <c r="K181" s="27"/>
      <c r="L181" s="8"/>
      <c r="M181" s="8"/>
      <c r="N181" s="8"/>
      <c r="O181" s="8"/>
      <c r="P181" s="8"/>
      <c r="Q181" s="8"/>
      <c r="R181" s="8"/>
      <c r="S181" s="8"/>
      <c r="T181" s="8"/>
      <c r="U181" s="8"/>
      <c r="V181" s="8"/>
      <c r="W181" s="8"/>
      <c r="X181" s="8"/>
      <c r="Y181" s="8"/>
      <c r="Z181" s="8"/>
    </row>
    <row r="182" ht="16.5" customHeight="1">
      <c r="A182" s="8"/>
      <c r="B182" s="27"/>
      <c r="C182" s="27"/>
      <c r="D182" s="27"/>
      <c r="E182" s="28"/>
      <c r="F182" s="29"/>
      <c r="G182" s="28"/>
      <c r="H182" s="30"/>
      <c r="I182" s="31"/>
      <c r="J182" s="28"/>
      <c r="K182" s="27"/>
      <c r="L182" s="8"/>
      <c r="M182" s="8"/>
      <c r="N182" s="8"/>
      <c r="O182" s="8"/>
      <c r="P182" s="8"/>
      <c r="Q182" s="8"/>
      <c r="R182" s="8"/>
      <c r="S182" s="8"/>
      <c r="T182" s="8"/>
      <c r="U182" s="8"/>
      <c r="V182" s="8"/>
      <c r="W182" s="8"/>
      <c r="X182" s="8"/>
      <c r="Y182" s="8"/>
      <c r="Z182" s="8"/>
    </row>
    <row r="183" ht="16.5" customHeight="1">
      <c r="A183" s="8"/>
      <c r="B183" s="27"/>
      <c r="C183" s="27"/>
      <c r="D183" s="27"/>
      <c r="E183" s="28"/>
      <c r="F183" s="29"/>
      <c r="G183" s="28"/>
      <c r="H183" s="30"/>
      <c r="I183" s="31"/>
      <c r="J183" s="28"/>
      <c r="K183" s="27"/>
      <c r="L183" s="8"/>
      <c r="M183" s="8"/>
      <c r="N183" s="8"/>
      <c r="O183" s="8"/>
      <c r="P183" s="8"/>
      <c r="Q183" s="8"/>
      <c r="R183" s="8"/>
      <c r="S183" s="8"/>
      <c r="T183" s="8"/>
      <c r="U183" s="8"/>
      <c r="V183" s="8"/>
      <c r="W183" s="8"/>
      <c r="X183" s="8"/>
      <c r="Y183" s="8"/>
      <c r="Z183" s="8"/>
    </row>
    <row r="184" ht="16.5" customHeight="1">
      <c r="A184" s="8"/>
      <c r="B184" s="27"/>
      <c r="C184" s="27"/>
      <c r="D184" s="27"/>
      <c r="E184" s="28"/>
      <c r="F184" s="29"/>
      <c r="G184" s="28"/>
      <c r="H184" s="30"/>
      <c r="I184" s="31"/>
      <c r="J184" s="28"/>
      <c r="K184" s="27"/>
      <c r="L184" s="8"/>
      <c r="M184" s="8"/>
      <c r="N184" s="8"/>
      <c r="O184" s="8"/>
      <c r="P184" s="8"/>
      <c r="Q184" s="8"/>
      <c r="R184" s="8"/>
      <c r="S184" s="8"/>
      <c r="T184" s="8"/>
      <c r="U184" s="8"/>
      <c r="V184" s="8"/>
      <c r="W184" s="8"/>
      <c r="X184" s="8"/>
      <c r="Y184" s="8"/>
      <c r="Z184" s="8"/>
    </row>
    <row r="185" ht="16.5" customHeight="1">
      <c r="A185" s="8"/>
      <c r="B185" s="27"/>
      <c r="C185" s="27"/>
      <c r="D185" s="27"/>
      <c r="E185" s="28"/>
      <c r="F185" s="29"/>
      <c r="G185" s="28"/>
      <c r="H185" s="30"/>
      <c r="I185" s="31"/>
      <c r="J185" s="28"/>
      <c r="K185" s="27"/>
      <c r="L185" s="8"/>
      <c r="M185" s="8"/>
      <c r="N185" s="8"/>
      <c r="O185" s="8"/>
      <c r="P185" s="8"/>
      <c r="Q185" s="8"/>
      <c r="R185" s="8"/>
      <c r="S185" s="8"/>
      <c r="T185" s="8"/>
      <c r="U185" s="8"/>
      <c r="V185" s="8"/>
      <c r="W185" s="8"/>
      <c r="X185" s="8"/>
      <c r="Y185" s="8"/>
      <c r="Z185" s="8"/>
    </row>
    <row r="186" ht="16.5" customHeight="1">
      <c r="A186" s="8"/>
      <c r="B186" s="27"/>
      <c r="C186" s="27"/>
      <c r="D186" s="27"/>
      <c r="E186" s="28"/>
      <c r="F186" s="29"/>
      <c r="G186" s="28"/>
      <c r="H186" s="30"/>
      <c r="I186" s="31"/>
      <c r="J186" s="28"/>
      <c r="K186" s="27"/>
      <c r="L186" s="8"/>
      <c r="M186" s="8"/>
      <c r="N186" s="8"/>
      <c r="O186" s="8"/>
      <c r="P186" s="8"/>
      <c r="Q186" s="8"/>
      <c r="R186" s="8"/>
      <c r="S186" s="8"/>
      <c r="T186" s="8"/>
      <c r="U186" s="8"/>
      <c r="V186" s="8"/>
      <c r="W186" s="8"/>
      <c r="X186" s="8"/>
      <c r="Y186" s="8"/>
      <c r="Z186" s="8"/>
    </row>
    <row r="187" ht="16.5" customHeight="1">
      <c r="A187" s="8"/>
      <c r="B187" s="27"/>
      <c r="C187" s="27"/>
      <c r="D187" s="27"/>
      <c r="E187" s="28"/>
      <c r="F187" s="29"/>
      <c r="G187" s="28"/>
      <c r="H187" s="30"/>
      <c r="I187" s="31"/>
      <c r="J187" s="28"/>
      <c r="K187" s="27"/>
      <c r="L187" s="8"/>
      <c r="M187" s="8"/>
      <c r="N187" s="8"/>
      <c r="O187" s="8"/>
      <c r="P187" s="8"/>
      <c r="Q187" s="8"/>
      <c r="R187" s="8"/>
      <c r="S187" s="8"/>
      <c r="T187" s="8"/>
      <c r="U187" s="8"/>
      <c r="V187" s="8"/>
      <c r="W187" s="8"/>
      <c r="X187" s="8"/>
      <c r="Y187" s="8"/>
      <c r="Z187" s="8"/>
    </row>
    <row r="188" ht="16.5" customHeight="1">
      <c r="A188" s="8"/>
      <c r="B188" s="27"/>
      <c r="C188" s="27"/>
      <c r="D188" s="27"/>
      <c r="E188" s="28"/>
      <c r="F188" s="29"/>
      <c r="G188" s="28"/>
      <c r="H188" s="30"/>
      <c r="I188" s="31"/>
      <c r="J188" s="28"/>
      <c r="K188" s="27"/>
      <c r="L188" s="8"/>
      <c r="M188" s="8"/>
      <c r="N188" s="8"/>
      <c r="O188" s="8"/>
      <c r="P188" s="8"/>
      <c r="Q188" s="8"/>
      <c r="R188" s="8"/>
      <c r="S188" s="8"/>
      <c r="T188" s="8"/>
      <c r="U188" s="8"/>
      <c r="V188" s="8"/>
      <c r="W188" s="8"/>
      <c r="X188" s="8"/>
      <c r="Y188" s="8"/>
      <c r="Z188" s="8"/>
    </row>
    <row r="189" ht="16.5" customHeight="1">
      <c r="A189" s="8"/>
      <c r="B189" s="27"/>
      <c r="C189" s="27"/>
      <c r="D189" s="27"/>
      <c r="E189" s="28"/>
      <c r="F189" s="29"/>
      <c r="G189" s="28"/>
      <c r="H189" s="30"/>
      <c r="I189" s="31"/>
      <c r="J189" s="28"/>
      <c r="K189" s="27"/>
      <c r="L189" s="8"/>
      <c r="M189" s="8"/>
      <c r="N189" s="8"/>
      <c r="O189" s="8"/>
      <c r="P189" s="8"/>
      <c r="Q189" s="8"/>
      <c r="R189" s="8"/>
      <c r="S189" s="8"/>
      <c r="T189" s="8"/>
      <c r="U189" s="8"/>
      <c r="V189" s="8"/>
      <c r="W189" s="8"/>
      <c r="X189" s="8"/>
      <c r="Y189" s="8"/>
      <c r="Z189" s="8"/>
    </row>
    <row r="190" ht="16.5" customHeight="1">
      <c r="A190" s="8"/>
      <c r="B190" s="27"/>
      <c r="C190" s="27"/>
      <c r="D190" s="27"/>
      <c r="E190" s="28"/>
      <c r="F190" s="29"/>
      <c r="G190" s="28"/>
      <c r="H190" s="30"/>
      <c r="I190" s="31"/>
      <c r="J190" s="28"/>
      <c r="K190" s="27"/>
      <c r="L190" s="8"/>
      <c r="M190" s="8"/>
      <c r="N190" s="8"/>
      <c r="O190" s="8"/>
      <c r="P190" s="8"/>
      <c r="Q190" s="8"/>
      <c r="R190" s="8"/>
      <c r="S190" s="8"/>
      <c r="T190" s="8"/>
      <c r="U190" s="8"/>
      <c r="V190" s="8"/>
      <c r="W190" s="8"/>
      <c r="X190" s="8"/>
      <c r="Y190" s="8"/>
      <c r="Z190" s="8"/>
    </row>
    <row r="191" ht="16.5" customHeight="1">
      <c r="A191" s="8"/>
      <c r="B191" s="27"/>
      <c r="C191" s="27"/>
      <c r="D191" s="27"/>
      <c r="E191" s="28"/>
      <c r="F191" s="29"/>
      <c r="G191" s="28"/>
      <c r="H191" s="30"/>
      <c r="I191" s="31"/>
      <c r="J191" s="28"/>
      <c r="K191" s="27"/>
      <c r="L191" s="8"/>
      <c r="M191" s="8"/>
      <c r="N191" s="8"/>
      <c r="O191" s="8"/>
      <c r="P191" s="8"/>
      <c r="Q191" s="8"/>
      <c r="R191" s="8"/>
      <c r="S191" s="8"/>
      <c r="T191" s="8"/>
      <c r="U191" s="8"/>
      <c r="V191" s="8"/>
      <c r="W191" s="8"/>
      <c r="X191" s="8"/>
      <c r="Y191" s="8"/>
      <c r="Z191" s="8"/>
    </row>
    <row r="192" ht="16.5" customHeight="1">
      <c r="A192" s="8"/>
      <c r="B192" s="27"/>
      <c r="C192" s="27"/>
      <c r="D192" s="27"/>
      <c r="E192" s="28"/>
      <c r="F192" s="29"/>
      <c r="G192" s="28"/>
      <c r="H192" s="30"/>
      <c r="I192" s="31"/>
      <c r="J192" s="28"/>
      <c r="K192" s="27"/>
      <c r="L192" s="8"/>
      <c r="M192" s="8"/>
      <c r="N192" s="8"/>
      <c r="O192" s="8"/>
      <c r="P192" s="8"/>
      <c r="Q192" s="8"/>
      <c r="R192" s="8"/>
      <c r="S192" s="8"/>
      <c r="T192" s="8"/>
      <c r="U192" s="8"/>
      <c r="V192" s="8"/>
      <c r="W192" s="8"/>
      <c r="X192" s="8"/>
      <c r="Y192" s="8"/>
      <c r="Z192" s="8"/>
    </row>
    <row r="193" ht="16.5" customHeight="1">
      <c r="A193" s="8"/>
      <c r="B193" s="27"/>
      <c r="C193" s="27"/>
      <c r="D193" s="27"/>
      <c r="E193" s="28"/>
      <c r="F193" s="29"/>
      <c r="G193" s="28"/>
      <c r="H193" s="30"/>
      <c r="I193" s="31"/>
      <c r="J193" s="28"/>
      <c r="K193" s="27"/>
      <c r="L193" s="8"/>
      <c r="M193" s="8"/>
      <c r="N193" s="8"/>
      <c r="O193" s="8"/>
      <c r="P193" s="8"/>
      <c r="Q193" s="8"/>
      <c r="R193" s="8"/>
      <c r="S193" s="8"/>
      <c r="T193" s="8"/>
      <c r="U193" s="8"/>
      <c r="V193" s="8"/>
      <c r="W193" s="8"/>
      <c r="X193" s="8"/>
      <c r="Y193" s="8"/>
      <c r="Z193" s="8"/>
    </row>
    <row r="194" ht="16.5" customHeight="1">
      <c r="A194" s="8"/>
      <c r="B194" s="27"/>
      <c r="C194" s="27"/>
      <c r="D194" s="27"/>
      <c r="E194" s="28"/>
      <c r="F194" s="29"/>
      <c r="G194" s="28"/>
      <c r="H194" s="30"/>
      <c r="I194" s="31"/>
      <c r="J194" s="28"/>
      <c r="K194" s="27"/>
      <c r="L194" s="8"/>
      <c r="M194" s="8"/>
      <c r="N194" s="8"/>
      <c r="O194" s="8"/>
      <c r="P194" s="8"/>
      <c r="Q194" s="8"/>
      <c r="R194" s="8"/>
      <c r="S194" s="8"/>
      <c r="T194" s="8"/>
      <c r="U194" s="8"/>
      <c r="V194" s="8"/>
      <c r="W194" s="8"/>
      <c r="X194" s="8"/>
      <c r="Y194" s="8"/>
      <c r="Z194" s="8"/>
    </row>
    <row r="195" ht="16.5" customHeight="1">
      <c r="A195" s="8"/>
      <c r="B195" s="27"/>
      <c r="C195" s="27"/>
      <c r="D195" s="27"/>
      <c r="E195" s="28"/>
      <c r="F195" s="29"/>
      <c r="G195" s="28"/>
      <c r="H195" s="30"/>
      <c r="I195" s="31"/>
      <c r="J195" s="28"/>
      <c r="K195" s="27"/>
      <c r="L195" s="8"/>
      <c r="M195" s="8"/>
      <c r="N195" s="8"/>
      <c r="O195" s="8"/>
      <c r="P195" s="8"/>
      <c r="Q195" s="8"/>
      <c r="R195" s="8"/>
      <c r="S195" s="8"/>
      <c r="T195" s="8"/>
      <c r="U195" s="8"/>
      <c r="V195" s="8"/>
      <c r="W195" s="8"/>
      <c r="X195" s="8"/>
      <c r="Y195" s="8"/>
      <c r="Z195" s="8"/>
    </row>
    <row r="196" ht="16.5" customHeight="1">
      <c r="A196" s="8"/>
      <c r="B196" s="27"/>
      <c r="C196" s="27"/>
      <c r="D196" s="27"/>
      <c r="E196" s="28"/>
      <c r="F196" s="29"/>
      <c r="G196" s="28"/>
      <c r="H196" s="30"/>
      <c r="I196" s="31"/>
      <c r="J196" s="28"/>
      <c r="K196" s="27"/>
      <c r="L196" s="8"/>
      <c r="M196" s="8"/>
      <c r="N196" s="8"/>
      <c r="O196" s="8"/>
      <c r="P196" s="8"/>
      <c r="Q196" s="8"/>
      <c r="R196" s="8"/>
      <c r="S196" s="8"/>
      <c r="T196" s="8"/>
      <c r="U196" s="8"/>
      <c r="V196" s="8"/>
      <c r="W196" s="8"/>
      <c r="X196" s="8"/>
      <c r="Y196" s="8"/>
      <c r="Z196" s="8"/>
    </row>
    <row r="197" ht="16.5" customHeight="1">
      <c r="A197" s="8"/>
      <c r="B197" s="27"/>
      <c r="C197" s="27"/>
      <c r="D197" s="27"/>
      <c r="E197" s="28"/>
      <c r="F197" s="29"/>
      <c r="G197" s="28"/>
      <c r="H197" s="30"/>
      <c r="I197" s="31"/>
      <c r="J197" s="28"/>
      <c r="K197" s="27"/>
      <c r="L197" s="8"/>
      <c r="M197" s="8"/>
      <c r="N197" s="8"/>
      <c r="O197" s="8"/>
      <c r="P197" s="8"/>
      <c r="Q197" s="8"/>
      <c r="R197" s="8"/>
      <c r="S197" s="8"/>
      <c r="T197" s="8"/>
      <c r="U197" s="8"/>
      <c r="V197" s="8"/>
      <c r="W197" s="8"/>
      <c r="X197" s="8"/>
      <c r="Y197" s="8"/>
      <c r="Z197" s="8"/>
    </row>
    <row r="198" ht="16.5" customHeight="1">
      <c r="A198" s="8"/>
      <c r="B198" s="27"/>
      <c r="C198" s="27"/>
      <c r="D198" s="27"/>
      <c r="E198" s="28"/>
      <c r="F198" s="29"/>
      <c r="G198" s="28"/>
      <c r="H198" s="30"/>
      <c r="I198" s="31"/>
      <c r="J198" s="28"/>
      <c r="K198" s="27"/>
      <c r="L198" s="8"/>
      <c r="M198" s="8"/>
      <c r="N198" s="8"/>
      <c r="O198" s="8"/>
      <c r="P198" s="8"/>
      <c r="Q198" s="8"/>
      <c r="R198" s="8"/>
      <c r="S198" s="8"/>
      <c r="T198" s="8"/>
      <c r="U198" s="8"/>
      <c r="V198" s="8"/>
      <c r="W198" s="8"/>
      <c r="X198" s="8"/>
      <c r="Y198" s="8"/>
      <c r="Z198" s="8"/>
    </row>
    <row r="199" ht="16.5" customHeight="1">
      <c r="A199" s="8"/>
      <c r="B199" s="27"/>
      <c r="C199" s="27"/>
      <c r="D199" s="27"/>
      <c r="E199" s="28"/>
      <c r="F199" s="29"/>
      <c r="G199" s="28"/>
      <c r="H199" s="30"/>
      <c r="I199" s="31"/>
      <c r="J199" s="28"/>
      <c r="K199" s="27"/>
      <c r="L199" s="8"/>
      <c r="M199" s="8"/>
      <c r="N199" s="8"/>
      <c r="O199" s="8"/>
      <c r="P199" s="8"/>
      <c r="Q199" s="8"/>
      <c r="R199" s="8"/>
      <c r="S199" s="8"/>
      <c r="T199" s="8"/>
      <c r="U199" s="8"/>
      <c r="V199" s="8"/>
      <c r="W199" s="8"/>
      <c r="X199" s="8"/>
      <c r="Y199" s="8"/>
      <c r="Z199" s="8"/>
    </row>
    <row r="200" ht="16.5" customHeight="1">
      <c r="A200" s="8"/>
      <c r="B200" s="27"/>
      <c r="C200" s="27"/>
      <c r="D200" s="27"/>
      <c r="E200" s="28"/>
      <c r="F200" s="29"/>
      <c r="G200" s="28"/>
      <c r="H200" s="30"/>
      <c r="I200" s="31"/>
      <c r="J200" s="28"/>
      <c r="K200" s="27"/>
      <c r="L200" s="8"/>
      <c r="M200" s="8"/>
      <c r="N200" s="8"/>
      <c r="O200" s="8"/>
      <c r="P200" s="8"/>
      <c r="Q200" s="8"/>
      <c r="R200" s="8"/>
      <c r="S200" s="8"/>
      <c r="T200" s="8"/>
      <c r="U200" s="8"/>
      <c r="V200" s="8"/>
      <c r="W200" s="8"/>
      <c r="X200" s="8"/>
      <c r="Y200" s="8"/>
      <c r="Z200" s="8"/>
    </row>
    <row r="201" ht="16.5" customHeight="1">
      <c r="A201" s="8"/>
      <c r="B201" s="27"/>
      <c r="C201" s="27"/>
      <c r="D201" s="27"/>
      <c r="E201" s="28"/>
      <c r="F201" s="29"/>
      <c r="G201" s="28"/>
      <c r="H201" s="30"/>
      <c r="I201" s="31"/>
      <c r="J201" s="28"/>
      <c r="K201" s="27"/>
      <c r="L201" s="8"/>
      <c r="M201" s="8"/>
      <c r="N201" s="8"/>
      <c r="O201" s="8"/>
      <c r="P201" s="8"/>
      <c r="Q201" s="8"/>
      <c r="R201" s="8"/>
      <c r="S201" s="8"/>
      <c r="T201" s="8"/>
      <c r="U201" s="8"/>
      <c r="V201" s="8"/>
      <c r="W201" s="8"/>
      <c r="X201" s="8"/>
      <c r="Y201" s="8"/>
      <c r="Z201" s="8"/>
    </row>
    <row r="202" ht="16.5" customHeight="1">
      <c r="A202" s="8"/>
      <c r="B202" s="27"/>
      <c r="C202" s="27"/>
      <c r="D202" s="27"/>
      <c r="E202" s="28"/>
      <c r="F202" s="29"/>
      <c r="G202" s="28"/>
      <c r="H202" s="30"/>
      <c r="I202" s="31"/>
      <c r="J202" s="28"/>
      <c r="K202" s="27"/>
      <c r="L202" s="8"/>
      <c r="M202" s="8"/>
      <c r="N202" s="8"/>
      <c r="O202" s="8"/>
      <c r="P202" s="8"/>
      <c r="Q202" s="8"/>
      <c r="R202" s="8"/>
      <c r="S202" s="8"/>
      <c r="T202" s="8"/>
      <c r="U202" s="8"/>
      <c r="V202" s="8"/>
      <c r="W202" s="8"/>
      <c r="X202" s="8"/>
      <c r="Y202" s="8"/>
      <c r="Z202" s="8"/>
    </row>
    <row r="203" ht="16.5" customHeight="1">
      <c r="A203" s="8"/>
      <c r="B203" s="27"/>
      <c r="C203" s="27"/>
      <c r="D203" s="27"/>
      <c r="E203" s="28"/>
      <c r="F203" s="29"/>
      <c r="G203" s="28"/>
      <c r="H203" s="30"/>
      <c r="I203" s="31"/>
      <c r="J203" s="28"/>
      <c r="K203" s="27"/>
      <c r="L203" s="8"/>
      <c r="M203" s="8"/>
      <c r="N203" s="8"/>
      <c r="O203" s="8"/>
      <c r="P203" s="8"/>
      <c r="Q203" s="8"/>
      <c r="R203" s="8"/>
      <c r="S203" s="8"/>
      <c r="T203" s="8"/>
      <c r="U203" s="8"/>
      <c r="V203" s="8"/>
      <c r="W203" s="8"/>
      <c r="X203" s="8"/>
      <c r="Y203" s="8"/>
      <c r="Z203" s="8"/>
    </row>
    <row r="204" ht="16.5" customHeight="1">
      <c r="A204" s="8"/>
      <c r="B204" s="27"/>
      <c r="C204" s="27"/>
      <c r="D204" s="27"/>
      <c r="E204" s="28"/>
      <c r="F204" s="29"/>
      <c r="G204" s="28"/>
      <c r="H204" s="30"/>
      <c r="I204" s="31"/>
      <c r="J204" s="28"/>
      <c r="K204" s="27"/>
      <c r="L204" s="8"/>
      <c r="M204" s="8"/>
      <c r="N204" s="8"/>
      <c r="O204" s="8"/>
      <c r="P204" s="8"/>
      <c r="Q204" s="8"/>
      <c r="R204" s="8"/>
      <c r="S204" s="8"/>
      <c r="T204" s="8"/>
      <c r="U204" s="8"/>
      <c r="V204" s="8"/>
      <c r="W204" s="8"/>
      <c r="X204" s="8"/>
      <c r="Y204" s="8"/>
      <c r="Z204" s="8"/>
    </row>
    <row r="205" ht="16.5" customHeight="1">
      <c r="A205" s="8"/>
      <c r="B205" s="27"/>
      <c r="C205" s="27"/>
      <c r="D205" s="27"/>
      <c r="E205" s="28"/>
      <c r="F205" s="29"/>
      <c r="G205" s="28"/>
      <c r="H205" s="30"/>
      <c r="I205" s="31"/>
      <c r="J205" s="28"/>
      <c r="K205" s="27"/>
      <c r="L205" s="8"/>
      <c r="M205" s="8"/>
      <c r="N205" s="8"/>
      <c r="O205" s="8"/>
      <c r="P205" s="8"/>
      <c r="Q205" s="8"/>
      <c r="R205" s="8"/>
      <c r="S205" s="8"/>
      <c r="T205" s="8"/>
      <c r="U205" s="8"/>
      <c r="V205" s="8"/>
      <c r="W205" s="8"/>
      <c r="X205" s="8"/>
      <c r="Y205" s="8"/>
      <c r="Z205" s="8"/>
    </row>
    <row r="206" ht="16.5" customHeight="1">
      <c r="A206" s="8"/>
      <c r="B206" s="27"/>
      <c r="C206" s="27"/>
      <c r="D206" s="27"/>
      <c r="E206" s="28"/>
      <c r="F206" s="29"/>
      <c r="G206" s="28"/>
      <c r="H206" s="30"/>
      <c r="I206" s="31"/>
      <c r="J206" s="28"/>
      <c r="K206" s="27"/>
      <c r="L206" s="8"/>
      <c r="M206" s="8"/>
      <c r="N206" s="8"/>
      <c r="O206" s="8"/>
      <c r="P206" s="8"/>
      <c r="Q206" s="8"/>
      <c r="R206" s="8"/>
      <c r="S206" s="8"/>
      <c r="T206" s="8"/>
      <c r="U206" s="8"/>
      <c r="V206" s="8"/>
      <c r="W206" s="8"/>
      <c r="X206" s="8"/>
      <c r="Y206" s="8"/>
      <c r="Z206" s="8"/>
    </row>
    <row r="207" ht="16.5" customHeight="1">
      <c r="A207" s="8"/>
      <c r="B207" s="27"/>
      <c r="C207" s="27"/>
      <c r="D207" s="27"/>
      <c r="E207" s="28"/>
      <c r="F207" s="29"/>
      <c r="G207" s="28"/>
      <c r="H207" s="30"/>
      <c r="I207" s="31"/>
      <c r="J207" s="28"/>
      <c r="K207" s="27"/>
      <c r="L207" s="8"/>
      <c r="M207" s="8"/>
      <c r="N207" s="8"/>
      <c r="O207" s="8"/>
      <c r="P207" s="8"/>
      <c r="Q207" s="8"/>
      <c r="R207" s="8"/>
      <c r="S207" s="8"/>
      <c r="T207" s="8"/>
      <c r="U207" s="8"/>
      <c r="V207" s="8"/>
      <c r="W207" s="8"/>
      <c r="X207" s="8"/>
      <c r="Y207" s="8"/>
      <c r="Z207" s="8"/>
    </row>
    <row r="208" ht="16.5" customHeight="1">
      <c r="A208" s="8"/>
      <c r="B208" s="27"/>
      <c r="C208" s="27"/>
      <c r="D208" s="27"/>
      <c r="E208" s="28"/>
      <c r="F208" s="29"/>
      <c r="G208" s="28"/>
      <c r="H208" s="30"/>
      <c r="I208" s="31"/>
      <c r="J208" s="28"/>
      <c r="K208" s="27"/>
      <c r="L208" s="8"/>
      <c r="M208" s="8"/>
      <c r="N208" s="8"/>
      <c r="O208" s="8"/>
      <c r="P208" s="8"/>
      <c r="Q208" s="8"/>
      <c r="R208" s="8"/>
      <c r="S208" s="8"/>
      <c r="T208" s="8"/>
      <c r="U208" s="8"/>
      <c r="V208" s="8"/>
      <c r="W208" s="8"/>
      <c r="X208" s="8"/>
      <c r="Y208" s="8"/>
      <c r="Z208" s="8"/>
    </row>
    <row r="209" ht="16.5" customHeight="1">
      <c r="A209" s="8"/>
      <c r="B209" s="27"/>
      <c r="C209" s="27"/>
      <c r="D209" s="27"/>
      <c r="E209" s="28"/>
      <c r="F209" s="29"/>
      <c r="G209" s="28"/>
      <c r="H209" s="30"/>
      <c r="I209" s="31"/>
      <c r="J209" s="28"/>
      <c r="K209" s="27"/>
      <c r="L209" s="8"/>
      <c r="M209" s="8"/>
      <c r="N209" s="8"/>
      <c r="O209" s="8"/>
      <c r="P209" s="8"/>
      <c r="Q209" s="8"/>
      <c r="R209" s="8"/>
      <c r="S209" s="8"/>
      <c r="T209" s="8"/>
      <c r="U209" s="8"/>
      <c r="V209" s="8"/>
      <c r="W209" s="8"/>
      <c r="X209" s="8"/>
      <c r="Y209" s="8"/>
      <c r="Z209" s="8"/>
    </row>
    <row r="210" ht="16.5" customHeight="1">
      <c r="A210" s="8"/>
      <c r="B210" s="27"/>
      <c r="C210" s="27"/>
      <c r="D210" s="27"/>
      <c r="E210" s="28"/>
      <c r="F210" s="29"/>
      <c r="G210" s="28"/>
      <c r="H210" s="30"/>
      <c r="I210" s="31"/>
      <c r="J210" s="28"/>
      <c r="K210" s="27"/>
      <c r="L210" s="8"/>
      <c r="M210" s="8"/>
      <c r="N210" s="8"/>
      <c r="O210" s="8"/>
      <c r="P210" s="8"/>
      <c r="Q210" s="8"/>
      <c r="R210" s="8"/>
      <c r="S210" s="8"/>
      <c r="T210" s="8"/>
      <c r="U210" s="8"/>
      <c r="V210" s="8"/>
      <c r="W210" s="8"/>
      <c r="X210" s="8"/>
      <c r="Y210" s="8"/>
      <c r="Z210" s="8"/>
    </row>
    <row r="211" ht="16.5" customHeight="1">
      <c r="A211" s="8"/>
      <c r="B211" s="27"/>
      <c r="C211" s="27"/>
      <c r="D211" s="27"/>
      <c r="E211" s="28"/>
      <c r="F211" s="29"/>
      <c r="G211" s="28"/>
      <c r="H211" s="30"/>
      <c r="I211" s="31"/>
      <c r="J211" s="28"/>
      <c r="K211" s="27"/>
      <c r="L211" s="8"/>
      <c r="M211" s="8"/>
      <c r="N211" s="8"/>
      <c r="O211" s="8"/>
      <c r="P211" s="8"/>
      <c r="Q211" s="8"/>
      <c r="R211" s="8"/>
      <c r="S211" s="8"/>
      <c r="T211" s="8"/>
      <c r="U211" s="8"/>
      <c r="V211" s="8"/>
      <c r="W211" s="8"/>
      <c r="X211" s="8"/>
      <c r="Y211" s="8"/>
      <c r="Z211" s="8"/>
    </row>
    <row r="212" ht="16.5" customHeight="1">
      <c r="A212" s="8"/>
      <c r="B212" s="27"/>
      <c r="C212" s="27"/>
      <c r="D212" s="27"/>
      <c r="E212" s="28"/>
      <c r="F212" s="29"/>
      <c r="G212" s="28"/>
      <c r="H212" s="30"/>
      <c r="I212" s="31"/>
      <c r="J212" s="28"/>
      <c r="K212" s="27"/>
      <c r="L212" s="8"/>
      <c r="M212" s="8"/>
      <c r="N212" s="8"/>
      <c r="O212" s="8"/>
      <c r="P212" s="8"/>
      <c r="Q212" s="8"/>
      <c r="R212" s="8"/>
      <c r="S212" s="8"/>
      <c r="T212" s="8"/>
      <c r="U212" s="8"/>
      <c r="V212" s="8"/>
      <c r="W212" s="8"/>
      <c r="X212" s="8"/>
      <c r="Y212" s="8"/>
      <c r="Z212" s="8"/>
    </row>
    <row r="213" ht="16.5" customHeight="1">
      <c r="A213" s="8"/>
      <c r="B213" s="27"/>
      <c r="C213" s="27"/>
      <c r="D213" s="27"/>
      <c r="E213" s="28"/>
      <c r="F213" s="29"/>
      <c r="G213" s="28"/>
      <c r="H213" s="30"/>
      <c r="I213" s="31"/>
      <c r="J213" s="28"/>
      <c r="K213" s="27"/>
      <c r="L213" s="8"/>
      <c r="M213" s="8"/>
      <c r="N213" s="8"/>
      <c r="O213" s="8"/>
      <c r="P213" s="8"/>
      <c r="Q213" s="8"/>
      <c r="R213" s="8"/>
      <c r="S213" s="8"/>
      <c r="T213" s="8"/>
      <c r="U213" s="8"/>
      <c r="V213" s="8"/>
      <c r="W213" s="8"/>
      <c r="X213" s="8"/>
      <c r="Y213" s="8"/>
      <c r="Z213" s="8"/>
    </row>
    <row r="214" ht="16.5" customHeight="1">
      <c r="A214" s="8"/>
      <c r="B214" s="27"/>
      <c r="C214" s="27"/>
      <c r="D214" s="27"/>
      <c r="E214" s="28"/>
      <c r="F214" s="29"/>
      <c r="G214" s="28"/>
      <c r="H214" s="30"/>
      <c r="I214" s="31"/>
      <c r="J214" s="28"/>
      <c r="K214" s="27"/>
      <c r="L214" s="8"/>
      <c r="M214" s="8"/>
      <c r="N214" s="8"/>
      <c r="O214" s="8"/>
      <c r="P214" s="8"/>
      <c r="Q214" s="8"/>
      <c r="R214" s="8"/>
      <c r="S214" s="8"/>
      <c r="T214" s="8"/>
      <c r="U214" s="8"/>
      <c r="V214" s="8"/>
      <c r="W214" s="8"/>
      <c r="X214" s="8"/>
      <c r="Y214" s="8"/>
      <c r="Z214" s="8"/>
    </row>
    <row r="215" ht="16.5" customHeight="1">
      <c r="A215" s="8"/>
      <c r="B215" s="27"/>
      <c r="C215" s="27"/>
      <c r="D215" s="27"/>
      <c r="E215" s="28"/>
      <c r="F215" s="29"/>
      <c r="G215" s="28"/>
      <c r="H215" s="30"/>
      <c r="I215" s="31"/>
      <c r="J215" s="28"/>
      <c r="K215" s="27"/>
      <c r="L215" s="8"/>
      <c r="M215" s="8"/>
      <c r="N215" s="8"/>
      <c r="O215" s="8"/>
      <c r="P215" s="8"/>
      <c r="Q215" s="8"/>
      <c r="R215" s="8"/>
      <c r="S215" s="8"/>
      <c r="T215" s="8"/>
      <c r="U215" s="8"/>
      <c r="V215" s="8"/>
      <c r="W215" s="8"/>
      <c r="X215" s="8"/>
      <c r="Y215" s="8"/>
      <c r="Z215" s="8"/>
    </row>
    <row r="216" ht="16.5" customHeight="1">
      <c r="A216" s="8"/>
      <c r="B216" s="27"/>
      <c r="C216" s="27"/>
      <c r="D216" s="27"/>
      <c r="E216" s="28"/>
      <c r="F216" s="29"/>
      <c r="G216" s="28"/>
      <c r="H216" s="30"/>
      <c r="I216" s="31"/>
      <c r="J216" s="28"/>
      <c r="K216" s="27"/>
      <c r="L216" s="8"/>
      <c r="M216" s="8"/>
      <c r="N216" s="8"/>
      <c r="O216" s="8"/>
      <c r="P216" s="8"/>
      <c r="Q216" s="8"/>
      <c r="R216" s="8"/>
      <c r="S216" s="8"/>
      <c r="T216" s="8"/>
      <c r="U216" s="8"/>
      <c r="V216" s="8"/>
      <c r="W216" s="8"/>
      <c r="X216" s="8"/>
      <c r="Y216" s="8"/>
      <c r="Z216" s="8"/>
    </row>
    <row r="217" ht="16.5" customHeight="1">
      <c r="A217" s="8"/>
      <c r="B217" s="27"/>
      <c r="C217" s="27"/>
      <c r="D217" s="27"/>
      <c r="E217" s="28"/>
      <c r="F217" s="29"/>
      <c r="G217" s="28"/>
      <c r="H217" s="30"/>
      <c r="I217" s="31"/>
      <c r="J217" s="28"/>
      <c r="K217" s="27"/>
      <c r="L217" s="8"/>
      <c r="M217" s="8"/>
      <c r="N217" s="8"/>
      <c r="O217" s="8"/>
      <c r="P217" s="8"/>
      <c r="Q217" s="8"/>
      <c r="R217" s="8"/>
      <c r="S217" s="8"/>
      <c r="T217" s="8"/>
      <c r="U217" s="8"/>
      <c r="V217" s="8"/>
      <c r="W217" s="8"/>
      <c r="X217" s="8"/>
      <c r="Y217" s="8"/>
      <c r="Z217" s="8"/>
    </row>
    <row r="218" ht="16.5" customHeight="1">
      <c r="A218" s="8"/>
      <c r="B218" s="27"/>
      <c r="C218" s="27"/>
      <c r="D218" s="27"/>
      <c r="E218" s="28"/>
      <c r="F218" s="29"/>
      <c r="G218" s="28"/>
      <c r="H218" s="30"/>
      <c r="I218" s="31"/>
      <c r="J218" s="28"/>
      <c r="K218" s="27"/>
      <c r="L218" s="8"/>
      <c r="M218" s="8"/>
      <c r="N218" s="8"/>
      <c r="O218" s="8"/>
      <c r="P218" s="8"/>
      <c r="Q218" s="8"/>
      <c r="R218" s="8"/>
      <c r="S218" s="8"/>
      <c r="T218" s="8"/>
      <c r="U218" s="8"/>
      <c r="V218" s="8"/>
      <c r="W218" s="8"/>
      <c r="X218" s="8"/>
      <c r="Y218" s="8"/>
      <c r="Z218" s="8"/>
    </row>
    <row r="219" ht="16.5" customHeight="1">
      <c r="A219" s="8"/>
      <c r="B219" s="27"/>
      <c r="C219" s="27"/>
      <c r="D219" s="27"/>
      <c r="E219" s="28"/>
      <c r="F219" s="29"/>
      <c r="G219" s="28"/>
      <c r="H219" s="30"/>
      <c r="I219" s="31"/>
      <c r="J219" s="28"/>
      <c r="K219" s="27"/>
      <c r="L219" s="8"/>
      <c r="M219" s="8"/>
      <c r="N219" s="8"/>
      <c r="O219" s="8"/>
      <c r="P219" s="8"/>
      <c r="Q219" s="8"/>
      <c r="R219" s="8"/>
      <c r="S219" s="8"/>
      <c r="T219" s="8"/>
      <c r="U219" s="8"/>
      <c r="V219" s="8"/>
      <c r="W219" s="8"/>
      <c r="X219" s="8"/>
      <c r="Y219" s="8"/>
      <c r="Z219" s="8"/>
    </row>
    <row r="220" ht="16.5" customHeight="1">
      <c r="A220" s="8"/>
      <c r="B220" s="27"/>
      <c r="C220" s="27"/>
      <c r="D220" s="27"/>
      <c r="E220" s="28"/>
      <c r="F220" s="29"/>
      <c r="G220" s="28"/>
      <c r="H220" s="30"/>
      <c r="I220" s="31"/>
      <c r="J220" s="28"/>
      <c r="K220" s="27"/>
      <c r="L220" s="8"/>
      <c r="M220" s="8"/>
      <c r="N220" s="8"/>
      <c r="O220" s="8"/>
      <c r="P220" s="8"/>
      <c r="Q220" s="8"/>
      <c r="R220" s="8"/>
      <c r="S220" s="8"/>
      <c r="T220" s="8"/>
      <c r="U220" s="8"/>
      <c r="V220" s="8"/>
      <c r="W220" s="8"/>
      <c r="X220" s="8"/>
      <c r="Y220" s="8"/>
      <c r="Z220" s="8"/>
    </row>
    <row r="221" ht="16.5" customHeight="1">
      <c r="A221" s="8"/>
      <c r="B221" s="27"/>
      <c r="C221" s="27"/>
      <c r="D221" s="27"/>
      <c r="E221" s="28"/>
      <c r="F221" s="29"/>
      <c r="G221" s="28"/>
      <c r="H221" s="30"/>
      <c r="I221" s="31"/>
      <c r="J221" s="28"/>
      <c r="K221" s="27"/>
      <c r="L221" s="8"/>
      <c r="M221" s="8"/>
      <c r="N221" s="8"/>
      <c r="O221" s="8"/>
      <c r="P221" s="8"/>
      <c r="Q221" s="8"/>
      <c r="R221" s="8"/>
      <c r="S221" s="8"/>
      <c r="T221" s="8"/>
      <c r="U221" s="8"/>
      <c r="V221" s="8"/>
      <c r="W221" s="8"/>
      <c r="X221" s="8"/>
      <c r="Y221" s="8"/>
      <c r="Z221" s="8"/>
    </row>
    <row r="222" ht="16.5" customHeight="1">
      <c r="A222" s="8"/>
      <c r="B222" s="27"/>
      <c r="C222" s="27"/>
      <c r="D222" s="27"/>
      <c r="E222" s="28"/>
      <c r="F222" s="29"/>
      <c r="G222" s="28"/>
      <c r="H222" s="30"/>
      <c r="I222" s="31"/>
      <c r="J222" s="28"/>
      <c r="K222" s="27"/>
      <c r="L222" s="8"/>
      <c r="M222" s="8"/>
      <c r="N222" s="8"/>
      <c r="O222" s="8"/>
      <c r="P222" s="8"/>
      <c r="Q222" s="8"/>
      <c r="R222" s="8"/>
      <c r="S222" s="8"/>
      <c r="T222" s="8"/>
      <c r="U222" s="8"/>
      <c r="V222" s="8"/>
      <c r="W222" s="8"/>
      <c r="X222" s="8"/>
      <c r="Y222" s="8"/>
      <c r="Z222" s="8"/>
    </row>
    <row r="223" ht="16.5" customHeight="1">
      <c r="A223" s="8"/>
      <c r="B223" s="27"/>
      <c r="C223" s="27"/>
      <c r="D223" s="27"/>
      <c r="E223" s="28"/>
      <c r="F223" s="29"/>
      <c r="G223" s="28"/>
      <c r="H223" s="30"/>
      <c r="I223" s="31"/>
      <c r="J223" s="28"/>
      <c r="K223" s="27"/>
      <c r="L223" s="8"/>
      <c r="M223" s="8"/>
      <c r="N223" s="8"/>
      <c r="O223" s="8"/>
      <c r="P223" s="8"/>
      <c r="Q223" s="8"/>
      <c r="R223" s="8"/>
      <c r="S223" s="8"/>
      <c r="T223" s="8"/>
      <c r="U223" s="8"/>
      <c r="V223" s="8"/>
      <c r="W223" s="8"/>
      <c r="X223" s="8"/>
      <c r="Y223" s="8"/>
      <c r="Z223" s="8"/>
    </row>
    <row r="224" ht="16.5" customHeight="1">
      <c r="A224" s="8"/>
      <c r="B224" s="27"/>
      <c r="C224" s="27"/>
      <c r="D224" s="27"/>
      <c r="E224" s="28"/>
      <c r="F224" s="29"/>
      <c r="G224" s="28"/>
      <c r="H224" s="30"/>
      <c r="I224" s="31"/>
      <c r="J224" s="28"/>
      <c r="K224" s="27"/>
      <c r="L224" s="8"/>
      <c r="M224" s="8"/>
      <c r="N224" s="8"/>
      <c r="O224" s="8"/>
      <c r="P224" s="8"/>
      <c r="Q224" s="8"/>
      <c r="R224" s="8"/>
      <c r="S224" s="8"/>
      <c r="T224" s="8"/>
      <c r="U224" s="8"/>
      <c r="V224" s="8"/>
      <c r="W224" s="8"/>
      <c r="X224" s="8"/>
      <c r="Y224" s="8"/>
      <c r="Z224" s="8"/>
    </row>
    <row r="225" ht="16.5" customHeight="1">
      <c r="A225" s="8"/>
      <c r="B225" s="27"/>
      <c r="C225" s="27"/>
      <c r="D225" s="27"/>
      <c r="E225" s="28"/>
      <c r="F225" s="29"/>
      <c r="G225" s="28"/>
      <c r="H225" s="30"/>
      <c r="I225" s="31"/>
      <c r="J225" s="28"/>
      <c r="K225" s="27"/>
      <c r="L225" s="8"/>
      <c r="M225" s="8"/>
      <c r="N225" s="8"/>
      <c r="O225" s="8"/>
      <c r="P225" s="8"/>
      <c r="Q225" s="8"/>
      <c r="R225" s="8"/>
      <c r="S225" s="8"/>
      <c r="T225" s="8"/>
      <c r="U225" s="8"/>
      <c r="V225" s="8"/>
      <c r="W225" s="8"/>
      <c r="X225" s="8"/>
      <c r="Y225" s="8"/>
      <c r="Z225" s="8"/>
    </row>
    <row r="226" ht="16.5" customHeight="1">
      <c r="A226" s="8"/>
      <c r="B226" s="27"/>
      <c r="C226" s="27"/>
      <c r="D226" s="27"/>
      <c r="E226" s="28"/>
      <c r="F226" s="29"/>
      <c r="G226" s="28"/>
      <c r="H226" s="30"/>
      <c r="I226" s="31"/>
      <c r="J226" s="28"/>
      <c r="K226" s="27"/>
      <c r="L226" s="8"/>
      <c r="M226" s="8"/>
      <c r="N226" s="8"/>
      <c r="O226" s="8"/>
      <c r="P226" s="8"/>
      <c r="Q226" s="8"/>
      <c r="R226" s="8"/>
      <c r="S226" s="8"/>
      <c r="T226" s="8"/>
      <c r="U226" s="8"/>
      <c r="V226" s="8"/>
      <c r="W226" s="8"/>
      <c r="X226" s="8"/>
      <c r="Y226" s="8"/>
      <c r="Z226" s="8"/>
    </row>
    <row r="227" ht="16.5" customHeight="1">
      <c r="A227" s="8"/>
      <c r="B227" s="27"/>
      <c r="C227" s="27"/>
      <c r="D227" s="27"/>
      <c r="E227" s="28"/>
      <c r="F227" s="29"/>
      <c r="G227" s="28"/>
      <c r="H227" s="30"/>
      <c r="I227" s="31"/>
      <c r="J227" s="28"/>
      <c r="K227" s="27"/>
      <c r="L227" s="8"/>
      <c r="M227" s="8"/>
      <c r="N227" s="8"/>
      <c r="O227" s="8"/>
      <c r="P227" s="8"/>
      <c r="Q227" s="8"/>
      <c r="R227" s="8"/>
      <c r="S227" s="8"/>
      <c r="T227" s="8"/>
      <c r="U227" s="8"/>
      <c r="V227" s="8"/>
      <c r="W227" s="8"/>
      <c r="X227" s="8"/>
      <c r="Y227" s="8"/>
      <c r="Z227" s="8"/>
    </row>
    <row r="228" ht="16.5" customHeight="1">
      <c r="A228" s="8"/>
      <c r="B228" s="27"/>
      <c r="C228" s="27"/>
      <c r="D228" s="27"/>
      <c r="E228" s="28"/>
      <c r="F228" s="29"/>
      <c r="G228" s="28"/>
      <c r="H228" s="30"/>
      <c r="I228" s="31"/>
      <c r="J228" s="28"/>
      <c r="K228" s="27"/>
      <c r="L228" s="8"/>
      <c r="M228" s="8"/>
      <c r="N228" s="8"/>
      <c r="O228" s="8"/>
      <c r="P228" s="8"/>
      <c r="Q228" s="8"/>
      <c r="R228" s="8"/>
      <c r="S228" s="8"/>
      <c r="T228" s="8"/>
      <c r="U228" s="8"/>
      <c r="V228" s="8"/>
      <c r="W228" s="8"/>
      <c r="X228" s="8"/>
      <c r="Y228" s="8"/>
      <c r="Z228" s="8"/>
    </row>
    <row r="229" ht="16.5" customHeight="1">
      <c r="A229" s="8"/>
      <c r="B229" s="27"/>
      <c r="C229" s="27"/>
      <c r="D229" s="27"/>
      <c r="E229" s="28"/>
      <c r="F229" s="29"/>
      <c r="G229" s="28"/>
      <c r="H229" s="30"/>
      <c r="I229" s="31"/>
      <c r="J229" s="28"/>
      <c r="K229" s="27"/>
      <c r="L229" s="8"/>
      <c r="M229" s="8"/>
      <c r="N229" s="8"/>
      <c r="O229" s="8"/>
      <c r="P229" s="8"/>
      <c r="Q229" s="8"/>
      <c r="R229" s="8"/>
      <c r="S229" s="8"/>
      <c r="T229" s="8"/>
      <c r="U229" s="8"/>
      <c r="V229" s="8"/>
      <c r="W229" s="8"/>
      <c r="X229" s="8"/>
      <c r="Y229" s="8"/>
      <c r="Z229" s="8"/>
    </row>
    <row r="230" ht="16.5" customHeight="1">
      <c r="A230" s="8"/>
      <c r="B230" s="27"/>
      <c r="C230" s="27"/>
      <c r="D230" s="27"/>
      <c r="E230" s="28"/>
      <c r="F230" s="29"/>
      <c r="G230" s="28"/>
      <c r="H230" s="30"/>
      <c r="I230" s="31"/>
      <c r="J230" s="28"/>
      <c r="K230" s="27"/>
      <c r="L230" s="8"/>
      <c r="M230" s="8"/>
      <c r="N230" s="8"/>
      <c r="O230" s="8"/>
      <c r="P230" s="8"/>
      <c r="Q230" s="8"/>
      <c r="R230" s="8"/>
      <c r="S230" s="8"/>
      <c r="T230" s="8"/>
      <c r="U230" s="8"/>
      <c r="V230" s="8"/>
      <c r="W230" s="8"/>
      <c r="X230" s="8"/>
      <c r="Y230" s="8"/>
      <c r="Z230" s="8"/>
    </row>
    <row r="231" ht="16.5" customHeight="1">
      <c r="A231" s="8"/>
      <c r="B231" s="27"/>
      <c r="C231" s="27"/>
      <c r="D231" s="27"/>
      <c r="E231" s="28"/>
      <c r="F231" s="29"/>
      <c r="G231" s="28"/>
      <c r="H231" s="30"/>
      <c r="I231" s="31"/>
      <c r="J231" s="28"/>
      <c r="K231" s="27"/>
      <c r="L231" s="8"/>
      <c r="M231" s="8"/>
      <c r="N231" s="8"/>
      <c r="O231" s="8"/>
      <c r="P231" s="8"/>
      <c r="Q231" s="8"/>
      <c r="R231" s="8"/>
      <c r="S231" s="8"/>
      <c r="T231" s="8"/>
      <c r="U231" s="8"/>
      <c r="V231" s="8"/>
      <c r="W231" s="8"/>
      <c r="X231" s="8"/>
      <c r="Y231" s="8"/>
      <c r="Z231" s="8"/>
    </row>
    <row r="232" ht="16.5" customHeight="1">
      <c r="A232" s="8"/>
      <c r="B232" s="27"/>
      <c r="C232" s="27"/>
      <c r="D232" s="27"/>
      <c r="E232" s="28"/>
      <c r="F232" s="29"/>
      <c r="G232" s="28"/>
      <c r="H232" s="30"/>
      <c r="I232" s="31"/>
      <c r="J232" s="28"/>
      <c r="K232" s="27"/>
      <c r="L232" s="8"/>
      <c r="M232" s="8"/>
      <c r="N232" s="8"/>
      <c r="O232" s="8"/>
      <c r="P232" s="8"/>
      <c r="Q232" s="8"/>
      <c r="R232" s="8"/>
      <c r="S232" s="8"/>
      <c r="T232" s="8"/>
      <c r="U232" s="8"/>
      <c r="V232" s="8"/>
      <c r="W232" s="8"/>
      <c r="X232" s="8"/>
      <c r="Y232" s="8"/>
      <c r="Z232" s="8"/>
    </row>
    <row r="233" ht="16.5" customHeight="1">
      <c r="A233" s="8"/>
      <c r="B233" s="27"/>
      <c r="C233" s="27"/>
      <c r="D233" s="27"/>
      <c r="E233" s="28"/>
      <c r="F233" s="29"/>
      <c r="G233" s="28"/>
      <c r="H233" s="30"/>
      <c r="I233" s="31"/>
      <c r="J233" s="28"/>
      <c r="K233" s="27"/>
      <c r="L233" s="8"/>
      <c r="M233" s="8"/>
      <c r="N233" s="8"/>
      <c r="O233" s="8"/>
      <c r="P233" s="8"/>
      <c r="Q233" s="8"/>
      <c r="R233" s="8"/>
      <c r="S233" s="8"/>
      <c r="T233" s="8"/>
      <c r="U233" s="8"/>
      <c r="V233" s="8"/>
      <c r="W233" s="8"/>
      <c r="X233" s="8"/>
      <c r="Y233" s="8"/>
      <c r="Z233" s="8"/>
    </row>
    <row r="234" ht="16.5" customHeight="1">
      <c r="A234" s="8"/>
      <c r="B234" s="27"/>
      <c r="C234" s="27"/>
      <c r="D234" s="27"/>
      <c r="E234" s="28"/>
      <c r="F234" s="29"/>
      <c r="G234" s="28"/>
      <c r="H234" s="30"/>
      <c r="I234" s="31"/>
      <c r="J234" s="28"/>
      <c r="K234" s="27"/>
      <c r="L234" s="8"/>
      <c r="M234" s="8"/>
      <c r="N234" s="8"/>
      <c r="O234" s="8"/>
      <c r="P234" s="8"/>
      <c r="Q234" s="8"/>
      <c r="R234" s="8"/>
      <c r="S234" s="8"/>
      <c r="T234" s="8"/>
      <c r="U234" s="8"/>
      <c r="V234" s="8"/>
      <c r="W234" s="8"/>
      <c r="X234" s="8"/>
      <c r="Y234" s="8"/>
      <c r="Z234" s="8"/>
    </row>
    <row r="235" ht="16.5" customHeight="1">
      <c r="A235" s="8"/>
      <c r="B235" s="27"/>
      <c r="C235" s="27"/>
      <c r="D235" s="27"/>
      <c r="E235" s="28"/>
      <c r="F235" s="29"/>
      <c r="G235" s="28"/>
      <c r="H235" s="30"/>
      <c r="I235" s="31"/>
      <c r="J235" s="28"/>
      <c r="K235" s="27"/>
      <c r="L235" s="8"/>
      <c r="M235" s="8"/>
      <c r="N235" s="8"/>
      <c r="O235" s="8"/>
      <c r="P235" s="8"/>
      <c r="Q235" s="8"/>
      <c r="R235" s="8"/>
      <c r="S235" s="8"/>
      <c r="T235" s="8"/>
      <c r="U235" s="8"/>
      <c r="V235" s="8"/>
      <c r="W235" s="8"/>
      <c r="X235" s="8"/>
      <c r="Y235" s="8"/>
      <c r="Z235" s="8"/>
    </row>
    <row r="236" ht="16.5" customHeight="1">
      <c r="A236" s="8"/>
      <c r="B236" s="27"/>
      <c r="C236" s="27"/>
      <c r="D236" s="27"/>
      <c r="E236" s="28"/>
      <c r="F236" s="29"/>
      <c r="G236" s="28"/>
      <c r="H236" s="30"/>
      <c r="I236" s="31"/>
      <c r="J236" s="28"/>
      <c r="K236" s="27"/>
      <c r="L236" s="8"/>
      <c r="M236" s="8"/>
      <c r="N236" s="8"/>
      <c r="O236" s="8"/>
      <c r="P236" s="8"/>
      <c r="Q236" s="8"/>
      <c r="R236" s="8"/>
      <c r="S236" s="8"/>
      <c r="T236" s="8"/>
      <c r="U236" s="8"/>
      <c r="V236" s="8"/>
      <c r="W236" s="8"/>
      <c r="X236" s="8"/>
      <c r="Y236" s="8"/>
      <c r="Z236" s="8"/>
    </row>
    <row r="237" ht="16.5" customHeight="1">
      <c r="A237" s="8"/>
      <c r="B237" s="27"/>
      <c r="C237" s="27"/>
      <c r="D237" s="27"/>
      <c r="E237" s="28"/>
      <c r="F237" s="29"/>
      <c r="G237" s="28"/>
      <c r="H237" s="30"/>
      <c r="I237" s="31"/>
      <c r="J237" s="28"/>
      <c r="K237" s="27"/>
      <c r="L237" s="8"/>
      <c r="M237" s="8"/>
      <c r="N237" s="8"/>
      <c r="O237" s="8"/>
      <c r="P237" s="8"/>
      <c r="Q237" s="8"/>
      <c r="R237" s="8"/>
      <c r="S237" s="8"/>
      <c r="T237" s="8"/>
      <c r="U237" s="8"/>
      <c r="V237" s="8"/>
      <c r="W237" s="8"/>
      <c r="X237" s="8"/>
      <c r="Y237" s="8"/>
      <c r="Z237" s="8"/>
    </row>
    <row r="238" ht="16.5" customHeight="1">
      <c r="A238" s="8"/>
      <c r="B238" s="27"/>
      <c r="C238" s="27"/>
      <c r="D238" s="27"/>
      <c r="E238" s="28"/>
      <c r="F238" s="29"/>
      <c r="G238" s="28"/>
      <c r="H238" s="30"/>
      <c r="I238" s="31"/>
      <c r="J238" s="28"/>
      <c r="K238" s="27"/>
      <c r="L238" s="8"/>
      <c r="M238" s="8"/>
      <c r="N238" s="8"/>
      <c r="O238" s="8"/>
      <c r="P238" s="8"/>
      <c r="Q238" s="8"/>
      <c r="R238" s="8"/>
      <c r="S238" s="8"/>
      <c r="T238" s="8"/>
      <c r="U238" s="8"/>
      <c r="V238" s="8"/>
      <c r="W238" s="8"/>
      <c r="X238" s="8"/>
      <c r="Y238" s="8"/>
      <c r="Z238" s="8"/>
    </row>
    <row r="239" ht="16.5" customHeight="1">
      <c r="A239" s="8"/>
      <c r="B239" s="27"/>
      <c r="C239" s="27"/>
      <c r="D239" s="27"/>
      <c r="E239" s="28"/>
      <c r="F239" s="29"/>
      <c r="G239" s="28"/>
      <c r="H239" s="30"/>
      <c r="I239" s="31"/>
      <c r="J239" s="28"/>
      <c r="K239" s="27"/>
      <c r="L239" s="8"/>
      <c r="M239" s="8"/>
      <c r="N239" s="8"/>
      <c r="O239" s="8"/>
      <c r="P239" s="8"/>
      <c r="Q239" s="8"/>
      <c r="R239" s="8"/>
      <c r="S239" s="8"/>
      <c r="T239" s="8"/>
      <c r="U239" s="8"/>
      <c r="V239" s="8"/>
      <c r="W239" s="8"/>
      <c r="X239" s="8"/>
      <c r="Y239" s="8"/>
      <c r="Z239" s="8"/>
    </row>
    <row r="240" ht="16.5" customHeight="1">
      <c r="A240" s="8"/>
      <c r="B240" s="27"/>
      <c r="C240" s="27"/>
      <c r="D240" s="27"/>
      <c r="E240" s="28"/>
      <c r="F240" s="29"/>
      <c r="G240" s="28"/>
      <c r="H240" s="30"/>
      <c r="I240" s="31"/>
      <c r="J240" s="28"/>
      <c r="K240" s="27"/>
      <c r="L240" s="8"/>
      <c r="M240" s="8"/>
      <c r="N240" s="8"/>
      <c r="O240" s="8"/>
      <c r="P240" s="8"/>
      <c r="Q240" s="8"/>
      <c r="R240" s="8"/>
      <c r="S240" s="8"/>
      <c r="T240" s="8"/>
      <c r="U240" s="8"/>
      <c r="V240" s="8"/>
      <c r="W240" s="8"/>
      <c r="X240" s="8"/>
      <c r="Y240" s="8"/>
      <c r="Z240" s="8"/>
    </row>
    <row r="241" ht="16.5" customHeight="1">
      <c r="A241" s="8"/>
      <c r="B241" s="27"/>
      <c r="C241" s="27"/>
      <c r="D241" s="27"/>
      <c r="E241" s="28"/>
      <c r="F241" s="29"/>
      <c r="G241" s="28"/>
      <c r="H241" s="30"/>
      <c r="I241" s="31"/>
      <c r="J241" s="28"/>
      <c r="K241" s="27"/>
      <c r="L241" s="8"/>
      <c r="M241" s="8"/>
      <c r="N241" s="8"/>
      <c r="O241" s="8"/>
      <c r="P241" s="8"/>
      <c r="Q241" s="8"/>
      <c r="R241" s="8"/>
      <c r="S241" s="8"/>
      <c r="T241" s="8"/>
      <c r="U241" s="8"/>
      <c r="V241" s="8"/>
      <c r="W241" s="8"/>
      <c r="X241" s="8"/>
      <c r="Y241" s="8"/>
      <c r="Z241" s="8"/>
    </row>
    <row r="242" ht="16.5" customHeight="1">
      <c r="A242" s="8"/>
      <c r="B242" s="27"/>
      <c r="C242" s="27"/>
      <c r="D242" s="27"/>
      <c r="E242" s="28"/>
      <c r="F242" s="29"/>
      <c r="G242" s="28"/>
      <c r="H242" s="30"/>
      <c r="I242" s="31"/>
      <c r="J242" s="28"/>
      <c r="K242" s="27"/>
      <c r="L242" s="8"/>
      <c r="M242" s="8"/>
      <c r="N242" s="8"/>
      <c r="O242" s="8"/>
      <c r="P242" s="8"/>
      <c r="Q242" s="8"/>
      <c r="R242" s="8"/>
      <c r="S242" s="8"/>
      <c r="T242" s="8"/>
      <c r="U242" s="8"/>
      <c r="V242" s="8"/>
      <c r="W242" s="8"/>
      <c r="X242" s="8"/>
      <c r="Y242" s="8"/>
      <c r="Z242" s="8"/>
    </row>
    <row r="243" ht="16.5" customHeight="1">
      <c r="A243" s="8"/>
      <c r="B243" s="27"/>
      <c r="C243" s="27"/>
      <c r="D243" s="27"/>
      <c r="E243" s="28"/>
      <c r="F243" s="29"/>
      <c r="G243" s="28"/>
      <c r="H243" s="30"/>
      <c r="I243" s="31"/>
      <c r="J243" s="28"/>
      <c r="K243" s="27"/>
      <c r="L243" s="8"/>
      <c r="M243" s="8"/>
      <c r="N243" s="8"/>
      <c r="O243" s="8"/>
      <c r="P243" s="8"/>
      <c r="Q243" s="8"/>
      <c r="R243" s="8"/>
      <c r="S243" s="8"/>
      <c r="T243" s="8"/>
      <c r="U243" s="8"/>
      <c r="V243" s="8"/>
      <c r="W243" s="8"/>
      <c r="X243" s="8"/>
      <c r="Y243" s="8"/>
      <c r="Z243" s="8"/>
    </row>
    <row r="244" ht="16.5" customHeight="1">
      <c r="A244" s="8"/>
      <c r="B244" s="27"/>
      <c r="C244" s="27"/>
      <c r="D244" s="27"/>
      <c r="E244" s="28"/>
      <c r="F244" s="29"/>
      <c r="G244" s="28"/>
      <c r="H244" s="30"/>
      <c r="I244" s="31"/>
      <c r="J244" s="28"/>
      <c r="K244" s="27"/>
      <c r="L244" s="8"/>
      <c r="M244" s="8"/>
      <c r="N244" s="8"/>
      <c r="O244" s="8"/>
      <c r="P244" s="8"/>
      <c r="Q244" s="8"/>
      <c r="R244" s="8"/>
      <c r="S244" s="8"/>
      <c r="T244" s="8"/>
      <c r="U244" s="8"/>
      <c r="V244" s="8"/>
      <c r="W244" s="8"/>
      <c r="X244" s="8"/>
      <c r="Y244" s="8"/>
      <c r="Z244" s="8"/>
    </row>
    <row r="245" ht="16.5" customHeight="1">
      <c r="A245" s="8"/>
      <c r="B245" s="27"/>
      <c r="C245" s="27"/>
      <c r="D245" s="27"/>
      <c r="E245" s="28"/>
      <c r="F245" s="29"/>
      <c r="G245" s="28"/>
      <c r="H245" s="30"/>
      <c r="I245" s="31"/>
      <c r="J245" s="28"/>
      <c r="K245" s="27"/>
      <c r="L245" s="8"/>
      <c r="M245" s="8"/>
      <c r="N245" s="8"/>
      <c r="O245" s="8"/>
      <c r="P245" s="8"/>
      <c r="Q245" s="8"/>
      <c r="R245" s="8"/>
      <c r="S245" s="8"/>
      <c r="T245" s="8"/>
      <c r="U245" s="8"/>
      <c r="V245" s="8"/>
      <c r="W245" s="8"/>
      <c r="X245" s="8"/>
      <c r="Y245" s="8"/>
      <c r="Z245" s="8"/>
    </row>
    <row r="246" ht="16.5" customHeight="1">
      <c r="A246" s="8"/>
      <c r="B246" s="27"/>
      <c r="C246" s="27"/>
      <c r="D246" s="27"/>
      <c r="E246" s="28"/>
      <c r="F246" s="29"/>
      <c r="G246" s="28"/>
      <c r="H246" s="30"/>
      <c r="I246" s="31"/>
      <c r="J246" s="28"/>
      <c r="K246" s="27"/>
      <c r="L246" s="8"/>
      <c r="M246" s="8"/>
      <c r="N246" s="8"/>
      <c r="O246" s="8"/>
      <c r="P246" s="8"/>
      <c r="Q246" s="8"/>
      <c r="R246" s="8"/>
      <c r="S246" s="8"/>
      <c r="T246" s="8"/>
      <c r="U246" s="8"/>
      <c r="V246" s="8"/>
      <c r="W246" s="8"/>
      <c r="X246" s="8"/>
      <c r="Y246" s="8"/>
      <c r="Z246" s="8"/>
    </row>
    <row r="247" ht="16.5" customHeight="1">
      <c r="A247" s="8"/>
      <c r="B247" s="27"/>
      <c r="C247" s="27"/>
      <c r="D247" s="27"/>
      <c r="E247" s="28"/>
      <c r="F247" s="29"/>
      <c r="G247" s="28"/>
      <c r="H247" s="30"/>
      <c r="I247" s="31"/>
      <c r="J247" s="28"/>
      <c r="K247" s="27"/>
      <c r="L247" s="8"/>
      <c r="M247" s="8"/>
      <c r="N247" s="8"/>
      <c r="O247" s="8"/>
      <c r="P247" s="8"/>
      <c r="Q247" s="8"/>
      <c r="R247" s="8"/>
      <c r="S247" s="8"/>
      <c r="T247" s="8"/>
      <c r="U247" s="8"/>
      <c r="V247" s="8"/>
      <c r="W247" s="8"/>
      <c r="X247" s="8"/>
      <c r="Y247" s="8"/>
      <c r="Z247" s="8"/>
    </row>
    <row r="248" ht="16.5" customHeight="1">
      <c r="A248" s="8"/>
      <c r="B248" s="27"/>
      <c r="C248" s="27"/>
      <c r="D248" s="27"/>
      <c r="E248" s="28"/>
      <c r="F248" s="29"/>
      <c r="G248" s="28"/>
      <c r="H248" s="30"/>
      <c r="I248" s="31"/>
      <c r="J248" s="28"/>
      <c r="K248" s="27"/>
      <c r="L248" s="8"/>
      <c r="M248" s="8"/>
      <c r="N248" s="8"/>
      <c r="O248" s="8"/>
      <c r="P248" s="8"/>
      <c r="Q248" s="8"/>
      <c r="R248" s="8"/>
      <c r="S248" s="8"/>
      <c r="T248" s="8"/>
      <c r="U248" s="8"/>
      <c r="V248" s="8"/>
      <c r="W248" s="8"/>
      <c r="X248" s="8"/>
      <c r="Y248" s="8"/>
      <c r="Z248" s="8"/>
    </row>
    <row r="249" ht="16.5" customHeight="1">
      <c r="A249" s="8"/>
      <c r="B249" s="27"/>
      <c r="C249" s="27"/>
      <c r="D249" s="27"/>
      <c r="E249" s="28"/>
      <c r="F249" s="29"/>
      <c r="G249" s="28"/>
      <c r="H249" s="30"/>
      <c r="I249" s="31"/>
      <c r="J249" s="28"/>
      <c r="K249" s="27"/>
      <c r="L249" s="8"/>
      <c r="M249" s="8"/>
      <c r="N249" s="8"/>
      <c r="O249" s="8"/>
      <c r="P249" s="8"/>
      <c r="Q249" s="8"/>
      <c r="R249" s="8"/>
      <c r="S249" s="8"/>
      <c r="T249" s="8"/>
      <c r="U249" s="8"/>
      <c r="V249" s="8"/>
      <c r="W249" s="8"/>
      <c r="X249" s="8"/>
      <c r="Y249" s="8"/>
      <c r="Z249" s="8"/>
    </row>
    <row r="250" ht="16.5" customHeight="1">
      <c r="A250" s="8"/>
      <c r="B250" s="27"/>
      <c r="C250" s="27"/>
      <c r="D250" s="27"/>
      <c r="E250" s="28"/>
      <c r="F250" s="29"/>
      <c r="G250" s="28"/>
      <c r="H250" s="30"/>
      <c r="I250" s="31"/>
      <c r="J250" s="28"/>
      <c r="K250" s="27"/>
      <c r="L250" s="8"/>
      <c r="M250" s="8"/>
      <c r="N250" s="8"/>
      <c r="O250" s="8"/>
      <c r="P250" s="8"/>
      <c r="Q250" s="8"/>
      <c r="R250" s="8"/>
      <c r="S250" s="8"/>
      <c r="T250" s="8"/>
      <c r="U250" s="8"/>
      <c r="V250" s="8"/>
      <c r="W250" s="8"/>
      <c r="X250" s="8"/>
      <c r="Y250" s="8"/>
      <c r="Z250" s="8"/>
    </row>
    <row r="251" ht="16.5" customHeight="1">
      <c r="A251" s="8"/>
      <c r="B251" s="27"/>
      <c r="C251" s="27"/>
      <c r="D251" s="27"/>
      <c r="E251" s="28"/>
      <c r="F251" s="29"/>
      <c r="G251" s="28"/>
      <c r="H251" s="30"/>
      <c r="I251" s="31"/>
      <c r="J251" s="28"/>
      <c r="K251" s="27"/>
      <c r="L251" s="8"/>
      <c r="M251" s="8"/>
      <c r="N251" s="8"/>
      <c r="O251" s="8"/>
      <c r="P251" s="8"/>
      <c r="Q251" s="8"/>
      <c r="R251" s="8"/>
      <c r="S251" s="8"/>
      <c r="T251" s="8"/>
      <c r="U251" s="8"/>
      <c r="V251" s="8"/>
      <c r="W251" s="8"/>
      <c r="X251" s="8"/>
      <c r="Y251" s="8"/>
      <c r="Z251" s="8"/>
    </row>
    <row r="252" ht="16.5" customHeight="1">
      <c r="A252" s="8"/>
      <c r="B252" s="27"/>
      <c r="C252" s="27"/>
      <c r="D252" s="27"/>
      <c r="E252" s="28"/>
      <c r="F252" s="29"/>
      <c r="G252" s="28"/>
      <c r="H252" s="30"/>
      <c r="I252" s="31"/>
      <c r="J252" s="28"/>
      <c r="K252" s="27"/>
      <c r="L252" s="8"/>
      <c r="M252" s="8"/>
      <c r="N252" s="8"/>
      <c r="O252" s="8"/>
      <c r="P252" s="8"/>
      <c r="Q252" s="8"/>
      <c r="R252" s="8"/>
      <c r="S252" s="8"/>
      <c r="T252" s="8"/>
      <c r="U252" s="8"/>
      <c r="V252" s="8"/>
      <c r="W252" s="8"/>
      <c r="X252" s="8"/>
      <c r="Y252" s="8"/>
      <c r="Z252" s="8"/>
    </row>
    <row r="253" ht="16.5" customHeight="1">
      <c r="A253" s="8"/>
      <c r="B253" s="27"/>
      <c r="C253" s="27"/>
      <c r="D253" s="27"/>
      <c r="E253" s="28"/>
      <c r="F253" s="29"/>
      <c r="G253" s="28"/>
      <c r="H253" s="30"/>
      <c r="I253" s="31"/>
      <c r="J253" s="28"/>
      <c r="K253" s="27"/>
      <c r="L253" s="8"/>
      <c r="M253" s="8"/>
      <c r="N253" s="8"/>
      <c r="O253" s="8"/>
      <c r="P253" s="8"/>
      <c r="Q253" s="8"/>
      <c r="R253" s="8"/>
      <c r="S253" s="8"/>
      <c r="T253" s="8"/>
      <c r="U253" s="8"/>
      <c r="V253" s="8"/>
      <c r="W253" s="8"/>
      <c r="X253" s="8"/>
      <c r="Y253" s="8"/>
      <c r="Z253" s="8"/>
    </row>
    <row r="254" ht="16.5" customHeight="1">
      <c r="A254" s="8"/>
      <c r="B254" s="27"/>
      <c r="C254" s="27"/>
      <c r="D254" s="27"/>
      <c r="E254" s="28"/>
      <c r="F254" s="29"/>
      <c r="G254" s="28"/>
      <c r="H254" s="30"/>
      <c r="I254" s="31"/>
      <c r="J254" s="28"/>
      <c r="K254" s="27"/>
      <c r="L254" s="8"/>
      <c r="M254" s="8"/>
      <c r="N254" s="8"/>
      <c r="O254" s="8"/>
      <c r="P254" s="8"/>
      <c r="Q254" s="8"/>
      <c r="R254" s="8"/>
      <c r="S254" s="8"/>
      <c r="T254" s="8"/>
      <c r="U254" s="8"/>
      <c r="V254" s="8"/>
      <c r="W254" s="8"/>
      <c r="X254" s="8"/>
      <c r="Y254" s="8"/>
      <c r="Z254" s="8"/>
    </row>
    <row r="255" ht="16.5" customHeight="1">
      <c r="A255" s="8"/>
      <c r="B255" s="27"/>
      <c r="C255" s="27"/>
      <c r="D255" s="27"/>
      <c r="E255" s="28"/>
      <c r="F255" s="29"/>
      <c r="G255" s="28"/>
      <c r="H255" s="30"/>
      <c r="I255" s="31"/>
      <c r="J255" s="28"/>
      <c r="K255" s="27"/>
      <c r="L255" s="8"/>
      <c r="M255" s="8"/>
      <c r="N255" s="8"/>
      <c r="O255" s="8"/>
      <c r="P255" s="8"/>
      <c r="Q255" s="8"/>
      <c r="R255" s="8"/>
      <c r="S255" s="8"/>
      <c r="T255" s="8"/>
      <c r="U255" s="8"/>
      <c r="V255" s="8"/>
      <c r="W255" s="8"/>
      <c r="X255" s="8"/>
      <c r="Y255" s="8"/>
      <c r="Z255" s="8"/>
    </row>
    <row r="256" ht="16.5" customHeight="1">
      <c r="A256" s="8"/>
      <c r="B256" s="27"/>
      <c r="C256" s="27"/>
      <c r="D256" s="27"/>
      <c r="E256" s="28"/>
      <c r="F256" s="29"/>
      <c r="G256" s="28"/>
      <c r="H256" s="30"/>
      <c r="I256" s="31"/>
      <c r="J256" s="28"/>
      <c r="K256" s="27"/>
      <c r="L256" s="8"/>
      <c r="M256" s="8"/>
      <c r="N256" s="8"/>
      <c r="O256" s="8"/>
      <c r="P256" s="8"/>
      <c r="Q256" s="8"/>
      <c r="R256" s="8"/>
      <c r="S256" s="8"/>
      <c r="T256" s="8"/>
      <c r="U256" s="8"/>
      <c r="V256" s="8"/>
      <c r="W256" s="8"/>
      <c r="X256" s="8"/>
      <c r="Y256" s="8"/>
      <c r="Z256" s="8"/>
    </row>
    <row r="257" ht="16.5" customHeight="1">
      <c r="A257" s="8"/>
      <c r="B257" s="27"/>
      <c r="C257" s="27"/>
      <c r="D257" s="27"/>
      <c r="E257" s="28"/>
      <c r="F257" s="29"/>
      <c r="G257" s="28"/>
      <c r="H257" s="30"/>
      <c r="I257" s="31"/>
      <c r="J257" s="28"/>
      <c r="K257" s="27"/>
      <c r="L257" s="8"/>
      <c r="M257" s="8"/>
      <c r="N257" s="8"/>
      <c r="O257" s="8"/>
      <c r="P257" s="8"/>
      <c r="Q257" s="8"/>
      <c r="R257" s="8"/>
      <c r="S257" s="8"/>
      <c r="T257" s="8"/>
      <c r="U257" s="8"/>
      <c r="V257" s="8"/>
      <c r="W257" s="8"/>
      <c r="X257" s="8"/>
      <c r="Y257" s="8"/>
      <c r="Z257" s="8"/>
    </row>
    <row r="258" ht="16.5" customHeight="1">
      <c r="A258" s="8"/>
      <c r="B258" s="27"/>
      <c r="C258" s="27"/>
      <c r="D258" s="27"/>
      <c r="E258" s="28"/>
      <c r="F258" s="29"/>
      <c r="G258" s="28"/>
      <c r="H258" s="30"/>
      <c r="I258" s="31"/>
      <c r="J258" s="28"/>
      <c r="K258" s="27"/>
      <c r="L258" s="8"/>
      <c r="M258" s="8"/>
      <c r="N258" s="8"/>
      <c r="O258" s="8"/>
      <c r="P258" s="8"/>
      <c r="Q258" s="8"/>
      <c r="R258" s="8"/>
      <c r="S258" s="8"/>
      <c r="T258" s="8"/>
      <c r="U258" s="8"/>
      <c r="V258" s="8"/>
      <c r="W258" s="8"/>
      <c r="X258" s="8"/>
      <c r="Y258" s="8"/>
      <c r="Z258" s="8"/>
    </row>
    <row r="259" ht="16.5" customHeight="1">
      <c r="A259" s="8"/>
      <c r="B259" s="27"/>
      <c r="C259" s="27"/>
      <c r="D259" s="27"/>
      <c r="E259" s="28"/>
      <c r="F259" s="29"/>
      <c r="G259" s="28"/>
      <c r="H259" s="30"/>
      <c r="I259" s="31"/>
      <c r="J259" s="28"/>
      <c r="K259" s="27"/>
      <c r="L259" s="8"/>
      <c r="M259" s="8"/>
      <c r="N259" s="8"/>
      <c r="O259" s="8"/>
      <c r="P259" s="8"/>
      <c r="Q259" s="8"/>
      <c r="R259" s="8"/>
      <c r="S259" s="8"/>
      <c r="T259" s="8"/>
      <c r="U259" s="8"/>
      <c r="V259" s="8"/>
      <c r="W259" s="8"/>
      <c r="X259" s="8"/>
      <c r="Y259" s="8"/>
      <c r="Z259" s="8"/>
    </row>
    <row r="260" ht="16.5" customHeight="1">
      <c r="A260" s="8"/>
      <c r="B260" s="27"/>
      <c r="C260" s="27"/>
      <c r="D260" s="27"/>
      <c r="E260" s="28"/>
      <c r="F260" s="29"/>
      <c r="G260" s="28"/>
      <c r="H260" s="30"/>
      <c r="I260" s="31"/>
      <c r="J260" s="28"/>
      <c r="K260" s="27"/>
      <c r="L260" s="8"/>
      <c r="M260" s="8"/>
      <c r="N260" s="8"/>
      <c r="O260" s="8"/>
      <c r="P260" s="8"/>
      <c r="Q260" s="8"/>
      <c r="R260" s="8"/>
      <c r="S260" s="8"/>
      <c r="T260" s="8"/>
      <c r="U260" s="8"/>
      <c r="V260" s="8"/>
      <c r="W260" s="8"/>
      <c r="X260" s="8"/>
      <c r="Y260" s="8"/>
      <c r="Z260" s="8"/>
    </row>
    <row r="261" ht="16.5" customHeight="1">
      <c r="A261" s="8"/>
      <c r="B261" s="27"/>
      <c r="C261" s="27"/>
      <c r="D261" s="27"/>
      <c r="E261" s="28"/>
      <c r="F261" s="29"/>
      <c r="G261" s="28"/>
      <c r="H261" s="30"/>
      <c r="I261" s="31"/>
      <c r="J261" s="28"/>
      <c r="K261" s="27"/>
      <c r="L261" s="8"/>
      <c r="M261" s="8"/>
      <c r="N261" s="8"/>
      <c r="O261" s="8"/>
      <c r="P261" s="8"/>
      <c r="Q261" s="8"/>
      <c r="R261" s="8"/>
      <c r="S261" s="8"/>
      <c r="T261" s="8"/>
      <c r="U261" s="8"/>
      <c r="V261" s="8"/>
      <c r="W261" s="8"/>
      <c r="X261" s="8"/>
      <c r="Y261" s="8"/>
      <c r="Z261" s="8"/>
    </row>
    <row r="262" ht="16.5" customHeight="1">
      <c r="A262" s="8"/>
      <c r="B262" s="27"/>
      <c r="C262" s="27"/>
      <c r="D262" s="27"/>
      <c r="E262" s="28"/>
      <c r="F262" s="29"/>
      <c r="G262" s="28"/>
      <c r="H262" s="30"/>
      <c r="I262" s="31"/>
      <c r="J262" s="28"/>
      <c r="K262" s="27"/>
      <c r="L262" s="8"/>
      <c r="M262" s="8"/>
      <c r="N262" s="8"/>
      <c r="O262" s="8"/>
      <c r="P262" s="8"/>
      <c r="Q262" s="8"/>
      <c r="R262" s="8"/>
      <c r="S262" s="8"/>
      <c r="T262" s="8"/>
      <c r="U262" s="8"/>
      <c r="V262" s="8"/>
      <c r="W262" s="8"/>
      <c r="X262" s="8"/>
      <c r="Y262" s="8"/>
      <c r="Z262" s="8"/>
    </row>
    <row r="263" ht="16.5" customHeight="1">
      <c r="A263" s="8"/>
      <c r="B263" s="27"/>
      <c r="C263" s="27"/>
      <c r="D263" s="27"/>
      <c r="E263" s="28"/>
      <c r="F263" s="29"/>
      <c r="G263" s="28"/>
      <c r="H263" s="30"/>
      <c r="I263" s="31"/>
      <c r="J263" s="28"/>
      <c r="K263" s="27"/>
      <c r="L263" s="8"/>
      <c r="M263" s="8"/>
      <c r="N263" s="8"/>
      <c r="O263" s="8"/>
      <c r="P263" s="8"/>
      <c r="Q263" s="8"/>
      <c r="R263" s="8"/>
      <c r="S263" s="8"/>
      <c r="T263" s="8"/>
      <c r="U263" s="8"/>
      <c r="V263" s="8"/>
      <c r="W263" s="8"/>
      <c r="X263" s="8"/>
      <c r="Y263" s="8"/>
      <c r="Z263" s="8"/>
    </row>
    <row r="264" ht="16.5" customHeight="1">
      <c r="A264" s="8"/>
      <c r="B264" s="27"/>
      <c r="C264" s="27"/>
      <c r="D264" s="27"/>
      <c r="E264" s="28"/>
      <c r="F264" s="29"/>
      <c r="G264" s="28"/>
      <c r="H264" s="30"/>
      <c r="I264" s="31"/>
      <c r="J264" s="28"/>
      <c r="K264" s="27"/>
      <c r="L264" s="8"/>
      <c r="M264" s="8"/>
      <c r="N264" s="8"/>
      <c r="O264" s="8"/>
      <c r="P264" s="8"/>
      <c r="Q264" s="8"/>
      <c r="R264" s="8"/>
      <c r="S264" s="8"/>
      <c r="T264" s="8"/>
      <c r="U264" s="8"/>
      <c r="V264" s="8"/>
      <c r="W264" s="8"/>
      <c r="X264" s="8"/>
      <c r="Y264" s="8"/>
      <c r="Z264" s="8"/>
    </row>
    <row r="265" ht="16.5" customHeight="1">
      <c r="A265" s="8"/>
      <c r="B265" s="27"/>
      <c r="C265" s="27"/>
      <c r="D265" s="27"/>
      <c r="E265" s="28"/>
      <c r="F265" s="29"/>
      <c r="G265" s="28"/>
      <c r="H265" s="30"/>
      <c r="I265" s="31"/>
      <c r="J265" s="28"/>
      <c r="K265" s="27"/>
      <c r="L265" s="8"/>
      <c r="M265" s="8"/>
      <c r="N265" s="8"/>
      <c r="O265" s="8"/>
      <c r="P265" s="8"/>
      <c r="Q265" s="8"/>
      <c r="R265" s="8"/>
      <c r="S265" s="8"/>
      <c r="T265" s="8"/>
      <c r="U265" s="8"/>
      <c r="V265" s="8"/>
      <c r="W265" s="8"/>
      <c r="X265" s="8"/>
      <c r="Y265" s="8"/>
      <c r="Z265" s="8"/>
    </row>
    <row r="266" ht="16.5" customHeight="1">
      <c r="A266" s="8"/>
      <c r="B266" s="27"/>
      <c r="C266" s="27"/>
      <c r="D266" s="27"/>
      <c r="E266" s="28"/>
      <c r="F266" s="29"/>
      <c r="G266" s="28"/>
      <c r="H266" s="30"/>
      <c r="I266" s="31"/>
      <c r="J266" s="28"/>
      <c r="K266" s="27"/>
      <c r="L266" s="8"/>
      <c r="M266" s="8"/>
      <c r="N266" s="8"/>
      <c r="O266" s="8"/>
      <c r="P266" s="8"/>
      <c r="Q266" s="8"/>
      <c r="R266" s="8"/>
      <c r="S266" s="8"/>
      <c r="T266" s="8"/>
      <c r="U266" s="8"/>
      <c r="V266" s="8"/>
      <c r="W266" s="8"/>
      <c r="X266" s="8"/>
      <c r="Y266" s="8"/>
      <c r="Z266" s="8"/>
    </row>
    <row r="267" ht="16.5" customHeight="1">
      <c r="A267" s="8"/>
      <c r="B267" s="27"/>
      <c r="C267" s="27"/>
      <c r="D267" s="27"/>
      <c r="E267" s="28"/>
      <c r="F267" s="29"/>
      <c r="G267" s="28"/>
      <c r="H267" s="30"/>
      <c r="I267" s="31"/>
      <c r="J267" s="28"/>
      <c r="K267" s="27"/>
      <c r="L267" s="8"/>
      <c r="M267" s="8"/>
      <c r="N267" s="8"/>
      <c r="O267" s="8"/>
      <c r="P267" s="8"/>
      <c r="Q267" s="8"/>
      <c r="R267" s="8"/>
      <c r="S267" s="8"/>
      <c r="T267" s="8"/>
      <c r="U267" s="8"/>
      <c r="V267" s="8"/>
      <c r="W267" s="8"/>
      <c r="X267" s="8"/>
      <c r="Y267" s="8"/>
      <c r="Z267" s="8"/>
    </row>
    <row r="268" ht="16.5" customHeight="1">
      <c r="A268" s="8"/>
      <c r="B268" s="27"/>
      <c r="C268" s="27"/>
      <c r="D268" s="27"/>
      <c r="E268" s="28"/>
      <c r="F268" s="29"/>
      <c r="G268" s="28"/>
      <c r="H268" s="30"/>
      <c r="I268" s="31"/>
      <c r="J268" s="28"/>
      <c r="K268" s="27"/>
      <c r="L268" s="8"/>
      <c r="M268" s="8"/>
      <c r="N268" s="8"/>
      <c r="O268" s="8"/>
      <c r="P268" s="8"/>
      <c r="Q268" s="8"/>
      <c r="R268" s="8"/>
      <c r="S268" s="8"/>
      <c r="T268" s="8"/>
      <c r="U268" s="8"/>
      <c r="V268" s="8"/>
      <c r="W268" s="8"/>
      <c r="X268" s="8"/>
      <c r="Y268" s="8"/>
      <c r="Z268" s="8"/>
    </row>
    <row r="269" ht="16.5" customHeight="1">
      <c r="A269" s="8"/>
      <c r="B269" s="27"/>
      <c r="C269" s="27"/>
      <c r="D269" s="27"/>
      <c r="E269" s="28"/>
      <c r="F269" s="29"/>
      <c r="G269" s="28"/>
      <c r="H269" s="30"/>
      <c r="I269" s="31"/>
      <c r="J269" s="28"/>
      <c r="K269" s="27"/>
      <c r="L269" s="8"/>
      <c r="M269" s="8"/>
      <c r="N269" s="8"/>
      <c r="O269" s="8"/>
      <c r="P269" s="8"/>
      <c r="Q269" s="8"/>
      <c r="R269" s="8"/>
      <c r="S269" s="8"/>
      <c r="T269" s="8"/>
      <c r="U269" s="8"/>
      <c r="V269" s="8"/>
      <c r="W269" s="8"/>
      <c r="X269" s="8"/>
      <c r="Y269" s="8"/>
      <c r="Z269" s="8"/>
    </row>
    <row r="270" ht="16.5" customHeight="1">
      <c r="A270" s="8"/>
      <c r="B270" s="27"/>
      <c r="C270" s="27"/>
      <c r="D270" s="27"/>
      <c r="E270" s="28"/>
      <c r="F270" s="29"/>
      <c r="G270" s="28"/>
      <c r="H270" s="30"/>
      <c r="I270" s="31"/>
      <c r="J270" s="28"/>
      <c r="K270" s="27"/>
      <c r="L270" s="8"/>
      <c r="M270" s="8"/>
      <c r="N270" s="8"/>
      <c r="O270" s="8"/>
      <c r="P270" s="8"/>
      <c r="Q270" s="8"/>
      <c r="R270" s="8"/>
      <c r="S270" s="8"/>
      <c r="T270" s="8"/>
      <c r="U270" s="8"/>
      <c r="V270" s="8"/>
      <c r="W270" s="8"/>
      <c r="X270" s="8"/>
      <c r="Y270" s="8"/>
      <c r="Z270" s="8"/>
    </row>
    <row r="271" ht="16.5" customHeight="1">
      <c r="A271" s="8"/>
      <c r="B271" s="27"/>
      <c r="C271" s="27"/>
      <c r="D271" s="27"/>
      <c r="E271" s="28"/>
      <c r="F271" s="29"/>
      <c r="G271" s="28"/>
      <c r="H271" s="30"/>
      <c r="I271" s="31"/>
      <c r="J271" s="28"/>
      <c r="K271" s="27"/>
      <c r="L271" s="8"/>
      <c r="M271" s="8"/>
      <c r="N271" s="8"/>
      <c r="O271" s="8"/>
      <c r="P271" s="8"/>
      <c r="Q271" s="8"/>
      <c r="R271" s="8"/>
      <c r="S271" s="8"/>
      <c r="T271" s="8"/>
      <c r="U271" s="8"/>
      <c r="V271" s="8"/>
      <c r="W271" s="8"/>
      <c r="X271" s="8"/>
      <c r="Y271" s="8"/>
      <c r="Z271" s="8"/>
    </row>
    <row r="272" ht="16.5" customHeight="1">
      <c r="A272" s="8"/>
      <c r="B272" s="27"/>
      <c r="C272" s="27"/>
      <c r="D272" s="27"/>
      <c r="E272" s="28"/>
      <c r="F272" s="29"/>
      <c r="G272" s="28"/>
      <c r="H272" s="30"/>
      <c r="I272" s="31"/>
      <c r="J272" s="28"/>
      <c r="K272" s="27"/>
      <c r="L272" s="8"/>
      <c r="M272" s="8"/>
      <c r="N272" s="8"/>
      <c r="O272" s="8"/>
      <c r="P272" s="8"/>
      <c r="Q272" s="8"/>
      <c r="R272" s="8"/>
      <c r="S272" s="8"/>
      <c r="T272" s="8"/>
      <c r="U272" s="8"/>
      <c r="V272" s="8"/>
      <c r="W272" s="8"/>
      <c r="X272" s="8"/>
      <c r="Y272" s="8"/>
      <c r="Z272" s="8"/>
    </row>
    <row r="273" ht="16.5" customHeight="1">
      <c r="A273" s="8"/>
      <c r="B273" s="27"/>
      <c r="C273" s="27"/>
      <c r="D273" s="27"/>
      <c r="E273" s="28"/>
      <c r="F273" s="29"/>
      <c r="G273" s="28"/>
      <c r="H273" s="30"/>
      <c r="I273" s="31"/>
      <c r="J273" s="28"/>
      <c r="K273" s="27"/>
      <c r="L273" s="8"/>
      <c r="M273" s="8"/>
      <c r="N273" s="8"/>
      <c r="O273" s="8"/>
      <c r="P273" s="8"/>
      <c r="Q273" s="8"/>
      <c r="R273" s="8"/>
      <c r="S273" s="8"/>
      <c r="T273" s="8"/>
      <c r="U273" s="8"/>
      <c r="V273" s="8"/>
      <c r="W273" s="8"/>
      <c r="X273" s="8"/>
      <c r="Y273" s="8"/>
      <c r="Z273" s="8"/>
    </row>
    <row r="274" ht="16.5" customHeight="1">
      <c r="A274" s="8"/>
      <c r="B274" s="27"/>
      <c r="C274" s="27"/>
      <c r="D274" s="27"/>
      <c r="E274" s="28"/>
      <c r="F274" s="29"/>
      <c r="G274" s="28"/>
      <c r="H274" s="30"/>
      <c r="I274" s="31"/>
      <c r="J274" s="28"/>
      <c r="K274" s="27"/>
      <c r="L274" s="8"/>
      <c r="M274" s="8"/>
      <c r="N274" s="8"/>
      <c r="O274" s="8"/>
      <c r="P274" s="8"/>
      <c r="Q274" s="8"/>
      <c r="R274" s="8"/>
      <c r="S274" s="8"/>
      <c r="T274" s="8"/>
      <c r="U274" s="8"/>
      <c r="V274" s="8"/>
      <c r="W274" s="8"/>
      <c r="X274" s="8"/>
      <c r="Y274" s="8"/>
      <c r="Z274" s="8"/>
    </row>
    <row r="275" ht="16.5" customHeight="1">
      <c r="A275" s="8"/>
      <c r="B275" s="27"/>
      <c r="C275" s="27"/>
      <c r="D275" s="27"/>
      <c r="E275" s="28"/>
      <c r="F275" s="29"/>
      <c r="G275" s="28"/>
      <c r="H275" s="30"/>
      <c r="I275" s="31"/>
      <c r="J275" s="28"/>
      <c r="K275" s="27"/>
      <c r="L275" s="8"/>
      <c r="M275" s="8"/>
      <c r="N275" s="8"/>
      <c r="O275" s="8"/>
      <c r="P275" s="8"/>
      <c r="Q275" s="8"/>
      <c r="R275" s="8"/>
      <c r="S275" s="8"/>
      <c r="T275" s="8"/>
      <c r="U275" s="8"/>
      <c r="V275" s="8"/>
      <c r="W275" s="8"/>
      <c r="X275" s="8"/>
      <c r="Y275" s="8"/>
      <c r="Z275" s="8"/>
    </row>
    <row r="276" ht="16.5" customHeight="1">
      <c r="A276" s="8"/>
      <c r="B276" s="27"/>
      <c r="C276" s="27"/>
      <c r="D276" s="27"/>
      <c r="E276" s="28"/>
      <c r="F276" s="29"/>
      <c r="G276" s="28"/>
      <c r="H276" s="30"/>
      <c r="I276" s="31"/>
      <c r="J276" s="28"/>
      <c r="K276" s="27"/>
      <c r="L276" s="8"/>
      <c r="M276" s="8"/>
      <c r="N276" s="8"/>
      <c r="O276" s="8"/>
      <c r="P276" s="8"/>
      <c r="Q276" s="8"/>
      <c r="R276" s="8"/>
      <c r="S276" s="8"/>
      <c r="T276" s="8"/>
      <c r="U276" s="8"/>
      <c r="V276" s="8"/>
      <c r="W276" s="8"/>
      <c r="X276" s="8"/>
      <c r="Y276" s="8"/>
      <c r="Z276" s="8"/>
    </row>
    <row r="277" ht="16.5" customHeight="1">
      <c r="A277" s="8"/>
      <c r="B277" s="27"/>
      <c r="C277" s="27"/>
      <c r="D277" s="27"/>
      <c r="E277" s="28"/>
      <c r="F277" s="29"/>
      <c r="G277" s="28"/>
      <c r="H277" s="30"/>
      <c r="I277" s="31"/>
      <c r="J277" s="28"/>
      <c r="K277" s="27"/>
      <c r="L277" s="8"/>
      <c r="M277" s="8"/>
      <c r="N277" s="8"/>
      <c r="O277" s="8"/>
      <c r="P277" s="8"/>
      <c r="Q277" s="8"/>
      <c r="R277" s="8"/>
      <c r="S277" s="8"/>
      <c r="T277" s="8"/>
      <c r="U277" s="8"/>
      <c r="V277" s="8"/>
      <c r="W277" s="8"/>
      <c r="X277" s="8"/>
      <c r="Y277" s="8"/>
      <c r="Z277" s="8"/>
    </row>
    <row r="278" ht="16.5" customHeight="1">
      <c r="A278" s="8"/>
      <c r="B278" s="27"/>
      <c r="C278" s="27"/>
      <c r="D278" s="27"/>
      <c r="E278" s="28"/>
      <c r="F278" s="29"/>
      <c r="G278" s="28"/>
      <c r="H278" s="30"/>
      <c r="I278" s="31"/>
      <c r="J278" s="28"/>
      <c r="K278" s="27"/>
      <c r="L278" s="8"/>
      <c r="M278" s="8"/>
      <c r="N278" s="8"/>
      <c r="O278" s="8"/>
      <c r="P278" s="8"/>
      <c r="Q278" s="8"/>
      <c r="R278" s="8"/>
      <c r="S278" s="8"/>
      <c r="T278" s="8"/>
      <c r="U278" s="8"/>
      <c r="V278" s="8"/>
      <c r="W278" s="8"/>
      <c r="X278" s="8"/>
      <c r="Y278" s="8"/>
      <c r="Z278" s="8"/>
    </row>
    <row r="279" ht="16.5" customHeight="1">
      <c r="A279" s="8"/>
      <c r="B279" s="27"/>
      <c r="C279" s="27"/>
      <c r="D279" s="27"/>
      <c r="E279" s="28"/>
      <c r="F279" s="29"/>
      <c r="G279" s="28"/>
      <c r="H279" s="30"/>
      <c r="I279" s="31"/>
      <c r="J279" s="28"/>
      <c r="K279" s="27"/>
      <c r="L279" s="8"/>
      <c r="M279" s="8"/>
      <c r="N279" s="8"/>
      <c r="O279" s="8"/>
      <c r="P279" s="8"/>
      <c r="Q279" s="8"/>
      <c r="R279" s="8"/>
      <c r="S279" s="8"/>
      <c r="T279" s="8"/>
      <c r="U279" s="8"/>
      <c r="V279" s="8"/>
      <c r="W279" s="8"/>
      <c r="X279" s="8"/>
      <c r="Y279" s="8"/>
      <c r="Z279" s="8"/>
    </row>
    <row r="280" ht="16.5" customHeight="1">
      <c r="A280" s="8"/>
      <c r="B280" s="27"/>
      <c r="C280" s="27"/>
      <c r="D280" s="27"/>
      <c r="E280" s="28"/>
      <c r="F280" s="29"/>
      <c r="G280" s="28"/>
      <c r="H280" s="30"/>
      <c r="I280" s="31"/>
      <c r="J280" s="28"/>
      <c r="K280" s="27"/>
      <c r="L280" s="8"/>
      <c r="M280" s="8"/>
      <c r="N280" s="8"/>
      <c r="O280" s="8"/>
      <c r="P280" s="8"/>
      <c r="Q280" s="8"/>
      <c r="R280" s="8"/>
      <c r="S280" s="8"/>
      <c r="T280" s="8"/>
      <c r="U280" s="8"/>
      <c r="V280" s="8"/>
      <c r="W280" s="8"/>
      <c r="X280" s="8"/>
      <c r="Y280" s="8"/>
      <c r="Z280" s="8"/>
    </row>
    <row r="281" ht="16.5" customHeight="1">
      <c r="A281" s="8"/>
      <c r="B281" s="27"/>
      <c r="C281" s="27"/>
      <c r="D281" s="27"/>
      <c r="E281" s="28"/>
      <c r="F281" s="29"/>
      <c r="G281" s="28"/>
      <c r="H281" s="30"/>
      <c r="I281" s="31"/>
      <c r="J281" s="28"/>
      <c r="K281" s="27"/>
      <c r="L281" s="8"/>
      <c r="M281" s="8"/>
      <c r="N281" s="8"/>
      <c r="O281" s="8"/>
      <c r="P281" s="8"/>
      <c r="Q281" s="8"/>
      <c r="R281" s="8"/>
      <c r="S281" s="8"/>
      <c r="T281" s="8"/>
      <c r="U281" s="8"/>
      <c r="V281" s="8"/>
      <c r="W281" s="8"/>
      <c r="X281" s="8"/>
      <c r="Y281" s="8"/>
      <c r="Z281" s="8"/>
    </row>
    <row r="282" ht="16.5" customHeight="1">
      <c r="A282" s="8"/>
      <c r="B282" s="27"/>
      <c r="C282" s="27"/>
      <c r="D282" s="27"/>
      <c r="E282" s="28"/>
      <c r="F282" s="29"/>
      <c r="G282" s="28"/>
      <c r="H282" s="30"/>
      <c r="I282" s="31"/>
      <c r="J282" s="28"/>
      <c r="K282" s="27"/>
      <c r="L282" s="8"/>
      <c r="M282" s="8"/>
      <c r="N282" s="8"/>
      <c r="O282" s="8"/>
      <c r="P282" s="8"/>
      <c r="Q282" s="8"/>
      <c r="R282" s="8"/>
      <c r="S282" s="8"/>
      <c r="T282" s="8"/>
      <c r="U282" s="8"/>
      <c r="V282" s="8"/>
      <c r="W282" s="8"/>
      <c r="X282" s="8"/>
      <c r="Y282" s="8"/>
      <c r="Z282" s="8"/>
    </row>
    <row r="283" ht="16.5" customHeight="1">
      <c r="A283" s="8"/>
      <c r="B283" s="27"/>
      <c r="C283" s="27"/>
      <c r="D283" s="27"/>
      <c r="E283" s="28"/>
      <c r="F283" s="29"/>
      <c r="G283" s="28"/>
      <c r="H283" s="30"/>
      <c r="I283" s="31"/>
      <c r="J283" s="28"/>
      <c r="K283" s="27"/>
      <c r="L283" s="8"/>
      <c r="M283" s="8"/>
      <c r="N283" s="8"/>
      <c r="O283" s="8"/>
      <c r="P283" s="8"/>
      <c r="Q283" s="8"/>
      <c r="R283" s="8"/>
      <c r="S283" s="8"/>
      <c r="T283" s="8"/>
      <c r="U283" s="8"/>
      <c r="V283" s="8"/>
      <c r="W283" s="8"/>
      <c r="X283" s="8"/>
      <c r="Y283" s="8"/>
      <c r="Z283" s="8"/>
    </row>
    <row r="284" ht="16.5" customHeight="1">
      <c r="A284" s="8"/>
      <c r="B284" s="27"/>
      <c r="C284" s="27"/>
      <c r="D284" s="27"/>
      <c r="E284" s="28"/>
      <c r="F284" s="29"/>
      <c r="G284" s="28"/>
      <c r="H284" s="30"/>
      <c r="I284" s="31"/>
      <c r="J284" s="28"/>
      <c r="K284" s="27"/>
      <c r="L284" s="8"/>
      <c r="M284" s="8"/>
      <c r="N284" s="8"/>
      <c r="O284" s="8"/>
      <c r="P284" s="8"/>
      <c r="Q284" s="8"/>
      <c r="R284" s="8"/>
      <c r="S284" s="8"/>
      <c r="T284" s="8"/>
      <c r="U284" s="8"/>
      <c r="V284" s="8"/>
      <c r="W284" s="8"/>
      <c r="X284" s="8"/>
      <c r="Y284" s="8"/>
      <c r="Z284" s="8"/>
    </row>
    <row r="285" ht="16.5" customHeight="1">
      <c r="A285" s="8"/>
      <c r="B285" s="27"/>
      <c r="C285" s="27"/>
      <c r="D285" s="27"/>
      <c r="E285" s="28"/>
      <c r="F285" s="29"/>
      <c r="G285" s="28"/>
      <c r="H285" s="30"/>
      <c r="I285" s="31"/>
      <c r="J285" s="28"/>
      <c r="K285" s="27"/>
      <c r="L285" s="8"/>
      <c r="M285" s="8"/>
      <c r="N285" s="8"/>
      <c r="O285" s="8"/>
      <c r="P285" s="8"/>
      <c r="Q285" s="8"/>
      <c r="R285" s="8"/>
      <c r="S285" s="8"/>
      <c r="T285" s="8"/>
      <c r="U285" s="8"/>
      <c r="V285" s="8"/>
      <c r="W285" s="8"/>
      <c r="X285" s="8"/>
      <c r="Y285" s="8"/>
      <c r="Z285" s="8"/>
    </row>
    <row r="286" ht="16.5" customHeight="1">
      <c r="A286" s="8"/>
      <c r="B286" s="27"/>
      <c r="C286" s="27"/>
      <c r="D286" s="27"/>
      <c r="E286" s="28"/>
      <c r="F286" s="29"/>
      <c r="G286" s="28"/>
      <c r="H286" s="30"/>
      <c r="I286" s="31"/>
      <c r="J286" s="28"/>
      <c r="K286" s="27"/>
      <c r="L286" s="8"/>
      <c r="M286" s="8"/>
      <c r="N286" s="8"/>
      <c r="O286" s="8"/>
      <c r="P286" s="8"/>
      <c r="Q286" s="8"/>
      <c r="R286" s="8"/>
      <c r="S286" s="8"/>
      <c r="T286" s="8"/>
      <c r="U286" s="8"/>
      <c r="V286" s="8"/>
      <c r="W286" s="8"/>
      <c r="X286" s="8"/>
      <c r="Y286" s="8"/>
      <c r="Z286" s="8"/>
    </row>
    <row r="287" ht="16.5" customHeight="1">
      <c r="A287" s="8"/>
      <c r="B287" s="27"/>
      <c r="C287" s="27"/>
      <c r="D287" s="27"/>
      <c r="E287" s="28"/>
      <c r="F287" s="29"/>
      <c r="G287" s="28"/>
      <c r="H287" s="30"/>
      <c r="I287" s="31"/>
      <c r="J287" s="28"/>
      <c r="K287" s="27"/>
      <c r="L287" s="8"/>
      <c r="M287" s="8"/>
      <c r="N287" s="8"/>
      <c r="O287" s="8"/>
      <c r="P287" s="8"/>
      <c r="Q287" s="8"/>
      <c r="R287" s="8"/>
      <c r="S287" s="8"/>
      <c r="T287" s="8"/>
      <c r="U287" s="8"/>
      <c r="V287" s="8"/>
      <c r="W287" s="8"/>
      <c r="X287" s="8"/>
      <c r="Y287" s="8"/>
      <c r="Z287" s="8"/>
    </row>
    <row r="288" ht="16.5" customHeight="1">
      <c r="A288" s="8"/>
      <c r="B288" s="27"/>
      <c r="C288" s="27"/>
      <c r="D288" s="27"/>
      <c r="E288" s="28"/>
      <c r="F288" s="29"/>
      <c r="G288" s="28"/>
      <c r="H288" s="30"/>
      <c r="I288" s="31"/>
      <c r="J288" s="28"/>
      <c r="K288" s="27"/>
      <c r="L288" s="8"/>
      <c r="M288" s="8"/>
      <c r="N288" s="8"/>
      <c r="O288" s="8"/>
      <c r="P288" s="8"/>
      <c r="Q288" s="8"/>
      <c r="R288" s="8"/>
      <c r="S288" s="8"/>
      <c r="T288" s="8"/>
      <c r="U288" s="8"/>
      <c r="V288" s="8"/>
      <c r="W288" s="8"/>
      <c r="X288" s="8"/>
      <c r="Y288" s="8"/>
      <c r="Z288" s="8"/>
    </row>
    <row r="289" ht="16.5" customHeight="1">
      <c r="A289" s="8"/>
      <c r="B289" s="27"/>
      <c r="C289" s="27"/>
      <c r="D289" s="27"/>
      <c r="E289" s="28"/>
      <c r="F289" s="29"/>
      <c r="G289" s="28"/>
      <c r="H289" s="30"/>
      <c r="I289" s="31"/>
      <c r="J289" s="28"/>
      <c r="K289" s="27"/>
      <c r="L289" s="8"/>
      <c r="M289" s="8"/>
      <c r="N289" s="8"/>
      <c r="O289" s="8"/>
      <c r="P289" s="8"/>
      <c r="Q289" s="8"/>
      <c r="R289" s="8"/>
      <c r="S289" s="8"/>
      <c r="T289" s="8"/>
      <c r="U289" s="8"/>
      <c r="V289" s="8"/>
      <c r="W289" s="8"/>
      <c r="X289" s="8"/>
      <c r="Y289" s="8"/>
      <c r="Z289" s="8"/>
    </row>
    <row r="290" ht="16.5" customHeight="1">
      <c r="A290" s="8"/>
      <c r="B290" s="27"/>
      <c r="C290" s="27"/>
      <c r="D290" s="27"/>
      <c r="E290" s="28"/>
      <c r="F290" s="29"/>
      <c r="G290" s="28"/>
      <c r="H290" s="30"/>
      <c r="I290" s="31"/>
      <c r="J290" s="28"/>
      <c r="K290" s="27"/>
      <c r="L290" s="8"/>
      <c r="M290" s="8"/>
      <c r="N290" s="8"/>
      <c r="O290" s="8"/>
      <c r="P290" s="8"/>
      <c r="Q290" s="8"/>
      <c r="R290" s="8"/>
      <c r="S290" s="8"/>
      <c r="T290" s="8"/>
      <c r="U290" s="8"/>
      <c r="V290" s="8"/>
      <c r="W290" s="8"/>
      <c r="X290" s="8"/>
      <c r="Y290" s="8"/>
      <c r="Z290" s="8"/>
    </row>
    <row r="291" ht="16.5" customHeight="1">
      <c r="A291" s="8"/>
      <c r="B291" s="27"/>
      <c r="C291" s="27"/>
      <c r="D291" s="27"/>
      <c r="E291" s="28"/>
      <c r="F291" s="29"/>
      <c r="G291" s="28"/>
      <c r="H291" s="30"/>
      <c r="I291" s="31"/>
      <c r="J291" s="28"/>
      <c r="K291" s="27"/>
      <c r="L291" s="8"/>
      <c r="M291" s="8"/>
      <c r="N291" s="8"/>
      <c r="O291" s="8"/>
      <c r="P291" s="8"/>
      <c r="Q291" s="8"/>
      <c r="R291" s="8"/>
      <c r="S291" s="8"/>
      <c r="T291" s="8"/>
      <c r="U291" s="8"/>
      <c r="V291" s="8"/>
      <c r="W291" s="8"/>
      <c r="X291" s="8"/>
      <c r="Y291" s="8"/>
      <c r="Z291" s="8"/>
    </row>
    <row r="292" ht="16.5" customHeight="1">
      <c r="A292" s="8"/>
      <c r="B292" s="27"/>
      <c r="C292" s="27"/>
      <c r="D292" s="27"/>
      <c r="E292" s="28"/>
      <c r="F292" s="29"/>
      <c r="G292" s="28"/>
      <c r="H292" s="30"/>
      <c r="I292" s="31"/>
      <c r="J292" s="28"/>
      <c r="K292" s="27"/>
      <c r="L292" s="8"/>
      <c r="M292" s="8"/>
      <c r="N292" s="8"/>
      <c r="O292" s="8"/>
      <c r="P292" s="8"/>
      <c r="Q292" s="8"/>
      <c r="R292" s="8"/>
      <c r="S292" s="8"/>
      <c r="T292" s="8"/>
      <c r="U292" s="8"/>
      <c r="V292" s="8"/>
      <c r="W292" s="8"/>
      <c r="X292" s="8"/>
      <c r="Y292" s="8"/>
      <c r="Z292" s="8"/>
    </row>
    <row r="293" ht="16.5" customHeight="1">
      <c r="A293" s="8"/>
      <c r="B293" s="27"/>
      <c r="C293" s="27"/>
      <c r="D293" s="27"/>
      <c r="E293" s="28"/>
      <c r="F293" s="29"/>
      <c r="G293" s="28"/>
      <c r="H293" s="30"/>
      <c r="I293" s="31"/>
      <c r="J293" s="28"/>
      <c r="K293" s="27"/>
      <c r="L293" s="8"/>
      <c r="M293" s="8"/>
      <c r="N293" s="8"/>
      <c r="O293" s="8"/>
      <c r="P293" s="8"/>
      <c r="Q293" s="8"/>
      <c r="R293" s="8"/>
      <c r="S293" s="8"/>
      <c r="T293" s="8"/>
      <c r="U293" s="8"/>
      <c r="V293" s="8"/>
      <c r="W293" s="8"/>
      <c r="X293" s="8"/>
      <c r="Y293" s="8"/>
      <c r="Z293" s="8"/>
    </row>
    <row r="294" ht="16.5" customHeight="1">
      <c r="A294" s="8"/>
      <c r="B294" s="27"/>
      <c r="C294" s="27"/>
      <c r="D294" s="27"/>
      <c r="E294" s="28"/>
      <c r="F294" s="29"/>
      <c r="G294" s="28"/>
      <c r="H294" s="30"/>
      <c r="I294" s="31"/>
      <c r="J294" s="28"/>
      <c r="K294" s="27"/>
      <c r="L294" s="8"/>
      <c r="M294" s="8"/>
      <c r="N294" s="8"/>
      <c r="O294" s="8"/>
      <c r="P294" s="8"/>
      <c r="Q294" s="8"/>
      <c r="R294" s="8"/>
      <c r="S294" s="8"/>
      <c r="T294" s="8"/>
      <c r="U294" s="8"/>
      <c r="V294" s="8"/>
      <c r="W294" s="8"/>
      <c r="X294" s="8"/>
      <c r="Y294" s="8"/>
      <c r="Z294" s="8"/>
    </row>
    <row r="295" ht="16.5" customHeight="1">
      <c r="A295" s="8"/>
      <c r="B295" s="27"/>
      <c r="C295" s="27"/>
      <c r="D295" s="27"/>
      <c r="E295" s="28"/>
      <c r="F295" s="29"/>
      <c r="G295" s="28"/>
      <c r="H295" s="30"/>
      <c r="I295" s="31"/>
      <c r="J295" s="28"/>
      <c r="K295" s="27"/>
      <c r="L295" s="8"/>
      <c r="M295" s="8"/>
      <c r="N295" s="8"/>
      <c r="O295" s="8"/>
      <c r="P295" s="8"/>
      <c r="Q295" s="8"/>
      <c r="R295" s="8"/>
      <c r="S295" s="8"/>
      <c r="T295" s="8"/>
      <c r="U295" s="8"/>
      <c r="V295" s="8"/>
      <c r="W295" s="8"/>
      <c r="X295" s="8"/>
      <c r="Y295" s="8"/>
      <c r="Z295" s="8"/>
    </row>
    <row r="296" ht="16.5" customHeight="1">
      <c r="A296" s="8"/>
      <c r="B296" s="27"/>
      <c r="C296" s="27"/>
      <c r="D296" s="27"/>
      <c r="E296" s="28"/>
      <c r="F296" s="29"/>
      <c r="G296" s="28"/>
      <c r="H296" s="30"/>
      <c r="I296" s="31"/>
      <c r="J296" s="28"/>
      <c r="K296" s="27"/>
      <c r="L296" s="8"/>
      <c r="M296" s="8"/>
      <c r="N296" s="8"/>
      <c r="O296" s="8"/>
      <c r="P296" s="8"/>
      <c r="Q296" s="8"/>
      <c r="R296" s="8"/>
      <c r="S296" s="8"/>
      <c r="T296" s="8"/>
      <c r="U296" s="8"/>
      <c r="V296" s="8"/>
      <c r="W296" s="8"/>
      <c r="X296" s="8"/>
      <c r="Y296" s="8"/>
      <c r="Z296" s="8"/>
    </row>
    <row r="297" ht="16.5" customHeight="1">
      <c r="A297" s="8"/>
      <c r="B297" s="27"/>
      <c r="C297" s="27"/>
      <c r="D297" s="27"/>
      <c r="E297" s="28"/>
      <c r="F297" s="29"/>
      <c r="G297" s="28"/>
      <c r="H297" s="30"/>
      <c r="I297" s="31"/>
      <c r="J297" s="28"/>
      <c r="K297" s="27"/>
      <c r="L297" s="8"/>
      <c r="M297" s="8"/>
      <c r="N297" s="8"/>
      <c r="O297" s="8"/>
      <c r="P297" s="8"/>
      <c r="Q297" s="8"/>
      <c r="R297" s="8"/>
      <c r="S297" s="8"/>
      <c r="T297" s="8"/>
      <c r="U297" s="8"/>
      <c r="V297" s="8"/>
      <c r="W297" s="8"/>
      <c r="X297" s="8"/>
      <c r="Y297" s="8"/>
      <c r="Z297" s="8"/>
    </row>
    <row r="298" ht="16.5" customHeight="1">
      <c r="A298" s="8"/>
      <c r="B298" s="27"/>
      <c r="C298" s="27"/>
      <c r="D298" s="27"/>
      <c r="E298" s="28"/>
      <c r="F298" s="29"/>
      <c r="G298" s="28"/>
      <c r="H298" s="30"/>
      <c r="I298" s="31"/>
      <c r="J298" s="28"/>
      <c r="K298" s="27"/>
      <c r="L298" s="8"/>
      <c r="M298" s="8"/>
      <c r="N298" s="8"/>
      <c r="O298" s="8"/>
      <c r="P298" s="8"/>
      <c r="Q298" s="8"/>
      <c r="R298" s="8"/>
      <c r="S298" s="8"/>
      <c r="T298" s="8"/>
      <c r="U298" s="8"/>
      <c r="V298" s="8"/>
      <c r="W298" s="8"/>
      <c r="X298" s="8"/>
      <c r="Y298" s="8"/>
      <c r="Z298" s="8"/>
    </row>
    <row r="299" ht="16.5" customHeight="1">
      <c r="A299" s="8"/>
      <c r="B299" s="27"/>
      <c r="C299" s="27"/>
      <c r="D299" s="27"/>
      <c r="E299" s="28"/>
      <c r="F299" s="29"/>
      <c r="G299" s="28"/>
      <c r="H299" s="30"/>
      <c r="I299" s="31"/>
      <c r="J299" s="28"/>
      <c r="K299" s="27"/>
      <c r="L299" s="8"/>
      <c r="M299" s="8"/>
      <c r="N299" s="8"/>
      <c r="O299" s="8"/>
      <c r="P299" s="8"/>
      <c r="Q299" s="8"/>
      <c r="R299" s="8"/>
      <c r="S299" s="8"/>
      <c r="T299" s="8"/>
      <c r="U299" s="8"/>
      <c r="V299" s="8"/>
      <c r="W299" s="8"/>
      <c r="X299" s="8"/>
      <c r="Y299" s="8"/>
      <c r="Z299" s="8"/>
    </row>
    <row r="300" ht="16.5" customHeight="1">
      <c r="A300" s="8"/>
      <c r="B300" s="27"/>
      <c r="C300" s="27"/>
      <c r="D300" s="27"/>
      <c r="E300" s="28"/>
      <c r="F300" s="29"/>
      <c r="G300" s="28"/>
      <c r="H300" s="30"/>
      <c r="I300" s="31"/>
      <c r="J300" s="28"/>
      <c r="K300" s="27"/>
      <c r="L300" s="8"/>
      <c r="M300" s="8"/>
      <c r="N300" s="8"/>
      <c r="O300" s="8"/>
      <c r="P300" s="8"/>
      <c r="Q300" s="8"/>
      <c r="R300" s="8"/>
      <c r="S300" s="8"/>
      <c r="T300" s="8"/>
      <c r="U300" s="8"/>
      <c r="V300" s="8"/>
      <c r="W300" s="8"/>
      <c r="X300" s="8"/>
      <c r="Y300" s="8"/>
      <c r="Z300" s="8"/>
    </row>
    <row r="301" ht="16.5" customHeight="1">
      <c r="A301" s="8"/>
      <c r="B301" s="27"/>
      <c r="C301" s="27"/>
      <c r="D301" s="27"/>
      <c r="E301" s="28"/>
      <c r="F301" s="29"/>
      <c r="G301" s="28"/>
      <c r="H301" s="30"/>
      <c r="I301" s="31"/>
      <c r="J301" s="28"/>
      <c r="K301" s="27"/>
      <c r="L301" s="8"/>
      <c r="M301" s="8"/>
      <c r="N301" s="8"/>
      <c r="O301" s="8"/>
      <c r="P301" s="8"/>
      <c r="Q301" s="8"/>
      <c r="R301" s="8"/>
      <c r="S301" s="8"/>
      <c r="T301" s="8"/>
      <c r="U301" s="8"/>
      <c r="V301" s="8"/>
      <c r="W301" s="8"/>
      <c r="X301" s="8"/>
      <c r="Y301" s="8"/>
      <c r="Z301" s="8"/>
    </row>
    <row r="302" ht="16.5" customHeight="1">
      <c r="A302" s="8"/>
      <c r="B302" s="27"/>
      <c r="C302" s="27"/>
      <c r="D302" s="27"/>
      <c r="E302" s="28"/>
      <c r="F302" s="29"/>
      <c r="G302" s="28"/>
      <c r="H302" s="30"/>
      <c r="I302" s="31"/>
      <c r="J302" s="28"/>
      <c r="K302" s="27"/>
      <c r="L302" s="8"/>
      <c r="M302" s="8"/>
      <c r="N302" s="8"/>
      <c r="O302" s="8"/>
      <c r="P302" s="8"/>
      <c r="Q302" s="8"/>
      <c r="R302" s="8"/>
      <c r="S302" s="8"/>
      <c r="T302" s="8"/>
      <c r="U302" s="8"/>
      <c r="V302" s="8"/>
      <c r="W302" s="8"/>
      <c r="X302" s="8"/>
      <c r="Y302" s="8"/>
      <c r="Z302" s="8"/>
    </row>
    <row r="303" ht="16.5" customHeight="1">
      <c r="A303" s="8"/>
      <c r="B303" s="27"/>
      <c r="C303" s="27"/>
      <c r="D303" s="27"/>
      <c r="E303" s="28"/>
      <c r="F303" s="29"/>
      <c r="G303" s="28"/>
      <c r="H303" s="30"/>
      <c r="I303" s="31"/>
      <c r="J303" s="28"/>
      <c r="K303" s="27"/>
      <c r="L303" s="8"/>
      <c r="M303" s="8"/>
      <c r="N303" s="8"/>
      <c r="O303" s="8"/>
      <c r="P303" s="8"/>
      <c r="Q303" s="8"/>
      <c r="R303" s="8"/>
      <c r="S303" s="8"/>
      <c r="T303" s="8"/>
      <c r="U303" s="8"/>
      <c r="V303" s="8"/>
      <c r="W303" s="8"/>
      <c r="X303" s="8"/>
      <c r="Y303" s="8"/>
      <c r="Z303" s="8"/>
    </row>
    <row r="304" ht="16.5" customHeight="1">
      <c r="A304" s="8"/>
      <c r="B304" s="27"/>
      <c r="C304" s="27"/>
      <c r="D304" s="27"/>
      <c r="E304" s="28"/>
      <c r="F304" s="29"/>
      <c r="G304" s="28"/>
      <c r="H304" s="30"/>
      <c r="I304" s="31"/>
      <c r="J304" s="28"/>
      <c r="K304" s="27"/>
      <c r="L304" s="8"/>
      <c r="M304" s="8"/>
      <c r="N304" s="8"/>
      <c r="O304" s="8"/>
      <c r="P304" s="8"/>
      <c r="Q304" s="8"/>
      <c r="R304" s="8"/>
      <c r="S304" s="8"/>
      <c r="T304" s="8"/>
      <c r="U304" s="8"/>
      <c r="V304" s="8"/>
      <c r="W304" s="8"/>
      <c r="X304" s="8"/>
      <c r="Y304" s="8"/>
      <c r="Z304" s="8"/>
    </row>
    <row r="305" ht="16.5" customHeight="1">
      <c r="A305" s="8"/>
      <c r="B305" s="27"/>
      <c r="C305" s="27"/>
      <c r="D305" s="27"/>
      <c r="E305" s="28"/>
      <c r="F305" s="29"/>
      <c r="G305" s="28"/>
      <c r="H305" s="30"/>
      <c r="I305" s="31"/>
      <c r="J305" s="28"/>
      <c r="K305" s="27"/>
      <c r="L305" s="8"/>
      <c r="M305" s="8"/>
      <c r="N305" s="8"/>
      <c r="O305" s="8"/>
      <c r="P305" s="8"/>
      <c r="Q305" s="8"/>
      <c r="R305" s="8"/>
      <c r="S305" s="8"/>
      <c r="T305" s="8"/>
      <c r="U305" s="8"/>
      <c r="V305" s="8"/>
      <c r="W305" s="8"/>
      <c r="X305" s="8"/>
      <c r="Y305" s="8"/>
      <c r="Z305" s="8"/>
    </row>
    <row r="306" ht="16.5" customHeight="1">
      <c r="A306" s="8"/>
      <c r="B306" s="27"/>
      <c r="C306" s="27"/>
      <c r="D306" s="27"/>
      <c r="E306" s="28"/>
      <c r="F306" s="29"/>
      <c r="G306" s="28"/>
      <c r="H306" s="30"/>
      <c r="I306" s="31"/>
      <c r="J306" s="28"/>
      <c r="K306" s="27"/>
      <c r="L306" s="8"/>
      <c r="M306" s="8"/>
      <c r="N306" s="8"/>
      <c r="O306" s="8"/>
      <c r="P306" s="8"/>
      <c r="Q306" s="8"/>
      <c r="R306" s="8"/>
      <c r="S306" s="8"/>
      <c r="T306" s="8"/>
      <c r="U306" s="8"/>
      <c r="V306" s="8"/>
      <c r="W306" s="8"/>
      <c r="X306" s="8"/>
      <c r="Y306" s="8"/>
      <c r="Z306" s="8"/>
    </row>
    <row r="307" ht="16.5" customHeight="1">
      <c r="A307" s="8"/>
      <c r="B307" s="27"/>
      <c r="C307" s="27"/>
      <c r="D307" s="27"/>
      <c r="E307" s="28"/>
      <c r="F307" s="29"/>
      <c r="G307" s="28"/>
      <c r="H307" s="30"/>
      <c r="I307" s="31"/>
      <c r="J307" s="28"/>
      <c r="K307" s="27"/>
      <c r="L307" s="8"/>
      <c r="M307" s="8"/>
      <c r="N307" s="8"/>
      <c r="O307" s="8"/>
      <c r="P307" s="8"/>
      <c r="Q307" s="8"/>
      <c r="R307" s="8"/>
      <c r="S307" s="8"/>
      <c r="T307" s="8"/>
      <c r="U307" s="8"/>
      <c r="V307" s="8"/>
      <c r="W307" s="8"/>
      <c r="X307" s="8"/>
      <c r="Y307" s="8"/>
      <c r="Z307" s="8"/>
    </row>
    <row r="308" ht="16.5" customHeight="1">
      <c r="A308" s="8"/>
      <c r="B308" s="27"/>
      <c r="C308" s="27"/>
      <c r="D308" s="27"/>
      <c r="E308" s="28"/>
      <c r="F308" s="29"/>
      <c r="G308" s="28"/>
      <c r="H308" s="30"/>
      <c r="I308" s="31"/>
      <c r="J308" s="28"/>
      <c r="K308" s="27"/>
      <c r="L308" s="8"/>
      <c r="M308" s="8"/>
      <c r="N308" s="8"/>
      <c r="O308" s="8"/>
      <c r="P308" s="8"/>
      <c r="Q308" s="8"/>
      <c r="R308" s="8"/>
      <c r="S308" s="8"/>
      <c r="T308" s="8"/>
      <c r="U308" s="8"/>
      <c r="V308" s="8"/>
      <c r="W308" s="8"/>
      <c r="X308" s="8"/>
      <c r="Y308" s="8"/>
      <c r="Z308" s="8"/>
    </row>
    <row r="309" ht="16.5" customHeight="1">
      <c r="A309" s="8"/>
      <c r="B309" s="27"/>
      <c r="C309" s="27"/>
      <c r="D309" s="27"/>
      <c r="E309" s="28"/>
      <c r="F309" s="29"/>
      <c r="G309" s="28"/>
      <c r="H309" s="30"/>
      <c r="I309" s="31"/>
      <c r="J309" s="28"/>
      <c r="K309" s="27"/>
      <c r="L309" s="8"/>
      <c r="M309" s="8"/>
      <c r="N309" s="8"/>
      <c r="O309" s="8"/>
      <c r="P309" s="8"/>
      <c r="Q309" s="8"/>
      <c r="R309" s="8"/>
      <c r="S309" s="8"/>
      <c r="T309" s="8"/>
      <c r="U309" s="8"/>
      <c r="V309" s="8"/>
      <c r="W309" s="8"/>
      <c r="X309" s="8"/>
      <c r="Y309" s="8"/>
      <c r="Z309" s="8"/>
    </row>
    <row r="310" ht="16.5" customHeight="1">
      <c r="A310" s="8"/>
      <c r="B310" s="27"/>
      <c r="C310" s="27"/>
      <c r="D310" s="27"/>
      <c r="E310" s="28"/>
      <c r="F310" s="29"/>
      <c r="G310" s="28"/>
      <c r="H310" s="30"/>
      <c r="I310" s="31"/>
      <c r="J310" s="28"/>
      <c r="K310" s="27"/>
      <c r="L310" s="8"/>
      <c r="M310" s="8"/>
      <c r="N310" s="8"/>
      <c r="O310" s="8"/>
      <c r="P310" s="8"/>
      <c r="Q310" s="8"/>
      <c r="R310" s="8"/>
      <c r="S310" s="8"/>
      <c r="T310" s="8"/>
      <c r="U310" s="8"/>
      <c r="V310" s="8"/>
      <c r="W310" s="8"/>
      <c r="X310" s="8"/>
      <c r="Y310" s="8"/>
      <c r="Z310" s="8"/>
    </row>
    <row r="311" ht="16.5" customHeight="1">
      <c r="A311" s="8"/>
      <c r="B311" s="27"/>
      <c r="C311" s="27"/>
      <c r="D311" s="27"/>
      <c r="E311" s="28"/>
      <c r="F311" s="29"/>
      <c r="G311" s="28"/>
      <c r="H311" s="30"/>
      <c r="I311" s="31"/>
      <c r="J311" s="28"/>
      <c r="K311" s="27"/>
      <c r="L311" s="8"/>
      <c r="M311" s="8"/>
      <c r="N311" s="8"/>
      <c r="O311" s="8"/>
      <c r="P311" s="8"/>
      <c r="Q311" s="8"/>
      <c r="R311" s="8"/>
      <c r="S311" s="8"/>
      <c r="T311" s="8"/>
      <c r="U311" s="8"/>
      <c r="V311" s="8"/>
      <c r="W311" s="8"/>
      <c r="X311" s="8"/>
      <c r="Y311" s="8"/>
      <c r="Z311" s="8"/>
    </row>
    <row r="312" ht="16.5" customHeight="1">
      <c r="A312" s="8"/>
      <c r="B312" s="27"/>
      <c r="C312" s="27"/>
      <c r="D312" s="27"/>
      <c r="E312" s="28"/>
      <c r="F312" s="29"/>
      <c r="G312" s="28"/>
      <c r="H312" s="30"/>
      <c r="I312" s="31"/>
      <c r="J312" s="28"/>
      <c r="K312" s="27"/>
      <c r="L312" s="8"/>
      <c r="M312" s="8"/>
      <c r="N312" s="8"/>
      <c r="O312" s="8"/>
      <c r="P312" s="8"/>
      <c r="Q312" s="8"/>
      <c r="R312" s="8"/>
      <c r="S312" s="8"/>
      <c r="T312" s="8"/>
      <c r="U312" s="8"/>
      <c r="V312" s="8"/>
      <c r="W312" s="8"/>
      <c r="X312" s="8"/>
      <c r="Y312" s="8"/>
      <c r="Z312" s="8"/>
    </row>
    <row r="313" ht="16.5" customHeight="1">
      <c r="A313" s="8"/>
      <c r="B313" s="27"/>
      <c r="C313" s="27"/>
      <c r="D313" s="27"/>
      <c r="E313" s="28"/>
      <c r="F313" s="29"/>
      <c r="G313" s="28"/>
      <c r="H313" s="30"/>
      <c r="I313" s="31"/>
      <c r="J313" s="28"/>
      <c r="K313" s="27"/>
      <c r="L313" s="8"/>
      <c r="M313" s="8"/>
      <c r="N313" s="8"/>
      <c r="O313" s="8"/>
      <c r="P313" s="8"/>
      <c r="Q313" s="8"/>
      <c r="R313" s="8"/>
      <c r="S313" s="8"/>
      <c r="T313" s="8"/>
      <c r="U313" s="8"/>
      <c r="V313" s="8"/>
      <c r="W313" s="8"/>
      <c r="X313" s="8"/>
      <c r="Y313" s="8"/>
      <c r="Z313" s="8"/>
    </row>
    <row r="314" ht="16.5" customHeight="1">
      <c r="A314" s="8"/>
      <c r="B314" s="27"/>
      <c r="C314" s="27"/>
      <c r="D314" s="27"/>
      <c r="E314" s="28"/>
      <c r="F314" s="29"/>
      <c r="G314" s="28"/>
      <c r="H314" s="30"/>
      <c r="I314" s="31"/>
      <c r="J314" s="28"/>
      <c r="K314" s="27"/>
      <c r="L314" s="8"/>
      <c r="M314" s="8"/>
      <c r="N314" s="8"/>
      <c r="O314" s="8"/>
      <c r="P314" s="8"/>
      <c r="Q314" s="8"/>
      <c r="R314" s="8"/>
      <c r="S314" s="8"/>
      <c r="T314" s="8"/>
      <c r="U314" s="8"/>
      <c r="V314" s="8"/>
      <c r="W314" s="8"/>
      <c r="X314" s="8"/>
      <c r="Y314" s="8"/>
      <c r="Z314" s="8"/>
    </row>
    <row r="315" ht="16.5" customHeight="1">
      <c r="A315" s="8"/>
      <c r="B315" s="27"/>
      <c r="C315" s="27"/>
      <c r="D315" s="27"/>
      <c r="E315" s="28"/>
      <c r="F315" s="29"/>
      <c r="G315" s="28"/>
      <c r="H315" s="30"/>
      <c r="I315" s="31"/>
      <c r="J315" s="28"/>
      <c r="K315" s="27"/>
      <c r="L315" s="8"/>
      <c r="M315" s="8"/>
      <c r="N315" s="8"/>
      <c r="O315" s="8"/>
      <c r="P315" s="8"/>
      <c r="Q315" s="8"/>
      <c r="R315" s="8"/>
      <c r="S315" s="8"/>
      <c r="T315" s="8"/>
      <c r="U315" s="8"/>
      <c r="V315" s="8"/>
      <c r="W315" s="8"/>
      <c r="X315" s="8"/>
      <c r="Y315" s="8"/>
      <c r="Z315" s="8"/>
    </row>
    <row r="316" ht="16.5" customHeight="1">
      <c r="A316" s="8"/>
      <c r="B316" s="27"/>
      <c r="C316" s="27"/>
      <c r="D316" s="27"/>
      <c r="E316" s="28"/>
      <c r="F316" s="29"/>
      <c r="G316" s="28"/>
      <c r="H316" s="30"/>
      <c r="I316" s="31"/>
      <c r="J316" s="28"/>
      <c r="K316" s="27"/>
      <c r="L316" s="8"/>
      <c r="M316" s="8"/>
      <c r="N316" s="8"/>
      <c r="O316" s="8"/>
      <c r="P316" s="8"/>
      <c r="Q316" s="8"/>
      <c r="R316" s="8"/>
      <c r="S316" s="8"/>
      <c r="T316" s="8"/>
      <c r="U316" s="8"/>
      <c r="V316" s="8"/>
      <c r="W316" s="8"/>
      <c r="X316" s="8"/>
      <c r="Y316" s="8"/>
      <c r="Z316" s="8"/>
    </row>
    <row r="317" ht="16.5" customHeight="1">
      <c r="A317" s="8"/>
      <c r="B317" s="27"/>
      <c r="C317" s="27"/>
      <c r="D317" s="27"/>
      <c r="E317" s="28"/>
      <c r="F317" s="29"/>
      <c r="G317" s="28"/>
      <c r="H317" s="30"/>
      <c r="I317" s="31"/>
      <c r="J317" s="28"/>
      <c r="K317" s="27"/>
      <c r="L317" s="8"/>
      <c r="M317" s="8"/>
      <c r="N317" s="8"/>
      <c r="O317" s="8"/>
      <c r="P317" s="8"/>
      <c r="Q317" s="8"/>
      <c r="R317" s="8"/>
      <c r="S317" s="8"/>
      <c r="T317" s="8"/>
      <c r="U317" s="8"/>
      <c r="V317" s="8"/>
      <c r="W317" s="8"/>
      <c r="X317" s="8"/>
      <c r="Y317" s="8"/>
      <c r="Z317" s="8"/>
    </row>
    <row r="318" ht="16.5" customHeight="1">
      <c r="A318" s="8"/>
      <c r="B318" s="27"/>
      <c r="C318" s="27"/>
      <c r="D318" s="27"/>
      <c r="E318" s="28"/>
      <c r="F318" s="29"/>
      <c r="G318" s="28"/>
      <c r="H318" s="30"/>
      <c r="I318" s="31"/>
      <c r="J318" s="28"/>
      <c r="K318" s="27"/>
      <c r="L318" s="8"/>
      <c r="M318" s="8"/>
      <c r="N318" s="8"/>
      <c r="O318" s="8"/>
      <c r="P318" s="8"/>
      <c r="Q318" s="8"/>
      <c r="R318" s="8"/>
      <c r="S318" s="8"/>
      <c r="T318" s="8"/>
      <c r="U318" s="8"/>
      <c r="V318" s="8"/>
      <c r="W318" s="8"/>
      <c r="X318" s="8"/>
      <c r="Y318" s="8"/>
      <c r="Z318" s="8"/>
    </row>
    <row r="319" ht="16.5" customHeight="1">
      <c r="A319" s="8"/>
      <c r="B319" s="27"/>
      <c r="C319" s="27"/>
      <c r="D319" s="27"/>
      <c r="E319" s="28"/>
      <c r="F319" s="29"/>
      <c r="G319" s="28"/>
      <c r="H319" s="30"/>
      <c r="I319" s="31"/>
      <c r="J319" s="28"/>
      <c r="K319" s="27"/>
      <c r="L319" s="8"/>
      <c r="M319" s="8"/>
      <c r="N319" s="8"/>
      <c r="O319" s="8"/>
      <c r="P319" s="8"/>
      <c r="Q319" s="8"/>
      <c r="R319" s="8"/>
      <c r="S319" s="8"/>
      <c r="T319" s="8"/>
      <c r="U319" s="8"/>
      <c r="V319" s="8"/>
      <c r="W319" s="8"/>
      <c r="X319" s="8"/>
      <c r="Y319" s="8"/>
      <c r="Z319" s="8"/>
    </row>
    <row r="320" ht="16.5" customHeight="1">
      <c r="A320" s="8"/>
      <c r="B320" s="27"/>
      <c r="C320" s="27"/>
      <c r="D320" s="27"/>
      <c r="E320" s="28"/>
      <c r="F320" s="29"/>
      <c r="G320" s="28"/>
      <c r="H320" s="30"/>
      <c r="I320" s="31"/>
      <c r="J320" s="28"/>
      <c r="K320" s="27"/>
      <c r="L320" s="8"/>
      <c r="M320" s="8"/>
      <c r="N320" s="8"/>
      <c r="O320" s="8"/>
      <c r="P320" s="8"/>
      <c r="Q320" s="8"/>
      <c r="R320" s="8"/>
      <c r="S320" s="8"/>
      <c r="T320" s="8"/>
      <c r="U320" s="8"/>
      <c r="V320" s="8"/>
      <c r="W320" s="8"/>
      <c r="X320" s="8"/>
      <c r="Y320" s="8"/>
      <c r="Z320" s="8"/>
    </row>
    <row r="321" ht="16.5" customHeight="1">
      <c r="A321" s="8"/>
      <c r="B321" s="27"/>
      <c r="C321" s="27"/>
      <c r="D321" s="27"/>
      <c r="E321" s="28"/>
      <c r="F321" s="29"/>
      <c r="G321" s="28"/>
      <c r="H321" s="30"/>
      <c r="I321" s="31"/>
      <c r="J321" s="28"/>
      <c r="K321" s="27"/>
      <c r="L321" s="8"/>
      <c r="M321" s="8"/>
      <c r="N321" s="8"/>
      <c r="O321" s="8"/>
      <c r="P321" s="8"/>
      <c r="Q321" s="8"/>
      <c r="R321" s="8"/>
      <c r="S321" s="8"/>
      <c r="T321" s="8"/>
      <c r="U321" s="8"/>
      <c r="V321" s="8"/>
      <c r="W321" s="8"/>
      <c r="X321" s="8"/>
      <c r="Y321" s="8"/>
      <c r="Z321" s="8"/>
    </row>
    <row r="322" ht="16.5" customHeight="1">
      <c r="A322" s="8"/>
      <c r="B322" s="27"/>
      <c r="C322" s="27"/>
      <c r="D322" s="27"/>
      <c r="E322" s="28"/>
      <c r="F322" s="29"/>
      <c r="G322" s="28"/>
      <c r="H322" s="30"/>
      <c r="I322" s="31"/>
      <c r="J322" s="28"/>
      <c r="K322" s="27"/>
      <c r="L322" s="8"/>
      <c r="M322" s="8"/>
      <c r="N322" s="8"/>
      <c r="O322" s="8"/>
      <c r="P322" s="8"/>
      <c r="Q322" s="8"/>
      <c r="R322" s="8"/>
      <c r="S322" s="8"/>
      <c r="T322" s="8"/>
      <c r="U322" s="8"/>
      <c r="V322" s="8"/>
      <c r="W322" s="8"/>
      <c r="X322" s="8"/>
      <c r="Y322" s="8"/>
      <c r="Z322" s="8"/>
    </row>
    <row r="323" ht="16.5" customHeight="1">
      <c r="A323" s="8"/>
      <c r="B323" s="27"/>
      <c r="C323" s="27"/>
      <c r="D323" s="27"/>
      <c r="E323" s="28"/>
      <c r="F323" s="29"/>
      <c r="G323" s="28"/>
      <c r="H323" s="30"/>
      <c r="I323" s="31"/>
      <c r="J323" s="28"/>
      <c r="K323" s="27"/>
      <c r="L323" s="8"/>
      <c r="M323" s="8"/>
      <c r="N323" s="8"/>
      <c r="O323" s="8"/>
      <c r="P323" s="8"/>
      <c r="Q323" s="8"/>
      <c r="R323" s="8"/>
      <c r="S323" s="8"/>
      <c r="T323" s="8"/>
      <c r="U323" s="8"/>
      <c r="V323" s="8"/>
      <c r="W323" s="8"/>
      <c r="X323" s="8"/>
      <c r="Y323" s="8"/>
      <c r="Z323" s="8"/>
    </row>
    <row r="324" ht="16.5" customHeight="1">
      <c r="A324" s="8"/>
      <c r="B324" s="27"/>
      <c r="C324" s="27"/>
      <c r="D324" s="27"/>
      <c r="E324" s="28"/>
      <c r="F324" s="29"/>
      <c r="G324" s="28"/>
      <c r="H324" s="30"/>
      <c r="I324" s="31"/>
      <c r="J324" s="28"/>
      <c r="K324" s="27"/>
      <c r="L324" s="8"/>
      <c r="M324" s="8"/>
      <c r="N324" s="8"/>
      <c r="O324" s="8"/>
      <c r="P324" s="8"/>
      <c r="Q324" s="8"/>
      <c r="R324" s="8"/>
      <c r="S324" s="8"/>
      <c r="T324" s="8"/>
      <c r="U324" s="8"/>
      <c r="V324" s="8"/>
      <c r="W324" s="8"/>
      <c r="X324" s="8"/>
      <c r="Y324" s="8"/>
      <c r="Z324" s="8"/>
    </row>
    <row r="325" ht="16.5" customHeight="1">
      <c r="A325" s="8"/>
      <c r="B325" s="27"/>
      <c r="C325" s="27"/>
      <c r="D325" s="27"/>
      <c r="E325" s="28"/>
      <c r="F325" s="29"/>
      <c r="G325" s="28"/>
      <c r="H325" s="30"/>
      <c r="I325" s="31"/>
      <c r="J325" s="28"/>
      <c r="K325" s="27"/>
      <c r="L325" s="8"/>
      <c r="M325" s="8"/>
      <c r="N325" s="8"/>
      <c r="O325" s="8"/>
      <c r="P325" s="8"/>
      <c r="Q325" s="8"/>
      <c r="R325" s="8"/>
      <c r="S325" s="8"/>
      <c r="T325" s="8"/>
      <c r="U325" s="8"/>
      <c r="V325" s="8"/>
      <c r="W325" s="8"/>
      <c r="X325" s="8"/>
      <c r="Y325" s="8"/>
      <c r="Z325" s="8"/>
    </row>
    <row r="326" ht="16.5" customHeight="1">
      <c r="A326" s="8"/>
      <c r="B326" s="27"/>
      <c r="C326" s="27"/>
      <c r="D326" s="27"/>
      <c r="E326" s="28"/>
      <c r="F326" s="29"/>
      <c r="G326" s="28"/>
      <c r="H326" s="30"/>
      <c r="I326" s="31"/>
      <c r="J326" s="28"/>
      <c r="K326" s="27"/>
      <c r="L326" s="8"/>
      <c r="M326" s="8"/>
      <c r="N326" s="8"/>
      <c r="O326" s="8"/>
      <c r="P326" s="8"/>
      <c r="Q326" s="8"/>
      <c r="R326" s="8"/>
      <c r="S326" s="8"/>
      <c r="T326" s="8"/>
      <c r="U326" s="8"/>
      <c r="V326" s="8"/>
      <c r="W326" s="8"/>
      <c r="X326" s="8"/>
      <c r="Y326" s="8"/>
      <c r="Z326" s="8"/>
    </row>
    <row r="327" ht="16.5" customHeight="1">
      <c r="A327" s="8"/>
      <c r="B327" s="27"/>
      <c r="C327" s="27"/>
      <c r="D327" s="27"/>
      <c r="E327" s="28"/>
      <c r="F327" s="29"/>
      <c r="G327" s="28"/>
      <c r="H327" s="30"/>
      <c r="I327" s="31"/>
      <c r="J327" s="28"/>
      <c r="K327" s="27"/>
      <c r="L327" s="8"/>
      <c r="M327" s="8"/>
      <c r="N327" s="8"/>
      <c r="O327" s="8"/>
      <c r="P327" s="8"/>
      <c r="Q327" s="8"/>
      <c r="R327" s="8"/>
      <c r="S327" s="8"/>
      <c r="T327" s="8"/>
      <c r="U327" s="8"/>
      <c r="V327" s="8"/>
      <c r="W327" s="8"/>
      <c r="X327" s="8"/>
      <c r="Y327" s="8"/>
      <c r="Z327" s="8"/>
    </row>
    <row r="328" ht="16.5" customHeight="1">
      <c r="A328" s="8"/>
      <c r="B328" s="27"/>
      <c r="C328" s="27"/>
      <c r="D328" s="27"/>
      <c r="E328" s="28"/>
      <c r="F328" s="29"/>
      <c r="G328" s="28"/>
      <c r="H328" s="30"/>
      <c r="I328" s="31"/>
      <c r="J328" s="28"/>
      <c r="K328" s="27"/>
      <c r="L328" s="8"/>
      <c r="M328" s="8"/>
      <c r="N328" s="8"/>
      <c r="O328" s="8"/>
      <c r="P328" s="8"/>
      <c r="Q328" s="8"/>
      <c r="R328" s="8"/>
      <c r="S328" s="8"/>
      <c r="T328" s="8"/>
      <c r="U328" s="8"/>
      <c r="V328" s="8"/>
      <c r="W328" s="8"/>
      <c r="X328" s="8"/>
      <c r="Y328" s="8"/>
      <c r="Z328" s="8"/>
    </row>
    <row r="329" ht="16.5" customHeight="1">
      <c r="A329" s="8"/>
      <c r="B329" s="27"/>
      <c r="C329" s="27"/>
      <c r="D329" s="27"/>
      <c r="E329" s="28"/>
      <c r="F329" s="29"/>
      <c r="G329" s="28"/>
      <c r="H329" s="30"/>
      <c r="I329" s="31"/>
      <c r="J329" s="28"/>
      <c r="K329" s="27"/>
      <c r="L329" s="8"/>
      <c r="M329" s="8"/>
      <c r="N329" s="8"/>
      <c r="O329" s="8"/>
      <c r="P329" s="8"/>
      <c r="Q329" s="8"/>
      <c r="R329" s="8"/>
      <c r="S329" s="8"/>
      <c r="T329" s="8"/>
      <c r="U329" s="8"/>
      <c r="V329" s="8"/>
      <c r="W329" s="8"/>
      <c r="X329" s="8"/>
      <c r="Y329" s="8"/>
      <c r="Z329" s="8"/>
    </row>
    <row r="330" ht="16.5" customHeight="1">
      <c r="A330" s="8"/>
      <c r="B330" s="27"/>
      <c r="C330" s="27"/>
      <c r="D330" s="27"/>
      <c r="E330" s="28"/>
      <c r="F330" s="29"/>
      <c r="G330" s="28"/>
      <c r="H330" s="30"/>
      <c r="I330" s="31"/>
      <c r="J330" s="28"/>
      <c r="K330" s="27"/>
      <c r="L330" s="8"/>
      <c r="M330" s="8"/>
      <c r="N330" s="8"/>
      <c r="O330" s="8"/>
      <c r="P330" s="8"/>
      <c r="Q330" s="8"/>
      <c r="R330" s="8"/>
      <c r="S330" s="8"/>
      <c r="T330" s="8"/>
      <c r="U330" s="8"/>
      <c r="V330" s="8"/>
      <c r="W330" s="8"/>
      <c r="X330" s="8"/>
      <c r="Y330" s="8"/>
      <c r="Z330" s="8"/>
    </row>
    <row r="331" ht="16.5" customHeight="1">
      <c r="A331" s="8"/>
      <c r="B331" s="27"/>
      <c r="C331" s="27"/>
      <c r="D331" s="27"/>
      <c r="E331" s="28"/>
      <c r="F331" s="29"/>
      <c r="G331" s="28"/>
      <c r="H331" s="30"/>
      <c r="I331" s="31"/>
      <c r="J331" s="28"/>
      <c r="K331" s="27"/>
      <c r="L331" s="8"/>
      <c r="M331" s="8"/>
      <c r="N331" s="8"/>
      <c r="O331" s="8"/>
      <c r="P331" s="8"/>
      <c r="Q331" s="8"/>
      <c r="R331" s="8"/>
      <c r="S331" s="8"/>
      <c r="T331" s="8"/>
      <c r="U331" s="8"/>
      <c r="V331" s="8"/>
      <c r="W331" s="8"/>
      <c r="X331" s="8"/>
      <c r="Y331" s="8"/>
      <c r="Z331" s="8"/>
    </row>
    <row r="332" ht="16.5" customHeight="1">
      <c r="A332" s="8"/>
      <c r="B332" s="27"/>
      <c r="C332" s="27"/>
      <c r="D332" s="27"/>
      <c r="E332" s="28"/>
      <c r="F332" s="29"/>
      <c r="G332" s="28"/>
      <c r="H332" s="30"/>
      <c r="I332" s="31"/>
      <c r="J332" s="28"/>
      <c r="K332" s="27"/>
      <c r="L332" s="8"/>
      <c r="M332" s="8"/>
      <c r="N332" s="8"/>
      <c r="O332" s="8"/>
      <c r="P332" s="8"/>
      <c r="Q332" s="8"/>
      <c r="R332" s="8"/>
      <c r="S332" s="8"/>
      <c r="T332" s="8"/>
      <c r="U332" s="8"/>
      <c r="V332" s="8"/>
      <c r="W332" s="8"/>
      <c r="X332" s="8"/>
      <c r="Y332" s="8"/>
      <c r="Z332" s="8"/>
    </row>
    <row r="333" ht="16.5" customHeight="1">
      <c r="A333" s="8"/>
      <c r="B333" s="27"/>
      <c r="C333" s="27"/>
      <c r="D333" s="27"/>
      <c r="E333" s="28"/>
      <c r="F333" s="29"/>
      <c r="G333" s="28"/>
      <c r="H333" s="30"/>
      <c r="I333" s="31"/>
      <c r="J333" s="28"/>
      <c r="K333" s="27"/>
      <c r="L333" s="8"/>
      <c r="M333" s="8"/>
      <c r="N333" s="8"/>
      <c r="O333" s="8"/>
      <c r="P333" s="8"/>
      <c r="Q333" s="8"/>
      <c r="R333" s="8"/>
      <c r="S333" s="8"/>
      <c r="T333" s="8"/>
      <c r="U333" s="8"/>
      <c r="V333" s="8"/>
      <c r="W333" s="8"/>
      <c r="X333" s="8"/>
      <c r="Y333" s="8"/>
      <c r="Z333" s="8"/>
    </row>
    <row r="334" ht="16.5" customHeight="1">
      <c r="A334" s="8"/>
      <c r="B334" s="27"/>
      <c r="C334" s="27"/>
      <c r="D334" s="27"/>
      <c r="E334" s="28"/>
      <c r="F334" s="29"/>
      <c r="G334" s="28"/>
      <c r="H334" s="30"/>
      <c r="I334" s="31"/>
      <c r="J334" s="28"/>
      <c r="K334" s="27"/>
      <c r="L334" s="8"/>
      <c r="M334" s="8"/>
      <c r="N334" s="8"/>
      <c r="O334" s="8"/>
      <c r="P334" s="8"/>
      <c r="Q334" s="8"/>
      <c r="R334" s="8"/>
      <c r="S334" s="8"/>
      <c r="T334" s="8"/>
      <c r="U334" s="8"/>
      <c r="V334" s="8"/>
      <c r="W334" s="8"/>
      <c r="X334" s="8"/>
      <c r="Y334" s="8"/>
      <c r="Z334" s="8"/>
    </row>
    <row r="335" ht="16.5" customHeight="1">
      <c r="A335" s="8"/>
      <c r="B335" s="27"/>
      <c r="C335" s="27"/>
      <c r="D335" s="27"/>
      <c r="E335" s="28"/>
      <c r="F335" s="29"/>
      <c r="G335" s="28"/>
      <c r="H335" s="30"/>
      <c r="I335" s="31"/>
      <c r="J335" s="28"/>
      <c r="K335" s="27"/>
      <c r="L335" s="8"/>
      <c r="M335" s="8"/>
      <c r="N335" s="8"/>
      <c r="O335" s="8"/>
      <c r="P335" s="8"/>
      <c r="Q335" s="8"/>
      <c r="R335" s="8"/>
      <c r="S335" s="8"/>
      <c r="T335" s="8"/>
      <c r="U335" s="8"/>
      <c r="V335" s="8"/>
      <c r="W335" s="8"/>
      <c r="X335" s="8"/>
      <c r="Y335" s="8"/>
      <c r="Z335" s="8"/>
    </row>
    <row r="336" ht="16.5" customHeight="1">
      <c r="A336" s="8"/>
      <c r="B336" s="27"/>
      <c r="C336" s="27"/>
      <c r="D336" s="27"/>
      <c r="E336" s="28"/>
      <c r="F336" s="29"/>
      <c r="G336" s="28"/>
      <c r="H336" s="30"/>
      <c r="I336" s="31"/>
      <c r="J336" s="28"/>
      <c r="K336" s="27"/>
      <c r="L336" s="8"/>
      <c r="M336" s="8"/>
      <c r="N336" s="8"/>
      <c r="O336" s="8"/>
      <c r="P336" s="8"/>
      <c r="Q336" s="8"/>
      <c r="R336" s="8"/>
      <c r="S336" s="8"/>
      <c r="T336" s="8"/>
      <c r="U336" s="8"/>
      <c r="V336" s="8"/>
      <c r="W336" s="8"/>
      <c r="X336" s="8"/>
      <c r="Y336" s="8"/>
      <c r="Z336" s="8"/>
    </row>
    <row r="337" ht="16.5" customHeight="1">
      <c r="A337" s="8"/>
      <c r="B337" s="27"/>
      <c r="C337" s="27"/>
      <c r="D337" s="27"/>
      <c r="E337" s="28"/>
      <c r="F337" s="29"/>
      <c r="G337" s="28"/>
      <c r="H337" s="30"/>
      <c r="I337" s="31"/>
      <c r="J337" s="28"/>
      <c r="K337" s="27"/>
      <c r="L337" s="8"/>
      <c r="M337" s="8"/>
      <c r="N337" s="8"/>
      <c r="O337" s="8"/>
      <c r="P337" s="8"/>
      <c r="Q337" s="8"/>
      <c r="R337" s="8"/>
      <c r="S337" s="8"/>
      <c r="T337" s="8"/>
      <c r="U337" s="8"/>
      <c r="V337" s="8"/>
      <c r="W337" s="8"/>
      <c r="X337" s="8"/>
      <c r="Y337" s="8"/>
      <c r="Z337" s="8"/>
    </row>
    <row r="338" ht="16.5" customHeight="1">
      <c r="A338" s="8"/>
      <c r="B338" s="27"/>
      <c r="C338" s="27"/>
      <c r="D338" s="27"/>
      <c r="E338" s="28"/>
      <c r="F338" s="29"/>
      <c r="G338" s="28"/>
      <c r="H338" s="30"/>
      <c r="I338" s="31"/>
      <c r="J338" s="28"/>
      <c r="K338" s="27"/>
      <c r="L338" s="8"/>
      <c r="M338" s="8"/>
      <c r="N338" s="8"/>
      <c r="O338" s="8"/>
      <c r="P338" s="8"/>
      <c r="Q338" s="8"/>
      <c r="R338" s="8"/>
      <c r="S338" s="8"/>
      <c r="T338" s="8"/>
      <c r="U338" s="8"/>
      <c r="V338" s="8"/>
      <c r="W338" s="8"/>
      <c r="X338" s="8"/>
      <c r="Y338" s="8"/>
      <c r="Z338" s="8"/>
    </row>
    <row r="339" ht="16.5" customHeight="1">
      <c r="A339" s="8"/>
      <c r="B339" s="27"/>
      <c r="C339" s="27"/>
      <c r="D339" s="27"/>
      <c r="E339" s="28"/>
      <c r="F339" s="29"/>
      <c r="G339" s="28"/>
      <c r="H339" s="30"/>
      <c r="I339" s="31"/>
      <c r="J339" s="28"/>
      <c r="K339" s="27"/>
      <c r="L339" s="8"/>
      <c r="M339" s="8"/>
      <c r="N339" s="8"/>
      <c r="O339" s="8"/>
      <c r="P339" s="8"/>
      <c r="Q339" s="8"/>
      <c r="R339" s="8"/>
      <c r="S339" s="8"/>
      <c r="T339" s="8"/>
      <c r="U339" s="8"/>
      <c r="V339" s="8"/>
      <c r="W339" s="8"/>
      <c r="X339" s="8"/>
      <c r="Y339" s="8"/>
      <c r="Z339" s="8"/>
    </row>
    <row r="340" ht="16.5" customHeight="1">
      <c r="A340" s="8"/>
      <c r="B340" s="27"/>
      <c r="C340" s="27"/>
      <c r="D340" s="27"/>
      <c r="E340" s="28"/>
      <c r="F340" s="29"/>
      <c r="G340" s="28"/>
      <c r="H340" s="30"/>
      <c r="I340" s="31"/>
      <c r="J340" s="28"/>
      <c r="K340" s="27"/>
      <c r="L340" s="8"/>
      <c r="M340" s="8"/>
      <c r="N340" s="8"/>
      <c r="O340" s="8"/>
      <c r="P340" s="8"/>
      <c r="Q340" s="8"/>
      <c r="R340" s="8"/>
      <c r="S340" s="8"/>
      <c r="T340" s="8"/>
      <c r="U340" s="8"/>
      <c r="V340" s="8"/>
      <c r="W340" s="8"/>
      <c r="X340" s="8"/>
      <c r="Y340" s="8"/>
      <c r="Z340" s="8"/>
    </row>
    <row r="341" ht="16.5" customHeight="1">
      <c r="A341" s="8"/>
      <c r="B341" s="27"/>
      <c r="C341" s="27"/>
      <c r="D341" s="27"/>
      <c r="E341" s="28"/>
      <c r="F341" s="29"/>
      <c r="G341" s="28"/>
      <c r="H341" s="30"/>
      <c r="I341" s="31"/>
      <c r="J341" s="28"/>
      <c r="K341" s="27"/>
      <c r="L341" s="8"/>
      <c r="M341" s="8"/>
      <c r="N341" s="8"/>
      <c r="O341" s="8"/>
      <c r="P341" s="8"/>
      <c r="Q341" s="8"/>
      <c r="R341" s="8"/>
      <c r="S341" s="8"/>
      <c r="T341" s="8"/>
      <c r="U341" s="8"/>
      <c r="V341" s="8"/>
      <c r="W341" s="8"/>
      <c r="X341" s="8"/>
      <c r="Y341" s="8"/>
      <c r="Z341" s="8"/>
    </row>
    <row r="342" ht="16.5" customHeight="1">
      <c r="A342" s="8"/>
      <c r="B342" s="27"/>
      <c r="C342" s="27"/>
      <c r="D342" s="27"/>
      <c r="E342" s="28"/>
      <c r="F342" s="29"/>
      <c r="G342" s="28"/>
      <c r="H342" s="30"/>
      <c r="I342" s="31"/>
      <c r="J342" s="28"/>
      <c r="K342" s="27"/>
      <c r="L342" s="8"/>
      <c r="M342" s="8"/>
      <c r="N342" s="8"/>
      <c r="O342" s="8"/>
      <c r="P342" s="8"/>
      <c r="Q342" s="8"/>
      <c r="R342" s="8"/>
      <c r="S342" s="8"/>
      <c r="T342" s="8"/>
      <c r="U342" s="8"/>
      <c r="V342" s="8"/>
      <c r="W342" s="8"/>
      <c r="X342" s="8"/>
      <c r="Y342" s="8"/>
      <c r="Z342" s="8"/>
    </row>
    <row r="343" ht="16.5" customHeight="1">
      <c r="A343" s="8"/>
      <c r="B343" s="27"/>
      <c r="C343" s="27"/>
      <c r="D343" s="27"/>
      <c r="E343" s="28"/>
      <c r="F343" s="29"/>
      <c r="G343" s="28"/>
      <c r="H343" s="30"/>
      <c r="I343" s="31"/>
      <c r="J343" s="28"/>
      <c r="K343" s="27"/>
      <c r="L343" s="8"/>
      <c r="M343" s="8"/>
      <c r="N343" s="8"/>
      <c r="O343" s="8"/>
      <c r="P343" s="8"/>
      <c r="Q343" s="8"/>
      <c r="R343" s="8"/>
      <c r="S343" s="8"/>
      <c r="T343" s="8"/>
      <c r="U343" s="8"/>
      <c r="V343" s="8"/>
      <c r="W343" s="8"/>
      <c r="X343" s="8"/>
      <c r="Y343" s="8"/>
      <c r="Z343" s="8"/>
    </row>
    <row r="344" ht="16.5" customHeight="1">
      <c r="A344" s="8"/>
      <c r="B344" s="27"/>
      <c r="C344" s="27"/>
      <c r="D344" s="27"/>
      <c r="E344" s="28"/>
      <c r="F344" s="29"/>
      <c r="G344" s="28"/>
      <c r="H344" s="30"/>
      <c r="I344" s="31"/>
      <c r="J344" s="28"/>
      <c r="K344" s="27"/>
      <c r="L344" s="8"/>
      <c r="M344" s="8"/>
      <c r="N344" s="8"/>
      <c r="O344" s="8"/>
      <c r="P344" s="8"/>
      <c r="Q344" s="8"/>
      <c r="R344" s="8"/>
      <c r="S344" s="8"/>
      <c r="T344" s="8"/>
      <c r="U344" s="8"/>
      <c r="V344" s="8"/>
      <c r="W344" s="8"/>
      <c r="X344" s="8"/>
      <c r="Y344" s="8"/>
      <c r="Z344" s="8"/>
    </row>
    <row r="345" ht="16.5" customHeight="1">
      <c r="A345" s="8"/>
      <c r="B345" s="27"/>
      <c r="C345" s="27"/>
      <c r="D345" s="27"/>
      <c r="E345" s="28"/>
      <c r="F345" s="29"/>
      <c r="G345" s="28"/>
      <c r="H345" s="30"/>
      <c r="I345" s="31"/>
      <c r="J345" s="28"/>
      <c r="K345" s="27"/>
      <c r="L345" s="8"/>
      <c r="M345" s="8"/>
      <c r="N345" s="8"/>
      <c r="O345" s="8"/>
      <c r="P345" s="8"/>
      <c r="Q345" s="8"/>
      <c r="R345" s="8"/>
      <c r="S345" s="8"/>
      <c r="T345" s="8"/>
      <c r="U345" s="8"/>
      <c r="V345" s="8"/>
      <c r="W345" s="8"/>
      <c r="X345" s="8"/>
      <c r="Y345" s="8"/>
      <c r="Z345" s="8"/>
    </row>
    <row r="346" ht="16.5" customHeight="1">
      <c r="A346" s="8"/>
      <c r="B346" s="27"/>
      <c r="C346" s="27"/>
      <c r="D346" s="27"/>
      <c r="E346" s="28"/>
      <c r="F346" s="29"/>
      <c r="G346" s="28"/>
      <c r="H346" s="30"/>
      <c r="I346" s="31"/>
      <c r="J346" s="28"/>
      <c r="K346" s="27"/>
      <c r="L346" s="8"/>
      <c r="M346" s="8"/>
      <c r="N346" s="8"/>
      <c r="O346" s="8"/>
      <c r="P346" s="8"/>
      <c r="Q346" s="8"/>
      <c r="R346" s="8"/>
      <c r="S346" s="8"/>
      <c r="T346" s="8"/>
      <c r="U346" s="8"/>
      <c r="V346" s="8"/>
      <c r="W346" s="8"/>
      <c r="X346" s="8"/>
      <c r="Y346" s="8"/>
      <c r="Z346" s="8"/>
    </row>
    <row r="347" ht="16.5" customHeight="1">
      <c r="A347" s="8"/>
      <c r="B347" s="27"/>
      <c r="C347" s="27"/>
      <c r="D347" s="27"/>
      <c r="E347" s="28"/>
      <c r="F347" s="29"/>
      <c r="G347" s="28"/>
      <c r="H347" s="30"/>
      <c r="I347" s="31"/>
      <c r="J347" s="28"/>
      <c r="K347" s="27"/>
      <c r="L347" s="8"/>
      <c r="M347" s="8"/>
      <c r="N347" s="8"/>
      <c r="O347" s="8"/>
      <c r="P347" s="8"/>
      <c r="Q347" s="8"/>
      <c r="R347" s="8"/>
      <c r="S347" s="8"/>
      <c r="T347" s="8"/>
      <c r="U347" s="8"/>
      <c r="V347" s="8"/>
      <c r="W347" s="8"/>
      <c r="X347" s="8"/>
      <c r="Y347" s="8"/>
      <c r="Z347" s="8"/>
    </row>
    <row r="348" ht="16.5" customHeight="1">
      <c r="A348" s="8"/>
      <c r="B348" s="27"/>
      <c r="C348" s="27"/>
      <c r="D348" s="27"/>
      <c r="E348" s="28"/>
      <c r="F348" s="29"/>
      <c r="G348" s="28"/>
      <c r="H348" s="30"/>
      <c r="I348" s="31"/>
      <c r="J348" s="28"/>
      <c r="K348" s="27"/>
      <c r="L348" s="8"/>
      <c r="M348" s="8"/>
      <c r="N348" s="8"/>
      <c r="O348" s="8"/>
      <c r="P348" s="8"/>
      <c r="Q348" s="8"/>
      <c r="R348" s="8"/>
      <c r="S348" s="8"/>
      <c r="T348" s="8"/>
      <c r="U348" s="8"/>
      <c r="V348" s="8"/>
      <c r="W348" s="8"/>
      <c r="X348" s="8"/>
      <c r="Y348" s="8"/>
      <c r="Z348" s="8"/>
    </row>
    <row r="349" ht="16.5" customHeight="1">
      <c r="A349" s="8"/>
      <c r="B349" s="27"/>
      <c r="C349" s="27"/>
      <c r="D349" s="27"/>
      <c r="E349" s="28"/>
      <c r="F349" s="29"/>
      <c r="G349" s="28"/>
      <c r="H349" s="30"/>
      <c r="I349" s="31"/>
      <c r="J349" s="28"/>
      <c r="K349" s="27"/>
      <c r="L349" s="8"/>
      <c r="M349" s="8"/>
      <c r="N349" s="8"/>
      <c r="O349" s="8"/>
      <c r="P349" s="8"/>
      <c r="Q349" s="8"/>
      <c r="R349" s="8"/>
      <c r="S349" s="8"/>
      <c r="T349" s="8"/>
      <c r="U349" s="8"/>
      <c r="V349" s="8"/>
      <c r="W349" s="8"/>
      <c r="X349" s="8"/>
      <c r="Y349" s="8"/>
      <c r="Z349" s="8"/>
    </row>
    <row r="350" ht="16.5" customHeight="1">
      <c r="A350" s="8"/>
      <c r="B350" s="27"/>
      <c r="C350" s="27"/>
      <c r="D350" s="27"/>
      <c r="E350" s="28"/>
      <c r="F350" s="29"/>
      <c r="G350" s="28"/>
      <c r="H350" s="30"/>
      <c r="I350" s="31"/>
      <c r="J350" s="28"/>
      <c r="K350" s="27"/>
      <c r="L350" s="8"/>
      <c r="M350" s="8"/>
      <c r="N350" s="8"/>
      <c r="O350" s="8"/>
      <c r="P350" s="8"/>
      <c r="Q350" s="8"/>
      <c r="R350" s="8"/>
      <c r="S350" s="8"/>
      <c r="T350" s="8"/>
      <c r="U350" s="8"/>
      <c r="V350" s="8"/>
      <c r="W350" s="8"/>
      <c r="X350" s="8"/>
      <c r="Y350" s="8"/>
      <c r="Z350" s="8"/>
    </row>
    <row r="351" ht="16.5" customHeight="1">
      <c r="A351" s="8"/>
      <c r="B351" s="27"/>
      <c r="C351" s="27"/>
      <c r="D351" s="27"/>
      <c r="E351" s="28"/>
      <c r="F351" s="29"/>
      <c r="G351" s="28"/>
      <c r="H351" s="30"/>
      <c r="I351" s="31"/>
      <c r="J351" s="28"/>
      <c r="K351" s="27"/>
      <c r="L351" s="8"/>
      <c r="M351" s="8"/>
      <c r="N351" s="8"/>
      <c r="O351" s="8"/>
      <c r="P351" s="8"/>
      <c r="Q351" s="8"/>
      <c r="R351" s="8"/>
      <c r="S351" s="8"/>
      <c r="T351" s="8"/>
      <c r="U351" s="8"/>
      <c r="V351" s="8"/>
      <c r="W351" s="8"/>
      <c r="X351" s="8"/>
      <c r="Y351" s="8"/>
      <c r="Z351" s="8"/>
    </row>
    <row r="352" ht="16.5" customHeight="1">
      <c r="A352" s="8"/>
      <c r="B352" s="27"/>
      <c r="C352" s="27"/>
      <c r="D352" s="27"/>
      <c r="E352" s="28"/>
      <c r="F352" s="29"/>
      <c r="G352" s="28"/>
      <c r="H352" s="30"/>
      <c r="I352" s="31"/>
      <c r="J352" s="28"/>
      <c r="K352" s="27"/>
      <c r="L352" s="8"/>
      <c r="M352" s="8"/>
      <c r="N352" s="8"/>
      <c r="O352" s="8"/>
      <c r="P352" s="8"/>
      <c r="Q352" s="8"/>
      <c r="R352" s="8"/>
      <c r="S352" s="8"/>
      <c r="T352" s="8"/>
      <c r="U352" s="8"/>
      <c r="V352" s="8"/>
      <c r="W352" s="8"/>
      <c r="X352" s="8"/>
      <c r="Y352" s="8"/>
      <c r="Z352" s="8"/>
    </row>
    <row r="353" ht="16.5" customHeight="1">
      <c r="A353" s="8"/>
      <c r="B353" s="27"/>
      <c r="C353" s="27"/>
      <c r="D353" s="27"/>
      <c r="E353" s="28"/>
      <c r="F353" s="29"/>
      <c r="G353" s="28"/>
      <c r="H353" s="30"/>
      <c r="I353" s="31"/>
      <c r="J353" s="28"/>
      <c r="K353" s="27"/>
      <c r="L353" s="8"/>
      <c r="M353" s="8"/>
      <c r="N353" s="8"/>
      <c r="O353" s="8"/>
      <c r="P353" s="8"/>
      <c r="Q353" s="8"/>
      <c r="R353" s="8"/>
      <c r="S353" s="8"/>
      <c r="T353" s="8"/>
      <c r="U353" s="8"/>
      <c r="V353" s="8"/>
      <c r="W353" s="8"/>
      <c r="X353" s="8"/>
      <c r="Y353" s="8"/>
      <c r="Z353" s="8"/>
    </row>
    <row r="354" ht="16.5" customHeight="1">
      <c r="A354" s="8"/>
      <c r="B354" s="27"/>
      <c r="C354" s="27"/>
      <c r="D354" s="27"/>
      <c r="E354" s="28"/>
      <c r="F354" s="29"/>
      <c r="G354" s="28"/>
      <c r="H354" s="30"/>
      <c r="I354" s="31"/>
      <c r="J354" s="28"/>
      <c r="K354" s="27"/>
      <c r="L354" s="8"/>
      <c r="M354" s="8"/>
      <c r="N354" s="8"/>
      <c r="O354" s="8"/>
      <c r="P354" s="8"/>
      <c r="Q354" s="8"/>
      <c r="R354" s="8"/>
      <c r="S354" s="8"/>
      <c r="T354" s="8"/>
      <c r="U354" s="8"/>
      <c r="V354" s="8"/>
      <c r="W354" s="8"/>
      <c r="X354" s="8"/>
      <c r="Y354" s="8"/>
      <c r="Z354" s="8"/>
    </row>
    <row r="355" ht="16.5" customHeight="1">
      <c r="A355" s="8"/>
      <c r="B355" s="27"/>
      <c r="C355" s="27"/>
      <c r="D355" s="27"/>
      <c r="E355" s="28"/>
      <c r="F355" s="29"/>
      <c r="G355" s="28"/>
      <c r="H355" s="30"/>
      <c r="I355" s="31"/>
      <c r="J355" s="28"/>
      <c r="K355" s="27"/>
      <c r="L355" s="8"/>
      <c r="M355" s="8"/>
      <c r="N355" s="8"/>
      <c r="O355" s="8"/>
      <c r="P355" s="8"/>
      <c r="Q355" s="8"/>
      <c r="R355" s="8"/>
      <c r="S355" s="8"/>
      <c r="T355" s="8"/>
      <c r="U355" s="8"/>
      <c r="V355" s="8"/>
      <c r="W355" s="8"/>
      <c r="X355" s="8"/>
      <c r="Y355" s="8"/>
      <c r="Z355" s="8"/>
    </row>
    <row r="356" ht="16.5" customHeight="1">
      <c r="A356" s="8"/>
      <c r="B356" s="27"/>
      <c r="C356" s="27"/>
      <c r="D356" s="27"/>
      <c r="E356" s="28"/>
      <c r="F356" s="29"/>
      <c r="G356" s="28"/>
      <c r="H356" s="30"/>
      <c r="I356" s="31"/>
      <c r="J356" s="28"/>
      <c r="K356" s="27"/>
      <c r="L356" s="8"/>
      <c r="M356" s="8"/>
      <c r="N356" s="8"/>
      <c r="O356" s="8"/>
      <c r="P356" s="8"/>
      <c r="Q356" s="8"/>
      <c r="R356" s="8"/>
      <c r="S356" s="8"/>
      <c r="T356" s="8"/>
      <c r="U356" s="8"/>
      <c r="V356" s="8"/>
      <c r="W356" s="8"/>
      <c r="X356" s="8"/>
      <c r="Y356" s="8"/>
      <c r="Z356" s="8"/>
    </row>
    <row r="357" ht="16.5" customHeight="1">
      <c r="A357" s="8"/>
      <c r="B357" s="27"/>
      <c r="C357" s="27"/>
      <c r="D357" s="27"/>
      <c r="E357" s="28"/>
      <c r="F357" s="29"/>
      <c r="G357" s="28"/>
      <c r="H357" s="30"/>
      <c r="I357" s="31"/>
      <c r="J357" s="28"/>
      <c r="K357" s="27"/>
      <c r="L357" s="8"/>
      <c r="M357" s="8"/>
      <c r="N357" s="8"/>
      <c r="O357" s="8"/>
      <c r="P357" s="8"/>
      <c r="Q357" s="8"/>
      <c r="R357" s="8"/>
      <c r="S357" s="8"/>
      <c r="T357" s="8"/>
      <c r="U357" s="8"/>
      <c r="V357" s="8"/>
      <c r="W357" s="8"/>
      <c r="X357" s="8"/>
      <c r="Y357" s="8"/>
      <c r="Z357" s="8"/>
    </row>
    <row r="358" ht="16.5" customHeight="1">
      <c r="A358" s="8"/>
      <c r="B358" s="27"/>
      <c r="C358" s="27"/>
      <c r="D358" s="27"/>
      <c r="E358" s="28"/>
      <c r="F358" s="29"/>
      <c r="G358" s="28"/>
      <c r="H358" s="30"/>
      <c r="I358" s="31"/>
      <c r="J358" s="28"/>
      <c r="K358" s="27"/>
      <c r="L358" s="8"/>
      <c r="M358" s="8"/>
      <c r="N358" s="8"/>
      <c r="O358" s="8"/>
      <c r="P358" s="8"/>
      <c r="Q358" s="8"/>
      <c r="R358" s="8"/>
      <c r="S358" s="8"/>
      <c r="T358" s="8"/>
      <c r="U358" s="8"/>
      <c r="V358" s="8"/>
      <c r="W358" s="8"/>
      <c r="X358" s="8"/>
      <c r="Y358" s="8"/>
      <c r="Z358" s="8"/>
    </row>
    <row r="359" ht="16.5" customHeight="1">
      <c r="A359" s="8"/>
      <c r="B359" s="27"/>
      <c r="C359" s="27"/>
      <c r="D359" s="27"/>
      <c r="E359" s="28"/>
      <c r="F359" s="29"/>
      <c r="G359" s="28"/>
      <c r="H359" s="30"/>
      <c r="I359" s="31"/>
      <c r="J359" s="28"/>
      <c r="K359" s="27"/>
      <c r="L359" s="8"/>
      <c r="M359" s="8"/>
      <c r="N359" s="8"/>
      <c r="O359" s="8"/>
      <c r="P359" s="8"/>
      <c r="Q359" s="8"/>
      <c r="R359" s="8"/>
      <c r="S359" s="8"/>
      <c r="T359" s="8"/>
      <c r="U359" s="8"/>
      <c r="V359" s="8"/>
      <c r="W359" s="8"/>
      <c r="X359" s="8"/>
      <c r="Y359" s="8"/>
      <c r="Z359" s="8"/>
    </row>
    <row r="360" ht="16.5" customHeight="1">
      <c r="A360" s="8"/>
      <c r="B360" s="27"/>
      <c r="C360" s="27"/>
      <c r="D360" s="27"/>
      <c r="E360" s="28"/>
      <c r="F360" s="29"/>
      <c r="G360" s="28"/>
      <c r="H360" s="30"/>
      <c r="I360" s="31"/>
      <c r="J360" s="28"/>
      <c r="K360" s="27"/>
      <c r="L360" s="8"/>
      <c r="M360" s="8"/>
      <c r="N360" s="8"/>
      <c r="O360" s="8"/>
      <c r="P360" s="8"/>
      <c r="Q360" s="8"/>
      <c r="R360" s="8"/>
      <c r="S360" s="8"/>
      <c r="T360" s="8"/>
      <c r="U360" s="8"/>
      <c r="V360" s="8"/>
      <c r="W360" s="8"/>
      <c r="X360" s="8"/>
      <c r="Y360" s="8"/>
      <c r="Z360" s="8"/>
    </row>
    <row r="361" ht="16.5" customHeight="1">
      <c r="A361" s="8"/>
      <c r="B361" s="27"/>
      <c r="C361" s="27"/>
      <c r="D361" s="27"/>
      <c r="E361" s="28"/>
      <c r="F361" s="29"/>
      <c r="G361" s="28"/>
      <c r="H361" s="30"/>
      <c r="I361" s="31"/>
      <c r="J361" s="28"/>
      <c r="K361" s="27"/>
      <c r="L361" s="8"/>
      <c r="M361" s="8"/>
      <c r="N361" s="8"/>
      <c r="O361" s="8"/>
      <c r="P361" s="8"/>
      <c r="Q361" s="8"/>
      <c r="R361" s="8"/>
      <c r="S361" s="8"/>
      <c r="T361" s="8"/>
      <c r="U361" s="8"/>
      <c r="V361" s="8"/>
      <c r="W361" s="8"/>
      <c r="X361" s="8"/>
      <c r="Y361" s="8"/>
      <c r="Z361" s="8"/>
    </row>
    <row r="362" ht="16.5" customHeight="1">
      <c r="A362" s="8"/>
      <c r="B362" s="27"/>
      <c r="C362" s="27"/>
      <c r="D362" s="27"/>
      <c r="E362" s="28"/>
      <c r="F362" s="29"/>
      <c r="G362" s="28"/>
      <c r="H362" s="30"/>
      <c r="I362" s="31"/>
      <c r="J362" s="28"/>
      <c r="K362" s="27"/>
      <c r="L362" s="8"/>
      <c r="M362" s="8"/>
      <c r="N362" s="8"/>
      <c r="O362" s="8"/>
      <c r="P362" s="8"/>
      <c r="Q362" s="8"/>
      <c r="R362" s="8"/>
      <c r="S362" s="8"/>
      <c r="T362" s="8"/>
      <c r="U362" s="8"/>
      <c r="V362" s="8"/>
      <c r="W362" s="8"/>
      <c r="X362" s="8"/>
      <c r="Y362" s="8"/>
      <c r="Z362" s="8"/>
    </row>
    <row r="363" ht="16.5" customHeight="1">
      <c r="A363" s="8"/>
      <c r="B363" s="27"/>
      <c r="C363" s="27"/>
      <c r="D363" s="27"/>
      <c r="E363" s="28"/>
      <c r="F363" s="29"/>
      <c r="G363" s="28"/>
      <c r="H363" s="30"/>
      <c r="I363" s="31"/>
      <c r="J363" s="28"/>
      <c r="K363" s="27"/>
      <c r="L363" s="8"/>
      <c r="M363" s="8"/>
      <c r="N363" s="8"/>
      <c r="O363" s="8"/>
      <c r="P363" s="8"/>
      <c r="Q363" s="8"/>
      <c r="R363" s="8"/>
      <c r="S363" s="8"/>
      <c r="T363" s="8"/>
      <c r="U363" s="8"/>
      <c r="V363" s="8"/>
      <c r="W363" s="8"/>
      <c r="X363" s="8"/>
      <c r="Y363" s="8"/>
      <c r="Z363" s="8"/>
    </row>
    <row r="364" ht="16.5" customHeight="1">
      <c r="A364" s="8"/>
      <c r="B364" s="27"/>
      <c r="C364" s="27"/>
      <c r="D364" s="27"/>
      <c r="E364" s="28"/>
      <c r="F364" s="29"/>
      <c r="G364" s="28"/>
      <c r="H364" s="30"/>
      <c r="I364" s="31"/>
      <c r="J364" s="28"/>
      <c r="K364" s="27"/>
      <c r="L364" s="8"/>
      <c r="M364" s="8"/>
      <c r="N364" s="8"/>
      <c r="O364" s="8"/>
      <c r="P364" s="8"/>
      <c r="Q364" s="8"/>
      <c r="R364" s="8"/>
      <c r="S364" s="8"/>
      <c r="T364" s="8"/>
      <c r="U364" s="8"/>
      <c r="V364" s="8"/>
      <c r="W364" s="8"/>
      <c r="X364" s="8"/>
      <c r="Y364" s="8"/>
      <c r="Z364" s="8"/>
    </row>
    <row r="365" ht="16.5" customHeight="1">
      <c r="A365" s="8"/>
      <c r="B365" s="27"/>
      <c r="C365" s="27"/>
      <c r="D365" s="27"/>
      <c r="E365" s="28"/>
      <c r="F365" s="29"/>
      <c r="G365" s="28"/>
      <c r="H365" s="30"/>
      <c r="I365" s="31"/>
      <c r="J365" s="28"/>
      <c r="K365" s="27"/>
      <c r="L365" s="8"/>
      <c r="M365" s="8"/>
      <c r="N365" s="8"/>
      <c r="O365" s="8"/>
      <c r="P365" s="8"/>
      <c r="Q365" s="8"/>
      <c r="R365" s="8"/>
      <c r="S365" s="8"/>
      <c r="T365" s="8"/>
      <c r="U365" s="8"/>
      <c r="V365" s="8"/>
      <c r="W365" s="8"/>
      <c r="X365" s="8"/>
      <c r="Y365" s="8"/>
      <c r="Z365" s="8"/>
    </row>
    <row r="366" ht="16.5" customHeight="1">
      <c r="A366" s="8"/>
      <c r="B366" s="27"/>
      <c r="C366" s="27"/>
      <c r="D366" s="27"/>
      <c r="E366" s="28"/>
      <c r="F366" s="29"/>
      <c r="G366" s="28"/>
      <c r="H366" s="30"/>
      <c r="I366" s="31"/>
      <c r="J366" s="28"/>
      <c r="K366" s="27"/>
      <c r="L366" s="8"/>
      <c r="M366" s="8"/>
      <c r="N366" s="8"/>
      <c r="O366" s="8"/>
      <c r="P366" s="8"/>
      <c r="Q366" s="8"/>
      <c r="R366" s="8"/>
      <c r="S366" s="8"/>
      <c r="T366" s="8"/>
      <c r="U366" s="8"/>
      <c r="V366" s="8"/>
      <c r="W366" s="8"/>
      <c r="X366" s="8"/>
      <c r="Y366" s="8"/>
      <c r="Z366" s="8"/>
    </row>
    <row r="367" ht="16.5" customHeight="1">
      <c r="A367" s="8"/>
      <c r="B367" s="27"/>
      <c r="C367" s="27"/>
      <c r="D367" s="27"/>
      <c r="E367" s="28"/>
      <c r="F367" s="29"/>
      <c r="G367" s="28"/>
      <c r="H367" s="30"/>
      <c r="I367" s="31"/>
      <c r="J367" s="28"/>
      <c r="K367" s="27"/>
      <c r="L367" s="8"/>
      <c r="M367" s="8"/>
      <c r="N367" s="8"/>
      <c r="O367" s="8"/>
      <c r="P367" s="8"/>
      <c r="Q367" s="8"/>
      <c r="R367" s="8"/>
      <c r="S367" s="8"/>
      <c r="T367" s="8"/>
      <c r="U367" s="8"/>
      <c r="V367" s="8"/>
      <c r="W367" s="8"/>
      <c r="X367" s="8"/>
      <c r="Y367" s="8"/>
      <c r="Z367" s="8"/>
    </row>
    <row r="368" ht="16.5" customHeight="1">
      <c r="A368" s="8"/>
      <c r="B368" s="27"/>
      <c r="C368" s="27"/>
      <c r="D368" s="27"/>
      <c r="E368" s="28"/>
      <c r="F368" s="29"/>
      <c r="G368" s="28"/>
      <c r="H368" s="30"/>
      <c r="I368" s="31"/>
      <c r="J368" s="28"/>
      <c r="K368" s="27"/>
      <c r="L368" s="8"/>
      <c r="M368" s="8"/>
      <c r="N368" s="8"/>
      <c r="O368" s="8"/>
      <c r="P368" s="8"/>
      <c r="Q368" s="8"/>
      <c r="R368" s="8"/>
      <c r="S368" s="8"/>
      <c r="T368" s="8"/>
      <c r="U368" s="8"/>
      <c r="V368" s="8"/>
      <c r="W368" s="8"/>
      <c r="X368" s="8"/>
      <c r="Y368" s="8"/>
      <c r="Z368" s="8"/>
    </row>
    <row r="369" ht="16.5" customHeight="1">
      <c r="A369" s="8"/>
      <c r="B369" s="27"/>
      <c r="C369" s="27"/>
      <c r="D369" s="27"/>
      <c r="E369" s="28"/>
      <c r="F369" s="29"/>
      <c r="G369" s="28"/>
      <c r="H369" s="30"/>
      <c r="I369" s="31"/>
      <c r="J369" s="28"/>
      <c r="K369" s="27"/>
      <c r="L369" s="8"/>
      <c r="M369" s="8"/>
      <c r="N369" s="8"/>
      <c r="O369" s="8"/>
      <c r="P369" s="8"/>
      <c r="Q369" s="8"/>
      <c r="R369" s="8"/>
      <c r="S369" s="8"/>
      <c r="T369" s="8"/>
      <c r="U369" s="8"/>
      <c r="V369" s="8"/>
      <c r="W369" s="8"/>
      <c r="X369" s="8"/>
      <c r="Y369" s="8"/>
      <c r="Z369" s="8"/>
    </row>
    <row r="370" ht="16.5" customHeight="1">
      <c r="A370" s="8"/>
      <c r="B370" s="27"/>
      <c r="C370" s="27"/>
      <c r="D370" s="27"/>
      <c r="E370" s="28"/>
      <c r="F370" s="29"/>
      <c r="G370" s="28"/>
      <c r="H370" s="30"/>
      <c r="I370" s="31"/>
      <c r="J370" s="28"/>
      <c r="K370" s="27"/>
      <c r="L370" s="8"/>
      <c r="M370" s="8"/>
      <c r="N370" s="8"/>
      <c r="O370" s="8"/>
      <c r="P370" s="8"/>
      <c r="Q370" s="8"/>
      <c r="R370" s="8"/>
      <c r="S370" s="8"/>
      <c r="T370" s="8"/>
      <c r="U370" s="8"/>
      <c r="V370" s="8"/>
      <c r="W370" s="8"/>
      <c r="X370" s="8"/>
      <c r="Y370" s="8"/>
      <c r="Z370" s="8"/>
    </row>
    <row r="371" ht="16.5" customHeight="1">
      <c r="A371" s="8"/>
      <c r="B371" s="27"/>
      <c r="C371" s="27"/>
      <c r="D371" s="27"/>
      <c r="E371" s="28"/>
      <c r="F371" s="29"/>
      <c r="G371" s="28"/>
      <c r="H371" s="30"/>
      <c r="I371" s="31"/>
      <c r="J371" s="28"/>
      <c r="K371" s="27"/>
      <c r="L371" s="8"/>
      <c r="M371" s="8"/>
      <c r="N371" s="8"/>
      <c r="O371" s="8"/>
      <c r="P371" s="8"/>
      <c r="Q371" s="8"/>
      <c r="R371" s="8"/>
      <c r="S371" s="8"/>
      <c r="T371" s="8"/>
      <c r="U371" s="8"/>
      <c r="V371" s="8"/>
      <c r="W371" s="8"/>
      <c r="X371" s="8"/>
      <c r="Y371" s="8"/>
      <c r="Z371" s="8"/>
    </row>
    <row r="372" ht="16.5" customHeight="1">
      <c r="A372" s="8"/>
      <c r="B372" s="27"/>
      <c r="C372" s="27"/>
      <c r="D372" s="27"/>
      <c r="E372" s="28"/>
      <c r="F372" s="29"/>
      <c r="G372" s="28"/>
      <c r="H372" s="30"/>
      <c r="I372" s="31"/>
      <c r="J372" s="28"/>
      <c r="K372" s="27"/>
      <c r="L372" s="8"/>
      <c r="M372" s="8"/>
      <c r="N372" s="8"/>
      <c r="O372" s="8"/>
      <c r="P372" s="8"/>
      <c r="Q372" s="8"/>
      <c r="R372" s="8"/>
      <c r="S372" s="8"/>
      <c r="T372" s="8"/>
      <c r="U372" s="8"/>
      <c r="V372" s="8"/>
      <c r="W372" s="8"/>
      <c r="X372" s="8"/>
      <c r="Y372" s="8"/>
      <c r="Z372" s="8"/>
    </row>
    <row r="373" ht="16.5" customHeight="1">
      <c r="A373" s="8"/>
      <c r="B373" s="27"/>
      <c r="C373" s="27"/>
      <c r="D373" s="27"/>
      <c r="E373" s="28"/>
      <c r="F373" s="29"/>
      <c r="G373" s="28"/>
      <c r="H373" s="30"/>
      <c r="I373" s="31"/>
      <c r="J373" s="28"/>
      <c r="K373" s="27"/>
      <c r="L373" s="8"/>
      <c r="M373" s="8"/>
      <c r="N373" s="8"/>
      <c r="O373" s="8"/>
      <c r="P373" s="8"/>
      <c r="Q373" s="8"/>
      <c r="R373" s="8"/>
      <c r="S373" s="8"/>
      <c r="T373" s="8"/>
      <c r="U373" s="8"/>
      <c r="V373" s="8"/>
      <c r="W373" s="8"/>
      <c r="X373" s="8"/>
      <c r="Y373" s="8"/>
      <c r="Z373" s="8"/>
    </row>
    <row r="374" ht="16.5" customHeight="1">
      <c r="A374" s="8"/>
      <c r="B374" s="27"/>
      <c r="C374" s="27"/>
      <c r="D374" s="27"/>
      <c r="E374" s="28"/>
      <c r="F374" s="29"/>
      <c r="G374" s="28"/>
      <c r="H374" s="30"/>
      <c r="I374" s="31"/>
      <c r="J374" s="28"/>
      <c r="K374" s="27"/>
      <c r="L374" s="8"/>
      <c r="M374" s="8"/>
      <c r="N374" s="8"/>
      <c r="O374" s="8"/>
      <c r="P374" s="8"/>
      <c r="Q374" s="8"/>
      <c r="R374" s="8"/>
      <c r="S374" s="8"/>
      <c r="T374" s="8"/>
      <c r="U374" s="8"/>
      <c r="V374" s="8"/>
      <c r="W374" s="8"/>
      <c r="X374" s="8"/>
      <c r="Y374" s="8"/>
      <c r="Z374" s="8"/>
    </row>
    <row r="375" ht="16.5" customHeight="1">
      <c r="A375" s="8"/>
      <c r="B375" s="27"/>
      <c r="C375" s="27"/>
      <c r="D375" s="27"/>
      <c r="E375" s="28"/>
      <c r="F375" s="29"/>
      <c r="G375" s="28"/>
      <c r="H375" s="30"/>
      <c r="I375" s="31"/>
      <c r="J375" s="28"/>
      <c r="K375" s="27"/>
      <c r="L375" s="8"/>
      <c r="M375" s="8"/>
      <c r="N375" s="8"/>
      <c r="O375" s="8"/>
      <c r="P375" s="8"/>
      <c r="Q375" s="8"/>
      <c r="R375" s="8"/>
      <c r="S375" s="8"/>
      <c r="T375" s="8"/>
      <c r="U375" s="8"/>
      <c r="V375" s="8"/>
      <c r="W375" s="8"/>
      <c r="X375" s="8"/>
      <c r="Y375" s="8"/>
      <c r="Z375" s="8"/>
    </row>
    <row r="376" ht="16.5" customHeight="1">
      <c r="A376" s="8"/>
      <c r="B376" s="27"/>
      <c r="C376" s="27"/>
      <c r="D376" s="27"/>
      <c r="E376" s="28"/>
      <c r="F376" s="29"/>
      <c r="G376" s="28"/>
      <c r="H376" s="30"/>
      <c r="I376" s="31"/>
      <c r="J376" s="28"/>
      <c r="K376" s="27"/>
      <c r="L376" s="8"/>
      <c r="M376" s="8"/>
      <c r="N376" s="8"/>
      <c r="O376" s="8"/>
      <c r="P376" s="8"/>
      <c r="Q376" s="8"/>
      <c r="R376" s="8"/>
      <c r="S376" s="8"/>
      <c r="T376" s="8"/>
      <c r="U376" s="8"/>
      <c r="V376" s="8"/>
      <c r="W376" s="8"/>
      <c r="X376" s="8"/>
      <c r="Y376" s="8"/>
      <c r="Z376" s="8"/>
    </row>
    <row r="377" ht="16.5" customHeight="1">
      <c r="A377" s="8"/>
      <c r="B377" s="27"/>
      <c r="C377" s="27"/>
      <c r="D377" s="27"/>
      <c r="E377" s="28"/>
      <c r="F377" s="29"/>
      <c r="G377" s="28"/>
      <c r="H377" s="30"/>
      <c r="I377" s="31"/>
      <c r="J377" s="28"/>
      <c r="K377" s="27"/>
      <c r="L377" s="8"/>
      <c r="M377" s="8"/>
      <c r="N377" s="8"/>
      <c r="O377" s="8"/>
      <c r="P377" s="8"/>
      <c r="Q377" s="8"/>
      <c r="R377" s="8"/>
      <c r="S377" s="8"/>
      <c r="T377" s="8"/>
      <c r="U377" s="8"/>
      <c r="V377" s="8"/>
      <c r="W377" s="8"/>
      <c r="X377" s="8"/>
      <c r="Y377" s="8"/>
      <c r="Z377" s="8"/>
    </row>
    <row r="378" ht="16.5" customHeight="1">
      <c r="A378" s="8"/>
      <c r="B378" s="27"/>
      <c r="C378" s="27"/>
      <c r="D378" s="27"/>
      <c r="E378" s="28"/>
      <c r="F378" s="29"/>
      <c r="G378" s="28"/>
      <c r="H378" s="30"/>
      <c r="I378" s="31"/>
      <c r="J378" s="28"/>
      <c r="K378" s="27"/>
      <c r="L378" s="8"/>
      <c r="M378" s="8"/>
      <c r="N378" s="8"/>
      <c r="O378" s="8"/>
      <c r="P378" s="8"/>
      <c r="Q378" s="8"/>
      <c r="R378" s="8"/>
      <c r="S378" s="8"/>
      <c r="T378" s="8"/>
      <c r="U378" s="8"/>
      <c r="V378" s="8"/>
      <c r="W378" s="8"/>
      <c r="X378" s="8"/>
      <c r="Y378" s="8"/>
      <c r="Z378" s="8"/>
    </row>
    <row r="379" ht="16.5" customHeight="1">
      <c r="A379" s="8"/>
      <c r="B379" s="27"/>
      <c r="C379" s="27"/>
      <c r="D379" s="27"/>
      <c r="E379" s="28"/>
      <c r="F379" s="29"/>
      <c r="G379" s="28"/>
      <c r="H379" s="30"/>
      <c r="I379" s="31"/>
      <c r="J379" s="28"/>
      <c r="K379" s="27"/>
      <c r="L379" s="8"/>
      <c r="M379" s="8"/>
      <c r="N379" s="8"/>
      <c r="O379" s="8"/>
      <c r="P379" s="8"/>
      <c r="Q379" s="8"/>
      <c r="R379" s="8"/>
      <c r="S379" s="8"/>
      <c r="T379" s="8"/>
      <c r="U379" s="8"/>
      <c r="V379" s="8"/>
      <c r="W379" s="8"/>
      <c r="X379" s="8"/>
      <c r="Y379" s="8"/>
      <c r="Z379" s="8"/>
    </row>
    <row r="380" ht="16.5" customHeight="1">
      <c r="A380" s="8"/>
      <c r="B380" s="27"/>
      <c r="C380" s="27"/>
      <c r="D380" s="27"/>
      <c r="E380" s="28"/>
      <c r="F380" s="29"/>
      <c r="G380" s="28"/>
      <c r="H380" s="30"/>
      <c r="I380" s="31"/>
      <c r="J380" s="28"/>
      <c r="K380" s="27"/>
      <c r="L380" s="8"/>
      <c r="M380" s="8"/>
      <c r="N380" s="8"/>
      <c r="O380" s="8"/>
      <c r="P380" s="8"/>
      <c r="Q380" s="8"/>
      <c r="R380" s="8"/>
      <c r="S380" s="8"/>
      <c r="T380" s="8"/>
      <c r="U380" s="8"/>
      <c r="V380" s="8"/>
      <c r="W380" s="8"/>
      <c r="X380" s="8"/>
      <c r="Y380" s="8"/>
      <c r="Z380" s="8"/>
    </row>
    <row r="381" ht="16.5" customHeight="1">
      <c r="A381" s="8"/>
      <c r="B381" s="27"/>
      <c r="C381" s="27"/>
      <c r="D381" s="27"/>
      <c r="E381" s="28"/>
      <c r="F381" s="29"/>
      <c r="G381" s="28"/>
      <c r="H381" s="30"/>
      <c r="I381" s="31"/>
      <c r="J381" s="28"/>
      <c r="K381" s="27"/>
      <c r="L381" s="8"/>
      <c r="M381" s="8"/>
      <c r="N381" s="8"/>
      <c r="O381" s="8"/>
      <c r="P381" s="8"/>
      <c r="Q381" s="8"/>
      <c r="R381" s="8"/>
      <c r="S381" s="8"/>
      <c r="T381" s="8"/>
      <c r="U381" s="8"/>
      <c r="V381" s="8"/>
      <c r="W381" s="8"/>
      <c r="X381" s="8"/>
      <c r="Y381" s="8"/>
      <c r="Z381" s="8"/>
    </row>
    <row r="382" ht="16.5" customHeight="1">
      <c r="A382" s="8"/>
      <c r="B382" s="27"/>
      <c r="C382" s="27"/>
      <c r="D382" s="27"/>
      <c r="E382" s="28"/>
      <c r="F382" s="29"/>
      <c r="G382" s="28"/>
      <c r="H382" s="30"/>
      <c r="I382" s="31"/>
      <c r="J382" s="28"/>
      <c r="K382" s="27"/>
      <c r="L382" s="8"/>
      <c r="M382" s="8"/>
      <c r="N382" s="8"/>
      <c r="O382" s="8"/>
      <c r="P382" s="8"/>
      <c r="Q382" s="8"/>
      <c r="R382" s="8"/>
      <c r="S382" s="8"/>
      <c r="T382" s="8"/>
      <c r="U382" s="8"/>
      <c r="V382" s="8"/>
      <c r="W382" s="8"/>
      <c r="X382" s="8"/>
      <c r="Y382" s="8"/>
      <c r="Z382" s="8"/>
    </row>
    <row r="383" ht="16.5" customHeight="1">
      <c r="A383" s="8"/>
      <c r="B383" s="27"/>
      <c r="C383" s="27"/>
      <c r="D383" s="27"/>
      <c r="E383" s="28"/>
      <c r="F383" s="29"/>
      <c r="G383" s="28"/>
      <c r="H383" s="30"/>
      <c r="I383" s="31"/>
      <c r="J383" s="28"/>
      <c r="K383" s="27"/>
      <c r="L383" s="8"/>
      <c r="M383" s="8"/>
      <c r="N383" s="8"/>
      <c r="O383" s="8"/>
      <c r="P383" s="8"/>
      <c r="Q383" s="8"/>
      <c r="R383" s="8"/>
      <c r="S383" s="8"/>
      <c r="T383" s="8"/>
      <c r="U383" s="8"/>
      <c r="V383" s="8"/>
      <c r="W383" s="8"/>
      <c r="X383" s="8"/>
      <c r="Y383" s="8"/>
      <c r="Z383" s="8"/>
    </row>
    <row r="384" ht="16.5" customHeight="1">
      <c r="A384" s="8"/>
      <c r="B384" s="27"/>
      <c r="C384" s="27"/>
      <c r="D384" s="27"/>
      <c r="E384" s="28"/>
      <c r="F384" s="29"/>
      <c r="G384" s="28"/>
      <c r="H384" s="30"/>
      <c r="I384" s="31"/>
      <c r="J384" s="28"/>
      <c r="K384" s="27"/>
      <c r="L384" s="8"/>
      <c r="M384" s="8"/>
      <c r="N384" s="8"/>
      <c r="O384" s="8"/>
      <c r="P384" s="8"/>
      <c r="Q384" s="8"/>
      <c r="R384" s="8"/>
      <c r="S384" s="8"/>
      <c r="T384" s="8"/>
      <c r="U384" s="8"/>
      <c r="V384" s="8"/>
      <c r="W384" s="8"/>
      <c r="X384" s="8"/>
      <c r="Y384" s="8"/>
      <c r="Z384" s="8"/>
    </row>
    <row r="385" ht="16.5" customHeight="1">
      <c r="A385" s="8"/>
      <c r="B385" s="27"/>
      <c r="C385" s="27"/>
      <c r="D385" s="27"/>
      <c r="E385" s="28"/>
      <c r="F385" s="29"/>
      <c r="G385" s="28"/>
      <c r="H385" s="30"/>
      <c r="I385" s="31"/>
      <c r="J385" s="28"/>
      <c r="K385" s="27"/>
      <c r="L385" s="8"/>
      <c r="M385" s="8"/>
      <c r="N385" s="8"/>
      <c r="O385" s="8"/>
      <c r="P385" s="8"/>
      <c r="Q385" s="8"/>
      <c r="R385" s="8"/>
      <c r="S385" s="8"/>
      <c r="T385" s="8"/>
      <c r="U385" s="8"/>
      <c r="V385" s="8"/>
      <c r="W385" s="8"/>
      <c r="X385" s="8"/>
      <c r="Y385" s="8"/>
      <c r="Z385" s="8"/>
    </row>
    <row r="386" ht="16.5" customHeight="1">
      <c r="A386" s="8"/>
      <c r="B386" s="27"/>
      <c r="C386" s="27"/>
      <c r="D386" s="27"/>
      <c r="E386" s="28"/>
      <c r="F386" s="29"/>
      <c r="G386" s="28"/>
      <c r="H386" s="30"/>
      <c r="I386" s="31"/>
      <c r="J386" s="28"/>
      <c r="K386" s="27"/>
      <c r="L386" s="8"/>
      <c r="M386" s="8"/>
      <c r="N386" s="8"/>
      <c r="O386" s="8"/>
      <c r="P386" s="8"/>
      <c r="Q386" s="8"/>
      <c r="R386" s="8"/>
      <c r="S386" s="8"/>
      <c r="T386" s="8"/>
      <c r="U386" s="8"/>
      <c r="V386" s="8"/>
      <c r="W386" s="8"/>
      <c r="X386" s="8"/>
      <c r="Y386" s="8"/>
      <c r="Z386" s="8"/>
    </row>
    <row r="387" ht="16.5" customHeight="1">
      <c r="A387" s="8"/>
      <c r="B387" s="27"/>
      <c r="C387" s="27"/>
      <c r="D387" s="27"/>
      <c r="E387" s="28"/>
      <c r="F387" s="29"/>
      <c r="G387" s="28"/>
      <c r="H387" s="30"/>
      <c r="I387" s="31"/>
      <c r="J387" s="28"/>
      <c r="K387" s="27"/>
      <c r="L387" s="8"/>
      <c r="M387" s="8"/>
      <c r="N387" s="8"/>
      <c r="O387" s="8"/>
      <c r="P387" s="8"/>
      <c r="Q387" s="8"/>
      <c r="R387" s="8"/>
      <c r="S387" s="8"/>
      <c r="T387" s="8"/>
      <c r="U387" s="8"/>
      <c r="V387" s="8"/>
      <c r="W387" s="8"/>
      <c r="X387" s="8"/>
      <c r="Y387" s="8"/>
      <c r="Z387" s="8"/>
    </row>
    <row r="388" ht="16.5" customHeight="1">
      <c r="A388" s="8"/>
      <c r="B388" s="27"/>
      <c r="C388" s="27"/>
      <c r="D388" s="27"/>
      <c r="E388" s="28"/>
      <c r="F388" s="29"/>
      <c r="G388" s="28"/>
      <c r="H388" s="30"/>
      <c r="I388" s="31"/>
      <c r="J388" s="28"/>
      <c r="K388" s="27"/>
      <c r="L388" s="8"/>
      <c r="M388" s="8"/>
      <c r="N388" s="8"/>
      <c r="O388" s="8"/>
      <c r="P388" s="8"/>
      <c r="Q388" s="8"/>
      <c r="R388" s="8"/>
      <c r="S388" s="8"/>
      <c r="T388" s="8"/>
      <c r="U388" s="8"/>
      <c r="V388" s="8"/>
      <c r="W388" s="8"/>
      <c r="X388" s="8"/>
      <c r="Y388" s="8"/>
      <c r="Z388" s="8"/>
    </row>
    <row r="389" ht="16.5" customHeight="1">
      <c r="A389" s="8"/>
      <c r="B389" s="27"/>
      <c r="C389" s="27"/>
      <c r="D389" s="27"/>
      <c r="E389" s="28"/>
      <c r="F389" s="29"/>
      <c r="G389" s="28"/>
      <c r="H389" s="30"/>
      <c r="I389" s="31"/>
      <c r="J389" s="28"/>
      <c r="K389" s="27"/>
      <c r="L389" s="8"/>
      <c r="M389" s="8"/>
      <c r="N389" s="8"/>
      <c r="O389" s="8"/>
      <c r="P389" s="8"/>
      <c r="Q389" s="8"/>
      <c r="R389" s="8"/>
      <c r="S389" s="8"/>
      <c r="T389" s="8"/>
      <c r="U389" s="8"/>
      <c r="V389" s="8"/>
      <c r="W389" s="8"/>
      <c r="X389" s="8"/>
      <c r="Y389" s="8"/>
      <c r="Z389" s="8"/>
    </row>
    <row r="390" ht="16.5" customHeight="1">
      <c r="A390" s="8"/>
      <c r="B390" s="27"/>
      <c r="C390" s="27"/>
      <c r="D390" s="27"/>
      <c r="E390" s="28"/>
      <c r="F390" s="29"/>
      <c r="G390" s="28"/>
      <c r="H390" s="30"/>
      <c r="I390" s="31"/>
      <c r="J390" s="28"/>
      <c r="K390" s="27"/>
      <c r="L390" s="8"/>
      <c r="M390" s="8"/>
      <c r="N390" s="8"/>
      <c r="O390" s="8"/>
      <c r="P390" s="8"/>
      <c r="Q390" s="8"/>
      <c r="R390" s="8"/>
      <c r="S390" s="8"/>
      <c r="T390" s="8"/>
      <c r="U390" s="8"/>
      <c r="V390" s="8"/>
      <c r="W390" s="8"/>
      <c r="X390" s="8"/>
      <c r="Y390" s="8"/>
      <c r="Z390" s="8"/>
    </row>
    <row r="391" ht="16.5" customHeight="1">
      <c r="A391" s="8"/>
      <c r="B391" s="27"/>
      <c r="C391" s="27"/>
      <c r="D391" s="27"/>
      <c r="E391" s="28"/>
      <c r="F391" s="29"/>
      <c r="G391" s="28"/>
      <c r="H391" s="30"/>
      <c r="I391" s="31"/>
      <c r="J391" s="28"/>
      <c r="K391" s="27"/>
      <c r="L391" s="8"/>
      <c r="M391" s="8"/>
      <c r="N391" s="8"/>
      <c r="O391" s="8"/>
      <c r="P391" s="8"/>
      <c r="Q391" s="8"/>
      <c r="R391" s="8"/>
      <c r="S391" s="8"/>
      <c r="T391" s="8"/>
      <c r="U391" s="8"/>
      <c r="V391" s="8"/>
      <c r="W391" s="8"/>
      <c r="X391" s="8"/>
      <c r="Y391" s="8"/>
      <c r="Z391" s="8"/>
    </row>
    <row r="392" ht="16.5" customHeight="1">
      <c r="A392" s="8"/>
      <c r="B392" s="27"/>
      <c r="C392" s="27"/>
      <c r="D392" s="27"/>
      <c r="E392" s="28"/>
      <c r="F392" s="29"/>
      <c r="G392" s="28"/>
      <c r="H392" s="30"/>
      <c r="I392" s="31"/>
      <c r="J392" s="28"/>
      <c r="K392" s="27"/>
      <c r="L392" s="8"/>
      <c r="M392" s="8"/>
      <c r="N392" s="8"/>
      <c r="O392" s="8"/>
      <c r="P392" s="8"/>
      <c r="Q392" s="8"/>
      <c r="R392" s="8"/>
      <c r="S392" s="8"/>
      <c r="T392" s="8"/>
      <c r="U392" s="8"/>
      <c r="V392" s="8"/>
      <c r="W392" s="8"/>
      <c r="X392" s="8"/>
      <c r="Y392" s="8"/>
      <c r="Z392" s="8"/>
    </row>
    <row r="393" ht="16.5" customHeight="1">
      <c r="A393" s="8"/>
      <c r="B393" s="27"/>
      <c r="C393" s="27"/>
      <c r="D393" s="27"/>
      <c r="E393" s="28"/>
      <c r="F393" s="29"/>
      <c r="G393" s="28"/>
      <c r="H393" s="30"/>
      <c r="I393" s="31"/>
      <c r="J393" s="28"/>
      <c r="K393" s="27"/>
      <c r="L393" s="8"/>
      <c r="M393" s="8"/>
      <c r="N393" s="8"/>
      <c r="O393" s="8"/>
      <c r="P393" s="8"/>
      <c r="Q393" s="8"/>
      <c r="R393" s="8"/>
      <c r="S393" s="8"/>
      <c r="T393" s="8"/>
      <c r="U393" s="8"/>
      <c r="V393" s="8"/>
      <c r="W393" s="8"/>
      <c r="X393" s="8"/>
      <c r="Y393" s="8"/>
      <c r="Z393" s="8"/>
    </row>
    <row r="394" ht="16.5" customHeight="1">
      <c r="A394" s="8"/>
      <c r="B394" s="27"/>
      <c r="C394" s="27"/>
      <c r="D394" s="27"/>
      <c r="E394" s="28"/>
      <c r="F394" s="29"/>
      <c r="G394" s="28"/>
      <c r="H394" s="30"/>
      <c r="I394" s="31"/>
      <c r="J394" s="28"/>
      <c r="K394" s="27"/>
      <c r="L394" s="8"/>
      <c r="M394" s="8"/>
      <c r="N394" s="8"/>
      <c r="O394" s="8"/>
      <c r="P394" s="8"/>
      <c r="Q394" s="8"/>
      <c r="R394" s="8"/>
      <c r="S394" s="8"/>
      <c r="T394" s="8"/>
      <c r="U394" s="8"/>
      <c r="V394" s="8"/>
      <c r="W394" s="8"/>
      <c r="X394" s="8"/>
      <c r="Y394" s="8"/>
      <c r="Z394" s="8"/>
    </row>
    <row r="395" ht="16.5" customHeight="1">
      <c r="A395" s="8"/>
      <c r="B395" s="27"/>
      <c r="C395" s="27"/>
      <c r="D395" s="27"/>
      <c r="E395" s="28"/>
      <c r="F395" s="29"/>
      <c r="G395" s="28"/>
      <c r="H395" s="30"/>
      <c r="I395" s="31"/>
      <c r="J395" s="28"/>
      <c r="K395" s="27"/>
      <c r="L395" s="8"/>
      <c r="M395" s="8"/>
      <c r="N395" s="8"/>
      <c r="O395" s="8"/>
      <c r="P395" s="8"/>
      <c r="Q395" s="8"/>
      <c r="R395" s="8"/>
      <c r="S395" s="8"/>
      <c r="T395" s="8"/>
      <c r="U395" s="8"/>
      <c r="V395" s="8"/>
      <c r="W395" s="8"/>
      <c r="X395" s="8"/>
      <c r="Y395" s="8"/>
      <c r="Z395" s="8"/>
    </row>
    <row r="396" ht="16.5" customHeight="1">
      <c r="A396" s="8"/>
      <c r="B396" s="27"/>
      <c r="C396" s="27"/>
      <c r="D396" s="27"/>
      <c r="E396" s="28"/>
      <c r="F396" s="29"/>
      <c r="G396" s="28"/>
      <c r="H396" s="30"/>
      <c r="I396" s="31"/>
      <c r="J396" s="28"/>
      <c r="K396" s="27"/>
      <c r="L396" s="8"/>
      <c r="M396" s="8"/>
      <c r="N396" s="8"/>
      <c r="O396" s="8"/>
      <c r="P396" s="8"/>
      <c r="Q396" s="8"/>
      <c r="R396" s="8"/>
      <c r="S396" s="8"/>
      <c r="T396" s="8"/>
      <c r="U396" s="8"/>
      <c r="V396" s="8"/>
      <c r="W396" s="8"/>
      <c r="X396" s="8"/>
      <c r="Y396" s="8"/>
      <c r="Z396" s="8"/>
    </row>
    <row r="397" ht="16.5" customHeight="1">
      <c r="A397" s="8"/>
      <c r="B397" s="27"/>
      <c r="C397" s="27"/>
      <c r="D397" s="27"/>
      <c r="E397" s="28"/>
      <c r="F397" s="29"/>
      <c r="G397" s="28"/>
      <c r="H397" s="30"/>
      <c r="I397" s="31"/>
      <c r="J397" s="28"/>
      <c r="K397" s="27"/>
      <c r="L397" s="8"/>
      <c r="M397" s="8"/>
      <c r="N397" s="8"/>
      <c r="O397" s="8"/>
      <c r="P397" s="8"/>
      <c r="Q397" s="8"/>
      <c r="R397" s="8"/>
      <c r="S397" s="8"/>
      <c r="T397" s="8"/>
      <c r="U397" s="8"/>
      <c r="V397" s="8"/>
      <c r="W397" s="8"/>
      <c r="X397" s="8"/>
      <c r="Y397" s="8"/>
      <c r="Z397" s="8"/>
    </row>
    <row r="398" ht="16.5" customHeight="1">
      <c r="A398" s="8"/>
      <c r="B398" s="27"/>
      <c r="C398" s="27"/>
      <c r="D398" s="27"/>
      <c r="E398" s="28"/>
      <c r="F398" s="29"/>
      <c r="G398" s="28"/>
      <c r="H398" s="30"/>
      <c r="I398" s="31"/>
      <c r="J398" s="28"/>
      <c r="K398" s="27"/>
      <c r="L398" s="8"/>
      <c r="M398" s="8"/>
      <c r="N398" s="8"/>
      <c r="O398" s="8"/>
      <c r="P398" s="8"/>
      <c r="Q398" s="8"/>
      <c r="R398" s="8"/>
      <c r="S398" s="8"/>
      <c r="T398" s="8"/>
      <c r="U398" s="8"/>
      <c r="V398" s="8"/>
      <c r="W398" s="8"/>
      <c r="X398" s="8"/>
      <c r="Y398" s="8"/>
      <c r="Z398" s="8"/>
    </row>
    <row r="399" ht="16.5" customHeight="1">
      <c r="A399" s="8"/>
      <c r="B399" s="27"/>
      <c r="C399" s="27"/>
      <c r="D399" s="27"/>
      <c r="E399" s="28"/>
      <c r="F399" s="29"/>
      <c r="G399" s="28"/>
      <c r="H399" s="30"/>
      <c r="I399" s="31"/>
      <c r="J399" s="28"/>
      <c r="K399" s="27"/>
      <c r="L399" s="8"/>
      <c r="M399" s="8"/>
      <c r="N399" s="8"/>
      <c r="O399" s="8"/>
      <c r="P399" s="8"/>
      <c r="Q399" s="8"/>
      <c r="R399" s="8"/>
      <c r="S399" s="8"/>
      <c r="T399" s="8"/>
      <c r="U399" s="8"/>
      <c r="V399" s="8"/>
      <c r="W399" s="8"/>
      <c r="X399" s="8"/>
      <c r="Y399" s="8"/>
      <c r="Z399" s="8"/>
    </row>
    <row r="400" ht="16.5" customHeight="1">
      <c r="A400" s="8"/>
      <c r="B400" s="27"/>
      <c r="C400" s="27"/>
      <c r="D400" s="27"/>
      <c r="E400" s="28"/>
      <c r="F400" s="29"/>
      <c r="G400" s="28"/>
      <c r="H400" s="30"/>
      <c r="I400" s="31"/>
      <c r="J400" s="28"/>
      <c r="K400" s="27"/>
      <c r="L400" s="8"/>
      <c r="M400" s="8"/>
      <c r="N400" s="8"/>
      <c r="O400" s="8"/>
      <c r="P400" s="8"/>
      <c r="Q400" s="8"/>
      <c r="R400" s="8"/>
      <c r="S400" s="8"/>
      <c r="T400" s="8"/>
      <c r="U400" s="8"/>
      <c r="V400" s="8"/>
      <c r="W400" s="8"/>
      <c r="X400" s="8"/>
      <c r="Y400" s="8"/>
      <c r="Z400" s="8"/>
    </row>
    <row r="401" ht="16.5" customHeight="1">
      <c r="A401" s="8"/>
      <c r="B401" s="27"/>
      <c r="C401" s="27"/>
      <c r="D401" s="27"/>
      <c r="E401" s="28"/>
      <c r="F401" s="29"/>
      <c r="G401" s="28"/>
      <c r="H401" s="30"/>
      <c r="I401" s="31"/>
      <c r="J401" s="28"/>
      <c r="K401" s="27"/>
      <c r="L401" s="8"/>
      <c r="M401" s="8"/>
      <c r="N401" s="8"/>
      <c r="O401" s="8"/>
      <c r="P401" s="8"/>
      <c r="Q401" s="8"/>
      <c r="R401" s="8"/>
      <c r="S401" s="8"/>
      <c r="T401" s="8"/>
      <c r="U401" s="8"/>
      <c r="V401" s="8"/>
      <c r="W401" s="8"/>
      <c r="X401" s="8"/>
      <c r="Y401" s="8"/>
      <c r="Z401" s="8"/>
    </row>
    <row r="402" ht="16.5" customHeight="1">
      <c r="A402" s="8"/>
      <c r="B402" s="27"/>
      <c r="C402" s="27"/>
      <c r="D402" s="27"/>
      <c r="E402" s="28"/>
      <c r="F402" s="29"/>
      <c r="G402" s="28"/>
      <c r="H402" s="30"/>
      <c r="I402" s="31"/>
      <c r="J402" s="28"/>
      <c r="K402" s="27"/>
      <c r="L402" s="8"/>
      <c r="M402" s="8"/>
      <c r="N402" s="8"/>
      <c r="O402" s="8"/>
      <c r="P402" s="8"/>
      <c r="Q402" s="8"/>
      <c r="R402" s="8"/>
      <c r="S402" s="8"/>
      <c r="T402" s="8"/>
      <c r="U402" s="8"/>
      <c r="V402" s="8"/>
      <c r="W402" s="8"/>
      <c r="X402" s="8"/>
      <c r="Y402" s="8"/>
      <c r="Z402" s="8"/>
    </row>
    <row r="403" ht="16.5" customHeight="1">
      <c r="A403" s="8"/>
      <c r="B403" s="27"/>
      <c r="C403" s="27"/>
      <c r="D403" s="27"/>
      <c r="E403" s="28"/>
      <c r="F403" s="29"/>
      <c r="G403" s="28"/>
      <c r="H403" s="30"/>
      <c r="I403" s="31"/>
      <c r="J403" s="28"/>
      <c r="K403" s="27"/>
      <c r="L403" s="8"/>
      <c r="M403" s="8"/>
      <c r="N403" s="8"/>
      <c r="O403" s="8"/>
      <c r="P403" s="8"/>
      <c r="Q403" s="8"/>
      <c r="R403" s="8"/>
      <c r="S403" s="8"/>
      <c r="T403" s="8"/>
      <c r="U403" s="8"/>
      <c r="V403" s="8"/>
      <c r="W403" s="8"/>
      <c r="X403" s="8"/>
      <c r="Y403" s="8"/>
      <c r="Z403" s="8"/>
    </row>
    <row r="404" ht="16.5" customHeight="1">
      <c r="A404" s="8"/>
      <c r="B404" s="27"/>
      <c r="C404" s="27"/>
      <c r="D404" s="27"/>
      <c r="E404" s="28"/>
      <c r="F404" s="29"/>
      <c r="G404" s="28"/>
      <c r="H404" s="30"/>
      <c r="I404" s="31"/>
      <c r="J404" s="28"/>
      <c r="K404" s="27"/>
      <c r="L404" s="8"/>
      <c r="M404" s="8"/>
      <c r="N404" s="8"/>
      <c r="O404" s="8"/>
      <c r="P404" s="8"/>
      <c r="Q404" s="8"/>
      <c r="R404" s="8"/>
      <c r="S404" s="8"/>
      <c r="T404" s="8"/>
      <c r="U404" s="8"/>
      <c r="V404" s="8"/>
      <c r="W404" s="8"/>
      <c r="X404" s="8"/>
      <c r="Y404" s="8"/>
      <c r="Z404" s="8"/>
    </row>
    <row r="405" ht="16.5" customHeight="1">
      <c r="A405" s="8"/>
      <c r="B405" s="27"/>
      <c r="C405" s="27"/>
      <c r="D405" s="27"/>
      <c r="E405" s="28"/>
      <c r="F405" s="29"/>
      <c r="G405" s="28"/>
      <c r="H405" s="30"/>
      <c r="I405" s="31"/>
      <c r="J405" s="28"/>
      <c r="K405" s="27"/>
      <c r="L405" s="8"/>
      <c r="M405" s="8"/>
      <c r="N405" s="8"/>
      <c r="O405" s="8"/>
      <c r="P405" s="8"/>
      <c r="Q405" s="8"/>
      <c r="R405" s="8"/>
      <c r="S405" s="8"/>
      <c r="T405" s="8"/>
      <c r="U405" s="8"/>
      <c r="V405" s="8"/>
      <c r="W405" s="8"/>
      <c r="X405" s="8"/>
      <c r="Y405" s="8"/>
      <c r="Z405" s="8"/>
    </row>
    <row r="406" ht="16.5" customHeight="1">
      <c r="A406" s="8"/>
      <c r="B406" s="27"/>
      <c r="C406" s="27"/>
      <c r="D406" s="27"/>
      <c r="E406" s="28"/>
      <c r="F406" s="29"/>
      <c r="G406" s="28"/>
      <c r="H406" s="30"/>
      <c r="I406" s="31"/>
      <c r="J406" s="28"/>
      <c r="K406" s="27"/>
      <c r="L406" s="8"/>
      <c r="M406" s="8"/>
      <c r="N406" s="8"/>
      <c r="O406" s="8"/>
      <c r="P406" s="8"/>
      <c r="Q406" s="8"/>
      <c r="R406" s="8"/>
      <c r="S406" s="8"/>
      <c r="T406" s="8"/>
      <c r="U406" s="8"/>
      <c r="V406" s="8"/>
      <c r="W406" s="8"/>
      <c r="X406" s="8"/>
      <c r="Y406" s="8"/>
      <c r="Z406" s="8"/>
    </row>
    <row r="407" ht="16.5" customHeight="1">
      <c r="A407" s="8"/>
      <c r="B407" s="27"/>
      <c r="C407" s="27"/>
      <c r="D407" s="27"/>
      <c r="E407" s="28"/>
      <c r="F407" s="29"/>
      <c r="G407" s="28"/>
      <c r="H407" s="30"/>
      <c r="I407" s="31"/>
      <c r="J407" s="28"/>
      <c r="K407" s="27"/>
      <c r="L407" s="8"/>
      <c r="M407" s="8"/>
      <c r="N407" s="8"/>
      <c r="O407" s="8"/>
      <c r="P407" s="8"/>
      <c r="Q407" s="8"/>
      <c r="R407" s="8"/>
      <c r="S407" s="8"/>
      <c r="T407" s="8"/>
      <c r="U407" s="8"/>
      <c r="V407" s="8"/>
      <c r="W407" s="8"/>
      <c r="X407" s="8"/>
      <c r="Y407" s="8"/>
      <c r="Z407" s="8"/>
    </row>
    <row r="408" ht="16.5" customHeight="1">
      <c r="A408" s="8"/>
      <c r="B408" s="27"/>
      <c r="C408" s="27"/>
      <c r="D408" s="27"/>
      <c r="E408" s="28"/>
      <c r="F408" s="29"/>
      <c r="G408" s="28"/>
      <c r="H408" s="30"/>
      <c r="I408" s="31"/>
      <c r="J408" s="28"/>
      <c r="K408" s="27"/>
      <c r="L408" s="8"/>
      <c r="M408" s="8"/>
      <c r="N408" s="8"/>
      <c r="O408" s="8"/>
      <c r="P408" s="8"/>
      <c r="Q408" s="8"/>
      <c r="R408" s="8"/>
      <c r="S408" s="8"/>
      <c r="T408" s="8"/>
      <c r="U408" s="8"/>
      <c r="V408" s="8"/>
      <c r="W408" s="8"/>
      <c r="X408" s="8"/>
      <c r="Y408" s="8"/>
      <c r="Z408" s="8"/>
    </row>
    <row r="409" ht="16.5" customHeight="1">
      <c r="A409" s="8"/>
      <c r="B409" s="27"/>
      <c r="C409" s="27"/>
      <c r="D409" s="27"/>
      <c r="E409" s="28"/>
      <c r="F409" s="29"/>
      <c r="G409" s="28"/>
      <c r="H409" s="30"/>
      <c r="I409" s="31"/>
      <c r="J409" s="28"/>
      <c r="K409" s="27"/>
      <c r="L409" s="8"/>
      <c r="M409" s="8"/>
      <c r="N409" s="8"/>
      <c r="O409" s="8"/>
      <c r="P409" s="8"/>
      <c r="Q409" s="8"/>
      <c r="R409" s="8"/>
      <c r="S409" s="8"/>
      <c r="T409" s="8"/>
      <c r="U409" s="8"/>
      <c r="V409" s="8"/>
      <c r="W409" s="8"/>
      <c r="X409" s="8"/>
      <c r="Y409" s="8"/>
      <c r="Z409" s="8"/>
    </row>
    <row r="410" ht="16.5" customHeight="1">
      <c r="A410" s="8"/>
      <c r="B410" s="27"/>
      <c r="C410" s="27"/>
      <c r="D410" s="27"/>
      <c r="E410" s="28"/>
      <c r="F410" s="29"/>
      <c r="G410" s="28"/>
      <c r="H410" s="30"/>
      <c r="I410" s="31"/>
      <c r="J410" s="28"/>
      <c r="K410" s="27"/>
      <c r="L410" s="8"/>
      <c r="M410" s="8"/>
      <c r="N410" s="8"/>
      <c r="O410" s="8"/>
      <c r="P410" s="8"/>
      <c r="Q410" s="8"/>
      <c r="R410" s="8"/>
      <c r="S410" s="8"/>
      <c r="T410" s="8"/>
      <c r="U410" s="8"/>
      <c r="V410" s="8"/>
      <c r="W410" s="8"/>
      <c r="X410" s="8"/>
      <c r="Y410" s="8"/>
      <c r="Z410" s="8"/>
    </row>
    <row r="411" ht="16.5" customHeight="1">
      <c r="A411" s="8"/>
      <c r="B411" s="27"/>
      <c r="C411" s="27"/>
      <c r="D411" s="27"/>
      <c r="E411" s="28"/>
      <c r="F411" s="29"/>
      <c r="G411" s="28"/>
      <c r="H411" s="30"/>
      <c r="I411" s="31"/>
      <c r="J411" s="28"/>
      <c r="K411" s="27"/>
      <c r="L411" s="8"/>
      <c r="M411" s="8"/>
      <c r="N411" s="8"/>
      <c r="O411" s="8"/>
      <c r="P411" s="8"/>
      <c r="Q411" s="8"/>
      <c r="R411" s="8"/>
      <c r="S411" s="8"/>
      <c r="T411" s="8"/>
      <c r="U411" s="8"/>
      <c r="V411" s="8"/>
      <c r="W411" s="8"/>
      <c r="X411" s="8"/>
      <c r="Y411" s="8"/>
      <c r="Z411" s="8"/>
    </row>
    <row r="412" ht="16.5" customHeight="1">
      <c r="A412" s="8"/>
      <c r="B412" s="27"/>
      <c r="C412" s="27"/>
      <c r="D412" s="27"/>
      <c r="E412" s="28"/>
      <c r="F412" s="29"/>
      <c r="G412" s="28"/>
      <c r="H412" s="30"/>
      <c r="I412" s="31"/>
      <c r="J412" s="28"/>
      <c r="K412" s="27"/>
      <c r="L412" s="8"/>
      <c r="M412" s="8"/>
      <c r="N412" s="8"/>
      <c r="O412" s="8"/>
      <c r="P412" s="8"/>
      <c r="Q412" s="8"/>
      <c r="R412" s="8"/>
      <c r="S412" s="8"/>
      <c r="T412" s="8"/>
      <c r="U412" s="8"/>
      <c r="V412" s="8"/>
      <c r="W412" s="8"/>
      <c r="X412" s="8"/>
      <c r="Y412" s="8"/>
      <c r="Z412" s="8"/>
    </row>
    <row r="413" ht="16.5" customHeight="1">
      <c r="A413" s="8"/>
      <c r="B413" s="27"/>
      <c r="C413" s="27"/>
      <c r="D413" s="27"/>
      <c r="E413" s="28"/>
      <c r="F413" s="29"/>
      <c r="G413" s="28"/>
      <c r="H413" s="30"/>
      <c r="I413" s="31"/>
      <c r="J413" s="28"/>
      <c r="K413" s="27"/>
      <c r="L413" s="8"/>
      <c r="M413" s="8"/>
      <c r="N413" s="8"/>
      <c r="O413" s="8"/>
      <c r="P413" s="8"/>
      <c r="Q413" s="8"/>
      <c r="R413" s="8"/>
      <c r="S413" s="8"/>
      <c r="T413" s="8"/>
      <c r="U413" s="8"/>
      <c r="V413" s="8"/>
      <c r="W413" s="8"/>
      <c r="X413" s="8"/>
      <c r="Y413" s="8"/>
      <c r="Z413" s="8"/>
    </row>
    <row r="414" ht="16.5" customHeight="1">
      <c r="A414" s="8"/>
      <c r="B414" s="27"/>
      <c r="C414" s="27"/>
      <c r="D414" s="27"/>
      <c r="E414" s="28"/>
      <c r="F414" s="29"/>
      <c r="G414" s="28"/>
      <c r="H414" s="30"/>
      <c r="I414" s="31"/>
      <c r="J414" s="28"/>
      <c r="K414" s="27"/>
      <c r="L414" s="8"/>
      <c r="M414" s="8"/>
      <c r="N414" s="8"/>
      <c r="O414" s="8"/>
      <c r="P414" s="8"/>
      <c r="Q414" s="8"/>
      <c r="R414" s="8"/>
      <c r="S414" s="8"/>
      <c r="T414" s="8"/>
      <c r="U414" s="8"/>
      <c r="V414" s="8"/>
      <c r="W414" s="8"/>
      <c r="X414" s="8"/>
      <c r="Y414" s="8"/>
      <c r="Z414" s="8"/>
    </row>
    <row r="415" ht="16.5" customHeight="1">
      <c r="A415" s="8"/>
      <c r="B415" s="27"/>
      <c r="C415" s="27"/>
      <c r="D415" s="27"/>
      <c r="E415" s="28"/>
      <c r="F415" s="29"/>
      <c r="G415" s="28"/>
      <c r="H415" s="30"/>
      <c r="I415" s="31"/>
      <c r="J415" s="28"/>
      <c r="K415" s="27"/>
      <c r="L415" s="8"/>
      <c r="M415" s="8"/>
      <c r="N415" s="8"/>
      <c r="O415" s="8"/>
      <c r="P415" s="8"/>
      <c r="Q415" s="8"/>
      <c r="R415" s="8"/>
      <c r="S415" s="8"/>
      <c r="T415" s="8"/>
      <c r="U415" s="8"/>
      <c r="V415" s="8"/>
      <c r="W415" s="8"/>
      <c r="X415" s="8"/>
      <c r="Y415" s="8"/>
      <c r="Z415" s="8"/>
    </row>
    <row r="416" ht="16.5" customHeight="1">
      <c r="A416" s="8"/>
      <c r="B416" s="27"/>
      <c r="C416" s="27"/>
      <c r="D416" s="27"/>
      <c r="E416" s="28"/>
      <c r="F416" s="29"/>
      <c r="G416" s="28"/>
      <c r="H416" s="30"/>
      <c r="I416" s="31"/>
      <c r="J416" s="28"/>
      <c r="K416" s="27"/>
      <c r="L416" s="8"/>
      <c r="M416" s="8"/>
      <c r="N416" s="8"/>
      <c r="O416" s="8"/>
      <c r="P416" s="8"/>
      <c r="Q416" s="8"/>
      <c r="R416" s="8"/>
      <c r="S416" s="8"/>
      <c r="T416" s="8"/>
      <c r="U416" s="8"/>
      <c r="V416" s="8"/>
      <c r="W416" s="8"/>
      <c r="X416" s="8"/>
      <c r="Y416" s="8"/>
      <c r="Z416" s="8"/>
    </row>
    <row r="417" ht="16.5" customHeight="1">
      <c r="A417" s="8"/>
      <c r="B417" s="27"/>
      <c r="C417" s="27"/>
      <c r="D417" s="27"/>
      <c r="E417" s="28"/>
      <c r="F417" s="29"/>
      <c r="G417" s="28"/>
      <c r="H417" s="30"/>
      <c r="I417" s="31"/>
      <c r="J417" s="28"/>
      <c r="K417" s="27"/>
      <c r="L417" s="8"/>
      <c r="M417" s="8"/>
      <c r="N417" s="8"/>
      <c r="O417" s="8"/>
      <c r="P417" s="8"/>
      <c r="Q417" s="8"/>
      <c r="R417" s="8"/>
      <c r="S417" s="8"/>
      <c r="T417" s="8"/>
      <c r="U417" s="8"/>
      <c r="V417" s="8"/>
      <c r="W417" s="8"/>
      <c r="X417" s="8"/>
      <c r="Y417" s="8"/>
      <c r="Z417" s="8"/>
    </row>
    <row r="418" ht="16.5" customHeight="1">
      <c r="A418" s="8"/>
      <c r="B418" s="27"/>
      <c r="C418" s="27"/>
      <c r="D418" s="27"/>
      <c r="E418" s="28"/>
      <c r="F418" s="29"/>
      <c r="G418" s="28"/>
      <c r="H418" s="30"/>
      <c r="I418" s="31"/>
      <c r="J418" s="28"/>
      <c r="K418" s="27"/>
      <c r="L418" s="8"/>
      <c r="M418" s="8"/>
      <c r="N418" s="8"/>
      <c r="O418" s="8"/>
      <c r="P418" s="8"/>
      <c r="Q418" s="8"/>
      <c r="R418" s="8"/>
      <c r="S418" s="8"/>
      <c r="T418" s="8"/>
      <c r="U418" s="8"/>
      <c r="V418" s="8"/>
      <c r="W418" s="8"/>
      <c r="X418" s="8"/>
      <c r="Y418" s="8"/>
      <c r="Z418" s="8"/>
    </row>
    <row r="419" ht="16.5" customHeight="1">
      <c r="A419" s="8"/>
      <c r="B419" s="27"/>
      <c r="C419" s="27"/>
      <c r="D419" s="27"/>
      <c r="E419" s="28"/>
      <c r="F419" s="29"/>
      <c r="G419" s="28"/>
      <c r="H419" s="30"/>
      <c r="I419" s="31"/>
      <c r="J419" s="28"/>
      <c r="K419" s="27"/>
      <c r="L419" s="8"/>
      <c r="M419" s="8"/>
      <c r="N419" s="8"/>
      <c r="O419" s="8"/>
      <c r="P419" s="8"/>
      <c r="Q419" s="8"/>
      <c r="R419" s="8"/>
      <c r="S419" s="8"/>
      <c r="T419" s="8"/>
      <c r="U419" s="8"/>
      <c r="V419" s="8"/>
      <c r="W419" s="8"/>
      <c r="X419" s="8"/>
      <c r="Y419" s="8"/>
      <c r="Z419" s="8"/>
    </row>
    <row r="420" ht="16.5" customHeight="1">
      <c r="A420" s="8"/>
      <c r="B420" s="27"/>
      <c r="C420" s="27"/>
      <c r="D420" s="27"/>
      <c r="E420" s="28"/>
      <c r="F420" s="29"/>
      <c r="G420" s="28"/>
      <c r="H420" s="30"/>
      <c r="I420" s="31"/>
      <c r="J420" s="28"/>
      <c r="K420" s="27"/>
      <c r="L420" s="8"/>
      <c r="M420" s="8"/>
      <c r="N420" s="8"/>
      <c r="O420" s="8"/>
      <c r="P420" s="8"/>
      <c r="Q420" s="8"/>
      <c r="R420" s="8"/>
      <c r="S420" s="8"/>
      <c r="T420" s="8"/>
      <c r="U420" s="8"/>
      <c r="V420" s="8"/>
      <c r="W420" s="8"/>
      <c r="X420" s="8"/>
      <c r="Y420" s="8"/>
      <c r="Z420" s="8"/>
    </row>
    <row r="421" ht="16.5" customHeight="1">
      <c r="A421" s="8"/>
      <c r="B421" s="27"/>
      <c r="C421" s="27"/>
      <c r="D421" s="27"/>
      <c r="E421" s="28"/>
      <c r="F421" s="29"/>
      <c r="G421" s="28"/>
      <c r="H421" s="30"/>
      <c r="I421" s="31"/>
      <c r="J421" s="28"/>
      <c r="K421" s="27"/>
      <c r="L421" s="8"/>
      <c r="M421" s="8"/>
      <c r="N421" s="8"/>
      <c r="O421" s="8"/>
      <c r="P421" s="8"/>
      <c r="Q421" s="8"/>
      <c r="R421" s="8"/>
      <c r="S421" s="8"/>
      <c r="T421" s="8"/>
      <c r="U421" s="8"/>
      <c r="V421" s="8"/>
      <c r="W421" s="8"/>
      <c r="X421" s="8"/>
      <c r="Y421" s="8"/>
      <c r="Z421" s="8"/>
    </row>
    <row r="422" ht="16.5" customHeight="1">
      <c r="A422" s="8"/>
      <c r="B422" s="27"/>
      <c r="C422" s="27"/>
      <c r="D422" s="27"/>
      <c r="E422" s="28"/>
      <c r="F422" s="29"/>
      <c r="G422" s="28"/>
      <c r="H422" s="30"/>
      <c r="I422" s="31"/>
      <c r="J422" s="28"/>
      <c r="K422" s="27"/>
      <c r="L422" s="8"/>
      <c r="M422" s="8"/>
      <c r="N422" s="8"/>
      <c r="O422" s="8"/>
      <c r="P422" s="8"/>
      <c r="Q422" s="8"/>
      <c r="R422" s="8"/>
      <c r="S422" s="8"/>
      <c r="T422" s="8"/>
      <c r="U422" s="8"/>
      <c r="V422" s="8"/>
      <c r="W422" s="8"/>
      <c r="X422" s="8"/>
      <c r="Y422" s="8"/>
      <c r="Z422" s="8"/>
    </row>
    <row r="423" ht="16.5" customHeight="1">
      <c r="A423" s="8"/>
      <c r="B423" s="27"/>
      <c r="C423" s="27"/>
      <c r="D423" s="27"/>
      <c r="E423" s="28"/>
      <c r="F423" s="29"/>
      <c r="G423" s="28"/>
      <c r="H423" s="30"/>
      <c r="I423" s="31"/>
      <c r="J423" s="28"/>
      <c r="K423" s="27"/>
      <c r="L423" s="8"/>
      <c r="M423" s="8"/>
      <c r="N423" s="8"/>
      <c r="O423" s="8"/>
      <c r="P423" s="8"/>
      <c r="Q423" s="8"/>
      <c r="R423" s="8"/>
      <c r="S423" s="8"/>
      <c r="T423" s="8"/>
      <c r="U423" s="8"/>
      <c r="V423" s="8"/>
      <c r="W423" s="8"/>
      <c r="X423" s="8"/>
      <c r="Y423" s="8"/>
      <c r="Z423" s="8"/>
    </row>
    <row r="424" ht="16.5" customHeight="1">
      <c r="A424" s="8"/>
      <c r="B424" s="27"/>
      <c r="C424" s="27"/>
      <c r="D424" s="27"/>
      <c r="E424" s="28"/>
      <c r="F424" s="29"/>
      <c r="G424" s="28"/>
      <c r="H424" s="30"/>
      <c r="I424" s="31"/>
      <c r="J424" s="28"/>
      <c r="K424" s="27"/>
      <c r="L424" s="8"/>
      <c r="M424" s="8"/>
      <c r="N424" s="8"/>
      <c r="O424" s="8"/>
      <c r="P424" s="8"/>
      <c r="Q424" s="8"/>
      <c r="R424" s="8"/>
      <c r="S424" s="8"/>
      <c r="T424" s="8"/>
      <c r="U424" s="8"/>
      <c r="V424" s="8"/>
      <c r="W424" s="8"/>
      <c r="X424" s="8"/>
      <c r="Y424" s="8"/>
      <c r="Z424" s="8"/>
    </row>
    <row r="425" ht="16.5" customHeight="1">
      <c r="A425" s="8"/>
      <c r="B425" s="27"/>
      <c r="C425" s="27"/>
      <c r="D425" s="27"/>
      <c r="E425" s="28"/>
      <c r="F425" s="29"/>
      <c r="G425" s="28"/>
      <c r="H425" s="30"/>
      <c r="I425" s="31"/>
      <c r="J425" s="28"/>
      <c r="K425" s="27"/>
      <c r="L425" s="8"/>
      <c r="M425" s="8"/>
      <c r="N425" s="8"/>
      <c r="O425" s="8"/>
      <c r="P425" s="8"/>
      <c r="Q425" s="8"/>
      <c r="R425" s="8"/>
      <c r="S425" s="8"/>
      <c r="T425" s="8"/>
      <c r="U425" s="8"/>
      <c r="V425" s="8"/>
      <c r="W425" s="8"/>
      <c r="X425" s="8"/>
      <c r="Y425" s="8"/>
      <c r="Z425" s="8"/>
    </row>
    <row r="426" ht="16.5" customHeight="1">
      <c r="A426" s="8"/>
      <c r="B426" s="27"/>
      <c r="C426" s="27"/>
      <c r="D426" s="27"/>
      <c r="E426" s="28"/>
      <c r="F426" s="29"/>
      <c r="G426" s="28"/>
      <c r="H426" s="30"/>
      <c r="I426" s="31"/>
      <c r="J426" s="28"/>
      <c r="K426" s="27"/>
      <c r="L426" s="8"/>
      <c r="M426" s="8"/>
      <c r="N426" s="8"/>
      <c r="O426" s="8"/>
      <c r="P426" s="8"/>
      <c r="Q426" s="8"/>
      <c r="R426" s="8"/>
      <c r="S426" s="8"/>
      <c r="T426" s="8"/>
      <c r="U426" s="8"/>
      <c r="V426" s="8"/>
      <c r="W426" s="8"/>
      <c r="X426" s="8"/>
      <c r="Y426" s="8"/>
      <c r="Z426" s="8"/>
    </row>
    <row r="427" ht="16.5" customHeight="1">
      <c r="A427" s="8"/>
      <c r="B427" s="27"/>
      <c r="C427" s="27"/>
      <c r="D427" s="27"/>
      <c r="E427" s="28"/>
      <c r="F427" s="29"/>
      <c r="G427" s="28"/>
      <c r="H427" s="30"/>
      <c r="I427" s="31"/>
      <c r="J427" s="28"/>
      <c r="K427" s="27"/>
      <c r="L427" s="8"/>
      <c r="M427" s="8"/>
      <c r="N427" s="8"/>
      <c r="O427" s="8"/>
      <c r="P427" s="8"/>
      <c r="Q427" s="8"/>
      <c r="R427" s="8"/>
      <c r="S427" s="8"/>
      <c r="T427" s="8"/>
      <c r="U427" s="8"/>
      <c r="V427" s="8"/>
      <c r="W427" s="8"/>
      <c r="X427" s="8"/>
      <c r="Y427" s="8"/>
      <c r="Z427" s="8"/>
    </row>
    <row r="428" ht="16.5" customHeight="1">
      <c r="A428" s="8"/>
      <c r="B428" s="27"/>
      <c r="C428" s="27"/>
      <c r="D428" s="27"/>
      <c r="E428" s="28"/>
      <c r="F428" s="29"/>
      <c r="G428" s="28"/>
      <c r="H428" s="30"/>
      <c r="I428" s="31"/>
      <c r="J428" s="28"/>
      <c r="K428" s="27"/>
      <c r="L428" s="8"/>
      <c r="M428" s="8"/>
      <c r="N428" s="8"/>
      <c r="O428" s="8"/>
      <c r="P428" s="8"/>
      <c r="Q428" s="8"/>
      <c r="R428" s="8"/>
      <c r="S428" s="8"/>
      <c r="T428" s="8"/>
      <c r="U428" s="8"/>
      <c r="V428" s="8"/>
      <c r="W428" s="8"/>
      <c r="X428" s="8"/>
      <c r="Y428" s="8"/>
      <c r="Z428" s="8"/>
    </row>
    <row r="429" ht="16.5" customHeight="1">
      <c r="A429" s="8"/>
      <c r="B429" s="27"/>
      <c r="C429" s="27"/>
      <c r="D429" s="27"/>
      <c r="E429" s="28"/>
      <c r="F429" s="29"/>
      <c r="G429" s="28"/>
      <c r="H429" s="30"/>
      <c r="I429" s="31"/>
      <c r="J429" s="28"/>
      <c r="K429" s="27"/>
      <c r="L429" s="8"/>
      <c r="M429" s="8"/>
      <c r="N429" s="8"/>
      <c r="O429" s="8"/>
      <c r="P429" s="8"/>
      <c r="Q429" s="8"/>
      <c r="R429" s="8"/>
      <c r="S429" s="8"/>
      <c r="T429" s="8"/>
      <c r="U429" s="8"/>
      <c r="V429" s="8"/>
      <c r="W429" s="8"/>
      <c r="X429" s="8"/>
      <c r="Y429" s="8"/>
      <c r="Z429" s="8"/>
    </row>
    <row r="430" ht="16.5" customHeight="1">
      <c r="A430" s="8"/>
      <c r="B430" s="27"/>
      <c r="C430" s="27"/>
      <c r="D430" s="27"/>
      <c r="E430" s="28"/>
      <c r="F430" s="29"/>
      <c r="G430" s="28"/>
      <c r="H430" s="30"/>
      <c r="I430" s="31"/>
      <c r="J430" s="28"/>
      <c r="K430" s="27"/>
      <c r="L430" s="8"/>
      <c r="M430" s="8"/>
      <c r="N430" s="8"/>
      <c r="O430" s="8"/>
      <c r="P430" s="8"/>
      <c r="Q430" s="8"/>
      <c r="R430" s="8"/>
      <c r="S430" s="8"/>
      <c r="T430" s="8"/>
      <c r="U430" s="8"/>
      <c r="V430" s="8"/>
      <c r="W430" s="8"/>
      <c r="X430" s="8"/>
      <c r="Y430" s="8"/>
      <c r="Z430" s="8"/>
    </row>
    <row r="431" ht="16.5" customHeight="1">
      <c r="A431" s="8"/>
      <c r="B431" s="27"/>
      <c r="C431" s="27"/>
      <c r="D431" s="27"/>
      <c r="E431" s="28"/>
      <c r="F431" s="29"/>
      <c r="G431" s="28"/>
      <c r="H431" s="30"/>
      <c r="I431" s="31"/>
      <c r="J431" s="28"/>
      <c r="K431" s="27"/>
      <c r="L431" s="8"/>
      <c r="M431" s="8"/>
      <c r="N431" s="8"/>
      <c r="O431" s="8"/>
      <c r="P431" s="8"/>
      <c r="Q431" s="8"/>
      <c r="R431" s="8"/>
      <c r="S431" s="8"/>
      <c r="T431" s="8"/>
      <c r="U431" s="8"/>
      <c r="V431" s="8"/>
      <c r="W431" s="8"/>
      <c r="X431" s="8"/>
      <c r="Y431" s="8"/>
      <c r="Z431" s="8"/>
    </row>
    <row r="432" ht="16.5" customHeight="1">
      <c r="A432" s="8"/>
      <c r="B432" s="27"/>
      <c r="C432" s="27"/>
      <c r="D432" s="27"/>
      <c r="E432" s="28"/>
      <c r="F432" s="29"/>
      <c r="G432" s="28"/>
      <c r="H432" s="30"/>
      <c r="I432" s="31"/>
      <c r="J432" s="28"/>
      <c r="K432" s="27"/>
      <c r="L432" s="8"/>
      <c r="M432" s="8"/>
      <c r="N432" s="8"/>
      <c r="O432" s="8"/>
      <c r="P432" s="8"/>
      <c r="Q432" s="8"/>
      <c r="R432" s="8"/>
      <c r="S432" s="8"/>
      <c r="T432" s="8"/>
      <c r="U432" s="8"/>
      <c r="V432" s="8"/>
      <c r="W432" s="8"/>
      <c r="X432" s="8"/>
      <c r="Y432" s="8"/>
      <c r="Z432" s="8"/>
    </row>
    <row r="433" ht="16.5" customHeight="1">
      <c r="A433" s="8"/>
      <c r="B433" s="27"/>
      <c r="C433" s="27"/>
      <c r="D433" s="27"/>
      <c r="E433" s="28"/>
      <c r="F433" s="29"/>
      <c r="G433" s="28"/>
      <c r="H433" s="30"/>
      <c r="I433" s="31"/>
      <c r="J433" s="28"/>
      <c r="K433" s="27"/>
      <c r="L433" s="8"/>
      <c r="M433" s="8"/>
      <c r="N433" s="8"/>
      <c r="O433" s="8"/>
      <c r="P433" s="8"/>
      <c r="Q433" s="8"/>
      <c r="R433" s="8"/>
      <c r="S433" s="8"/>
      <c r="T433" s="8"/>
      <c r="U433" s="8"/>
      <c r="V433" s="8"/>
      <c r="W433" s="8"/>
      <c r="X433" s="8"/>
      <c r="Y433" s="8"/>
      <c r="Z433" s="8"/>
    </row>
    <row r="434" ht="16.5" customHeight="1">
      <c r="A434" s="8"/>
      <c r="B434" s="27"/>
      <c r="C434" s="27"/>
      <c r="D434" s="27"/>
      <c r="E434" s="28"/>
      <c r="F434" s="29"/>
      <c r="G434" s="28"/>
      <c r="H434" s="30"/>
      <c r="I434" s="31"/>
      <c r="J434" s="28"/>
      <c r="K434" s="27"/>
      <c r="L434" s="8"/>
      <c r="M434" s="8"/>
      <c r="N434" s="8"/>
      <c r="O434" s="8"/>
      <c r="P434" s="8"/>
      <c r="Q434" s="8"/>
      <c r="R434" s="8"/>
      <c r="S434" s="8"/>
      <c r="T434" s="8"/>
      <c r="U434" s="8"/>
      <c r="V434" s="8"/>
      <c r="W434" s="8"/>
      <c r="X434" s="8"/>
      <c r="Y434" s="8"/>
      <c r="Z434" s="8"/>
    </row>
    <row r="435" ht="16.5" customHeight="1">
      <c r="A435" s="8"/>
      <c r="B435" s="27"/>
      <c r="C435" s="27"/>
      <c r="D435" s="27"/>
      <c r="E435" s="28"/>
      <c r="F435" s="29"/>
      <c r="G435" s="28"/>
      <c r="H435" s="30"/>
      <c r="I435" s="31"/>
      <c r="J435" s="28"/>
      <c r="K435" s="27"/>
      <c r="L435" s="8"/>
      <c r="M435" s="8"/>
      <c r="N435" s="8"/>
      <c r="O435" s="8"/>
      <c r="P435" s="8"/>
      <c r="Q435" s="8"/>
      <c r="R435" s="8"/>
      <c r="S435" s="8"/>
      <c r="T435" s="8"/>
      <c r="U435" s="8"/>
      <c r="V435" s="8"/>
      <c r="W435" s="8"/>
      <c r="X435" s="8"/>
      <c r="Y435" s="8"/>
      <c r="Z435" s="8"/>
    </row>
    <row r="436" ht="16.5" customHeight="1">
      <c r="A436" s="8"/>
      <c r="B436" s="27"/>
      <c r="C436" s="27"/>
      <c r="D436" s="27"/>
      <c r="E436" s="28"/>
      <c r="F436" s="29"/>
      <c r="G436" s="28"/>
      <c r="H436" s="30"/>
      <c r="I436" s="31"/>
      <c r="J436" s="28"/>
      <c r="K436" s="27"/>
      <c r="L436" s="8"/>
      <c r="M436" s="8"/>
      <c r="N436" s="8"/>
      <c r="O436" s="8"/>
      <c r="P436" s="8"/>
      <c r="Q436" s="8"/>
      <c r="R436" s="8"/>
      <c r="S436" s="8"/>
      <c r="T436" s="8"/>
      <c r="U436" s="8"/>
      <c r="V436" s="8"/>
      <c r="W436" s="8"/>
      <c r="X436" s="8"/>
      <c r="Y436" s="8"/>
      <c r="Z436" s="8"/>
    </row>
    <row r="437" ht="16.5" customHeight="1">
      <c r="A437" s="8"/>
      <c r="B437" s="27"/>
      <c r="C437" s="27"/>
      <c r="D437" s="27"/>
      <c r="E437" s="28"/>
      <c r="F437" s="29"/>
      <c r="G437" s="28"/>
      <c r="H437" s="30"/>
      <c r="I437" s="31"/>
      <c r="J437" s="28"/>
      <c r="K437" s="27"/>
      <c r="L437" s="8"/>
      <c r="M437" s="8"/>
      <c r="N437" s="8"/>
      <c r="O437" s="8"/>
      <c r="P437" s="8"/>
      <c r="Q437" s="8"/>
      <c r="R437" s="8"/>
      <c r="S437" s="8"/>
      <c r="T437" s="8"/>
      <c r="U437" s="8"/>
      <c r="V437" s="8"/>
      <c r="W437" s="8"/>
      <c r="X437" s="8"/>
      <c r="Y437" s="8"/>
      <c r="Z437" s="8"/>
    </row>
    <row r="438" ht="16.5" customHeight="1">
      <c r="A438" s="8"/>
      <c r="B438" s="27"/>
      <c r="C438" s="27"/>
      <c r="D438" s="27"/>
      <c r="E438" s="28"/>
      <c r="F438" s="29"/>
      <c r="G438" s="28"/>
      <c r="H438" s="30"/>
      <c r="I438" s="31"/>
      <c r="J438" s="28"/>
      <c r="K438" s="27"/>
      <c r="L438" s="8"/>
      <c r="M438" s="8"/>
      <c r="N438" s="8"/>
      <c r="O438" s="8"/>
      <c r="P438" s="8"/>
      <c r="Q438" s="8"/>
      <c r="R438" s="8"/>
      <c r="S438" s="8"/>
      <c r="T438" s="8"/>
      <c r="U438" s="8"/>
      <c r="V438" s="8"/>
      <c r="W438" s="8"/>
      <c r="X438" s="8"/>
      <c r="Y438" s="8"/>
      <c r="Z438" s="8"/>
    </row>
    <row r="439" ht="16.5" customHeight="1">
      <c r="A439" s="8"/>
      <c r="B439" s="27"/>
      <c r="C439" s="27"/>
      <c r="D439" s="27"/>
      <c r="E439" s="28"/>
      <c r="F439" s="29"/>
      <c r="G439" s="28"/>
      <c r="H439" s="30"/>
      <c r="I439" s="31"/>
      <c r="J439" s="28"/>
      <c r="K439" s="27"/>
      <c r="L439" s="8"/>
      <c r="M439" s="8"/>
      <c r="N439" s="8"/>
      <c r="O439" s="8"/>
      <c r="P439" s="8"/>
      <c r="Q439" s="8"/>
      <c r="R439" s="8"/>
      <c r="S439" s="8"/>
      <c r="T439" s="8"/>
      <c r="U439" s="8"/>
      <c r="V439" s="8"/>
      <c r="W439" s="8"/>
      <c r="X439" s="8"/>
      <c r="Y439" s="8"/>
      <c r="Z439" s="8"/>
    </row>
    <row r="440" ht="16.5" customHeight="1">
      <c r="A440" s="8"/>
      <c r="B440" s="27"/>
      <c r="C440" s="27"/>
      <c r="D440" s="27"/>
      <c r="E440" s="28"/>
      <c r="F440" s="29"/>
      <c r="G440" s="28"/>
      <c r="H440" s="30"/>
      <c r="I440" s="31"/>
      <c r="J440" s="28"/>
      <c r="K440" s="27"/>
      <c r="L440" s="8"/>
      <c r="M440" s="8"/>
      <c r="N440" s="8"/>
      <c r="O440" s="8"/>
      <c r="P440" s="8"/>
      <c r="Q440" s="8"/>
      <c r="R440" s="8"/>
      <c r="S440" s="8"/>
      <c r="T440" s="8"/>
      <c r="U440" s="8"/>
      <c r="V440" s="8"/>
      <c r="W440" s="8"/>
      <c r="X440" s="8"/>
      <c r="Y440" s="8"/>
      <c r="Z440" s="8"/>
    </row>
    <row r="441" ht="16.5" customHeight="1">
      <c r="A441" s="8"/>
      <c r="B441" s="27"/>
      <c r="C441" s="27"/>
      <c r="D441" s="27"/>
      <c r="E441" s="28"/>
      <c r="F441" s="29"/>
      <c r="G441" s="28"/>
      <c r="H441" s="30"/>
      <c r="I441" s="31"/>
      <c r="J441" s="28"/>
      <c r="K441" s="27"/>
      <c r="L441" s="8"/>
      <c r="M441" s="8"/>
      <c r="N441" s="8"/>
      <c r="O441" s="8"/>
      <c r="P441" s="8"/>
      <c r="Q441" s="8"/>
      <c r="R441" s="8"/>
      <c r="S441" s="8"/>
      <c r="T441" s="8"/>
      <c r="U441" s="8"/>
      <c r="V441" s="8"/>
      <c r="W441" s="8"/>
      <c r="X441" s="8"/>
      <c r="Y441" s="8"/>
      <c r="Z441" s="8"/>
    </row>
    <row r="442" ht="16.5" customHeight="1">
      <c r="A442" s="8"/>
      <c r="B442" s="27"/>
      <c r="C442" s="27"/>
      <c r="D442" s="27"/>
      <c r="E442" s="28"/>
      <c r="F442" s="29"/>
      <c r="G442" s="28"/>
      <c r="H442" s="30"/>
      <c r="I442" s="31"/>
      <c r="J442" s="28"/>
      <c r="K442" s="27"/>
      <c r="L442" s="8"/>
      <c r="M442" s="8"/>
      <c r="N442" s="8"/>
      <c r="O442" s="8"/>
      <c r="P442" s="8"/>
      <c r="Q442" s="8"/>
      <c r="R442" s="8"/>
      <c r="S442" s="8"/>
      <c r="T442" s="8"/>
      <c r="U442" s="8"/>
      <c r="V442" s="8"/>
      <c r="W442" s="8"/>
      <c r="X442" s="8"/>
      <c r="Y442" s="8"/>
      <c r="Z442" s="8"/>
    </row>
    <row r="443" ht="16.5" customHeight="1">
      <c r="A443" s="8"/>
      <c r="B443" s="27"/>
      <c r="C443" s="27"/>
      <c r="D443" s="27"/>
      <c r="E443" s="28"/>
      <c r="F443" s="29"/>
      <c r="G443" s="28"/>
      <c r="H443" s="30"/>
      <c r="I443" s="31"/>
      <c r="J443" s="28"/>
      <c r="K443" s="27"/>
      <c r="L443" s="8"/>
      <c r="M443" s="8"/>
      <c r="N443" s="8"/>
      <c r="O443" s="8"/>
      <c r="P443" s="8"/>
      <c r="Q443" s="8"/>
      <c r="R443" s="8"/>
      <c r="S443" s="8"/>
      <c r="T443" s="8"/>
      <c r="U443" s="8"/>
      <c r="V443" s="8"/>
      <c r="W443" s="8"/>
      <c r="X443" s="8"/>
      <c r="Y443" s="8"/>
      <c r="Z443" s="8"/>
    </row>
    <row r="444" ht="16.5" customHeight="1">
      <c r="A444" s="8"/>
      <c r="B444" s="27"/>
      <c r="C444" s="27"/>
      <c r="D444" s="27"/>
      <c r="E444" s="28"/>
      <c r="F444" s="29"/>
      <c r="G444" s="28"/>
      <c r="H444" s="30"/>
      <c r="I444" s="31"/>
      <c r="J444" s="28"/>
      <c r="K444" s="27"/>
      <c r="L444" s="8"/>
      <c r="M444" s="8"/>
      <c r="N444" s="8"/>
      <c r="O444" s="8"/>
      <c r="P444" s="8"/>
      <c r="Q444" s="8"/>
      <c r="R444" s="8"/>
      <c r="S444" s="8"/>
      <c r="T444" s="8"/>
      <c r="U444" s="8"/>
      <c r="V444" s="8"/>
      <c r="W444" s="8"/>
      <c r="X444" s="8"/>
      <c r="Y444" s="8"/>
      <c r="Z444" s="8"/>
    </row>
    <row r="445" ht="16.5" customHeight="1">
      <c r="A445" s="8"/>
      <c r="B445" s="27"/>
      <c r="C445" s="27"/>
      <c r="D445" s="27"/>
      <c r="E445" s="28"/>
      <c r="F445" s="29"/>
      <c r="G445" s="28"/>
      <c r="H445" s="30"/>
      <c r="I445" s="31"/>
      <c r="J445" s="28"/>
      <c r="K445" s="27"/>
      <c r="L445" s="8"/>
      <c r="M445" s="8"/>
      <c r="N445" s="8"/>
      <c r="O445" s="8"/>
      <c r="P445" s="8"/>
      <c r="Q445" s="8"/>
      <c r="R445" s="8"/>
      <c r="S445" s="8"/>
      <c r="T445" s="8"/>
      <c r="U445" s="8"/>
      <c r="V445" s="8"/>
      <c r="W445" s="8"/>
      <c r="X445" s="8"/>
      <c r="Y445" s="8"/>
      <c r="Z445" s="8"/>
    </row>
    <row r="446" ht="16.5" customHeight="1">
      <c r="A446" s="8"/>
      <c r="B446" s="27"/>
      <c r="C446" s="27"/>
      <c r="D446" s="27"/>
      <c r="E446" s="28"/>
      <c r="F446" s="29"/>
      <c r="G446" s="28"/>
      <c r="H446" s="30"/>
      <c r="I446" s="31"/>
      <c r="J446" s="28"/>
      <c r="K446" s="27"/>
      <c r="L446" s="8"/>
      <c r="M446" s="8"/>
      <c r="N446" s="8"/>
      <c r="O446" s="8"/>
      <c r="P446" s="8"/>
      <c r="Q446" s="8"/>
      <c r="R446" s="8"/>
      <c r="S446" s="8"/>
      <c r="T446" s="8"/>
      <c r="U446" s="8"/>
      <c r="V446" s="8"/>
      <c r="W446" s="8"/>
      <c r="X446" s="8"/>
      <c r="Y446" s="8"/>
      <c r="Z446" s="8"/>
    </row>
    <row r="447" ht="16.5" customHeight="1">
      <c r="A447" s="8"/>
      <c r="B447" s="27"/>
      <c r="C447" s="27"/>
      <c r="D447" s="27"/>
      <c r="E447" s="28"/>
      <c r="F447" s="29"/>
      <c r="G447" s="28"/>
      <c r="H447" s="30"/>
      <c r="I447" s="31"/>
      <c r="J447" s="28"/>
      <c r="K447" s="27"/>
      <c r="L447" s="8"/>
      <c r="M447" s="8"/>
      <c r="N447" s="8"/>
      <c r="O447" s="8"/>
      <c r="P447" s="8"/>
      <c r="Q447" s="8"/>
      <c r="R447" s="8"/>
      <c r="S447" s="8"/>
      <c r="T447" s="8"/>
      <c r="U447" s="8"/>
      <c r="V447" s="8"/>
      <c r="W447" s="8"/>
      <c r="X447" s="8"/>
      <c r="Y447" s="8"/>
      <c r="Z447" s="8"/>
    </row>
    <row r="448" ht="16.5" customHeight="1">
      <c r="A448" s="8"/>
      <c r="B448" s="27"/>
      <c r="C448" s="27"/>
      <c r="D448" s="27"/>
      <c r="E448" s="28"/>
      <c r="F448" s="29"/>
      <c r="G448" s="28"/>
      <c r="H448" s="30"/>
      <c r="I448" s="31"/>
      <c r="J448" s="28"/>
      <c r="K448" s="27"/>
      <c r="L448" s="8"/>
      <c r="M448" s="8"/>
      <c r="N448" s="8"/>
      <c r="O448" s="8"/>
      <c r="P448" s="8"/>
      <c r="Q448" s="8"/>
      <c r="R448" s="8"/>
      <c r="S448" s="8"/>
      <c r="T448" s="8"/>
      <c r="U448" s="8"/>
      <c r="V448" s="8"/>
      <c r="W448" s="8"/>
      <c r="X448" s="8"/>
      <c r="Y448" s="8"/>
      <c r="Z448" s="8"/>
    </row>
    <row r="449" ht="16.5" customHeight="1">
      <c r="A449" s="8"/>
      <c r="B449" s="27"/>
      <c r="C449" s="27"/>
      <c r="D449" s="27"/>
      <c r="E449" s="28"/>
      <c r="F449" s="29"/>
      <c r="G449" s="28"/>
      <c r="H449" s="30"/>
      <c r="I449" s="31"/>
      <c r="J449" s="28"/>
      <c r="K449" s="27"/>
      <c r="L449" s="8"/>
      <c r="M449" s="8"/>
      <c r="N449" s="8"/>
      <c r="O449" s="8"/>
      <c r="P449" s="8"/>
      <c r="Q449" s="8"/>
      <c r="R449" s="8"/>
      <c r="S449" s="8"/>
      <c r="T449" s="8"/>
      <c r="U449" s="8"/>
      <c r="V449" s="8"/>
      <c r="W449" s="8"/>
      <c r="X449" s="8"/>
      <c r="Y449" s="8"/>
      <c r="Z449" s="8"/>
    </row>
    <row r="450" ht="16.5" customHeight="1">
      <c r="A450" s="8"/>
      <c r="B450" s="27"/>
      <c r="C450" s="27"/>
      <c r="D450" s="27"/>
      <c r="E450" s="28"/>
      <c r="F450" s="29"/>
      <c r="G450" s="28"/>
      <c r="H450" s="30"/>
      <c r="I450" s="31"/>
      <c r="J450" s="28"/>
      <c r="K450" s="27"/>
      <c r="L450" s="8"/>
      <c r="M450" s="8"/>
      <c r="N450" s="8"/>
      <c r="O450" s="8"/>
      <c r="P450" s="8"/>
      <c r="Q450" s="8"/>
      <c r="R450" s="8"/>
      <c r="S450" s="8"/>
      <c r="T450" s="8"/>
      <c r="U450" s="8"/>
      <c r="V450" s="8"/>
      <c r="W450" s="8"/>
      <c r="X450" s="8"/>
      <c r="Y450" s="8"/>
      <c r="Z450" s="8"/>
    </row>
    <row r="451" ht="16.5" customHeight="1">
      <c r="A451" s="8"/>
      <c r="B451" s="27"/>
      <c r="C451" s="27"/>
      <c r="D451" s="27"/>
      <c r="E451" s="28"/>
      <c r="F451" s="29"/>
      <c r="G451" s="28"/>
      <c r="H451" s="30"/>
      <c r="I451" s="31"/>
      <c r="J451" s="28"/>
      <c r="K451" s="27"/>
      <c r="L451" s="8"/>
      <c r="M451" s="8"/>
      <c r="N451" s="8"/>
      <c r="O451" s="8"/>
      <c r="P451" s="8"/>
      <c r="Q451" s="8"/>
      <c r="R451" s="8"/>
      <c r="S451" s="8"/>
      <c r="T451" s="8"/>
      <c r="U451" s="8"/>
      <c r="V451" s="8"/>
      <c r="W451" s="8"/>
      <c r="X451" s="8"/>
      <c r="Y451" s="8"/>
      <c r="Z451" s="8"/>
    </row>
    <row r="452" ht="16.5" customHeight="1">
      <c r="A452" s="8"/>
      <c r="B452" s="27"/>
      <c r="C452" s="27"/>
      <c r="D452" s="27"/>
      <c r="E452" s="28"/>
      <c r="F452" s="29"/>
      <c r="G452" s="28"/>
      <c r="H452" s="30"/>
      <c r="I452" s="31"/>
      <c r="J452" s="28"/>
      <c r="K452" s="27"/>
      <c r="L452" s="8"/>
      <c r="M452" s="8"/>
      <c r="N452" s="8"/>
      <c r="O452" s="8"/>
      <c r="P452" s="8"/>
      <c r="Q452" s="8"/>
      <c r="R452" s="8"/>
      <c r="S452" s="8"/>
      <c r="T452" s="8"/>
      <c r="U452" s="8"/>
      <c r="V452" s="8"/>
      <c r="W452" s="8"/>
      <c r="X452" s="8"/>
      <c r="Y452" s="8"/>
      <c r="Z452" s="8"/>
    </row>
    <row r="453" ht="16.5" customHeight="1">
      <c r="A453" s="8"/>
      <c r="B453" s="27"/>
      <c r="C453" s="27"/>
      <c r="D453" s="27"/>
      <c r="E453" s="28"/>
      <c r="F453" s="29"/>
      <c r="G453" s="28"/>
      <c r="H453" s="30"/>
      <c r="I453" s="31"/>
      <c r="J453" s="28"/>
      <c r="K453" s="27"/>
      <c r="L453" s="8"/>
      <c r="M453" s="8"/>
      <c r="N453" s="8"/>
      <c r="O453" s="8"/>
      <c r="P453" s="8"/>
      <c r="Q453" s="8"/>
      <c r="R453" s="8"/>
      <c r="S453" s="8"/>
      <c r="T453" s="8"/>
      <c r="U453" s="8"/>
      <c r="V453" s="8"/>
      <c r="W453" s="8"/>
      <c r="X453" s="8"/>
      <c r="Y453" s="8"/>
      <c r="Z453" s="8"/>
    </row>
    <row r="454" ht="16.5" customHeight="1">
      <c r="A454" s="8"/>
      <c r="B454" s="27"/>
      <c r="C454" s="27"/>
      <c r="D454" s="27"/>
      <c r="E454" s="28"/>
      <c r="F454" s="29"/>
      <c r="G454" s="28"/>
      <c r="H454" s="30"/>
      <c r="I454" s="31"/>
      <c r="J454" s="28"/>
      <c r="K454" s="27"/>
      <c r="L454" s="8"/>
      <c r="M454" s="8"/>
      <c r="N454" s="8"/>
      <c r="O454" s="8"/>
      <c r="P454" s="8"/>
      <c r="Q454" s="8"/>
      <c r="R454" s="8"/>
      <c r="S454" s="8"/>
      <c r="T454" s="8"/>
      <c r="U454" s="8"/>
      <c r="V454" s="8"/>
      <c r="W454" s="8"/>
      <c r="X454" s="8"/>
      <c r="Y454" s="8"/>
      <c r="Z454" s="8"/>
    </row>
    <row r="455" ht="16.5" customHeight="1">
      <c r="A455" s="8"/>
      <c r="B455" s="27"/>
      <c r="C455" s="27"/>
      <c r="D455" s="27"/>
      <c r="E455" s="28"/>
      <c r="F455" s="29"/>
      <c r="G455" s="28"/>
      <c r="H455" s="30"/>
      <c r="I455" s="31"/>
      <c r="J455" s="28"/>
      <c r="K455" s="27"/>
      <c r="L455" s="8"/>
      <c r="M455" s="8"/>
      <c r="N455" s="8"/>
      <c r="O455" s="8"/>
      <c r="P455" s="8"/>
      <c r="Q455" s="8"/>
      <c r="R455" s="8"/>
      <c r="S455" s="8"/>
      <c r="T455" s="8"/>
      <c r="U455" s="8"/>
      <c r="V455" s="8"/>
      <c r="W455" s="8"/>
      <c r="X455" s="8"/>
      <c r="Y455" s="8"/>
      <c r="Z455" s="8"/>
    </row>
    <row r="456" ht="16.5" customHeight="1">
      <c r="A456" s="8"/>
      <c r="B456" s="27"/>
      <c r="C456" s="27"/>
      <c r="D456" s="27"/>
      <c r="E456" s="28"/>
      <c r="F456" s="29"/>
      <c r="G456" s="28"/>
      <c r="H456" s="30"/>
      <c r="I456" s="31"/>
      <c r="J456" s="28"/>
      <c r="K456" s="27"/>
      <c r="L456" s="8"/>
      <c r="M456" s="8"/>
      <c r="N456" s="8"/>
      <c r="O456" s="8"/>
      <c r="P456" s="8"/>
      <c r="Q456" s="8"/>
      <c r="R456" s="8"/>
      <c r="S456" s="8"/>
      <c r="T456" s="8"/>
      <c r="U456" s="8"/>
      <c r="V456" s="8"/>
      <c r="W456" s="8"/>
      <c r="X456" s="8"/>
      <c r="Y456" s="8"/>
      <c r="Z456" s="8"/>
    </row>
    <row r="457" ht="16.5" customHeight="1">
      <c r="A457" s="8"/>
      <c r="B457" s="27"/>
      <c r="C457" s="27"/>
      <c r="D457" s="27"/>
      <c r="E457" s="28"/>
      <c r="F457" s="29"/>
      <c r="G457" s="28"/>
      <c r="H457" s="30"/>
      <c r="I457" s="31"/>
      <c r="J457" s="28"/>
      <c r="K457" s="27"/>
      <c r="L457" s="8"/>
      <c r="M457" s="8"/>
      <c r="N457" s="8"/>
      <c r="O457" s="8"/>
      <c r="P457" s="8"/>
      <c r="Q457" s="8"/>
      <c r="R457" s="8"/>
      <c r="S457" s="8"/>
      <c r="T457" s="8"/>
      <c r="U457" s="8"/>
      <c r="V457" s="8"/>
      <c r="W457" s="8"/>
      <c r="X457" s="8"/>
      <c r="Y457" s="8"/>
      <c r="Z457" s="8"/>
    </row>
    <row r="458" ht="16.5" customHeight="1">
      <c r="A458" s="8"/>
      <c r="B458" s="27"/>
      <c r="C458" s="27"/>
      <c r="D458" s="27"/>
      <c r="E458" s="28"/>
      <c r="F458" s="29"/>
      <c r="G458" s="28"/>
      <c r="H458" s="30"/>
      <c r="I458" s="31"/>
      <c r="J458" s="28"/>
      <c r="K458" s="27"/>
      <c r="L458" s="8"/>
      <c r="M458" s="8"/>
      <c r="N458" s="8"/>
      <c r="O458" s="8"/>
      <c r="P458" s="8"/>
      <c r="Q458" s="8"/>
      <c r="R458" s="8"/>
      <c r="S458" s="8"/>
      <c r="T458" s="8"/>
      <c r="U458" s="8"/>
      <c r="V458" s="8"/>
      <c r="W458" s="8"/>
      <c r="X458" s="8"/>
      <c r="Y458" s="8"/>
      <c r="Z458" s="8"/>
    </row>
    <row r="459" ht="16.5" customHeight="1">
      <c r="A459" s="8"/>
      <c r="B459" s="27"/>
      <c r="C459" s="27"/>
      <c r="D459" s="27"/>
      <c r="E459" s="28"/>
      <c r="F459" s="29"/>
      <c r="G459" s="28"/>
      <c r="H459" s="30"/>
      <c r="I459" s="31"/>
      <c r="J459" s="28"/>
      <c r="K459" s="27"/>
      <c r="L459" s="8"/>
      <c r="M459" s="8"/>
      <c r="N459" s="8"/>
      <c r="O459" s="8"/>
      <c r="P459" s="8"/>
      <c r="Q459" s="8"/>
      <c r="R459" s="8"/>
      <c r="S459" s="8"/>
      <c r="T459" s="8"/>
      <c r="U459" s="8"/>
      <c r="V459" s="8"/>
      <c r="W459" s="8"/>
      <c r="X459" s="8"/>
      <c r="Y459" s="8"/>
      <c r="Z459" s="8"/>
    </row>
    <row r="460" ht="16.5" customHeight="1">
      <c r="A460" s="8"/>
      <c r="B460" s="27"/>
      <c r="C460" s="27"/>
      <c r="D460" s="27"/>
      <c r="E460" s="28"/>
      <c r="F460" s="29"/>
      <c r="G460" s="28"/>
      <c r="H460" s="30"/>
      <c r="I460" s="31"/>
      <c r="J460" s="28"/>
      <c r="K460" s="27"/>
      <c r="L460" s="8"/>
      <c r="M460" s="8"/>
      <c r="N460" s="8"/>
      <c r="O460" s="8"/>
      <c r="P460" s="8"/>
      <c r="Q460" s="8"/>
      <c r="R460" s="8"/>
      <c r="S460" s="8"/>
      <c r="T460" s="8"/>
      <c r="U460" s="8"/>
      <c r="V460" s="8"/>
      <c r="W460" s="8"/>
      <c r="X460" s="8"/>
      <c r="Y460" s="8"/>
      <c r="Z460" s="8"/>
    </row>
    <row r="461" ht="16.5" customHeight="1">
      <c r="A461" s="8"/>
      <c r="B461" s="27"/>
      <c r="C461" s="27"/>
      <c r="D461" s="27"/>
      <c r="E461" s="28"/>
      <c r="F461" s="29"/>
      <c r="G461" s="28"/>
      <c r="H461" s="30"/>
      <c r="I461" s="31"/>
      <c r="J461" s="28"/>
      <c r="K461" s="27"/>
      <c r="L461" s="8"/>
      <c r="M461" s="8"/>
      <c r="N461" s="8"/>
      <c r="O461" s="8"/>
      <c r="P461" s="8"/>
      <c r="Q461" s="8"/>
      <c r="R461" s="8"/>
      <c r="S461" s="8"/>
      <c r="T461" s="8"/>
      <c r="U461" s="8"/>
      <c r="V461" s="8"/>
      <c r="W461" s="8"/>
      <c r="X461" s="8"/>
      <c r="Y461" s="8"/>
      <c r="Z461" s="8"/>
    </row>
    <row r="462" ht="16.5" customHeight="1">
      <c r="A462" s="8"/>
      <c r="B462" s="27"/>
      <c r="C462" s="27"/>
      <c r="D462" s="27"/>
      <c r="E462" s="28"/>
      <c r="F462" s="29"/>
      <c r="G462" s="28"/>
      <c r="H462" s="30"/>
      <c r="I462" s="31"/>
      <c r="J462" s="28"/>
      <c r="K462" s="27"/>
      <c r="L462" s="8"/>
      <c r="M462" s="8"/>
      <c r="N462" s="8"/>
      <c r="O462" s="8"/>
      <c r="P462" s="8"/>
      <c r="Q462" s="8"/>
      <c r="R462" s="8"/>
      <c r="S462" s="8"/>
      <c r="T462" s="8"/>
      <c r="U462" s="8"/>
      <c r="V462" s="8"/>
      <c r="W462" s="8"/>
      <c r="X462" s="8"/>
      <c r="Y462" s="8"/>
      <c r="Z462" s="8"/>
    </row>
    <row r="463" ht="16.5" customHeight="1">
      <c r="A463" s="8"/>
      <c r="B463" s="27"/>
      <c r="C463" s="27"/>
      <c r="D463" s="27"/>
      <c r="E463" s="28"/>
      <c r="F463" s="29"/>
      <c r="G463" s="28"/>
      <c r="H463" s="30"/>
      <c r="I463" s="31"/>
      <c r="J463" s="28"/>
      <c r="K463" s="27"/>
      <c r="L463" s="8"/>
      <c r="M463" s="8"/>
      <c r="N463" s="8"/>
      <c r="O463" s="8"/>
      <c r="P463" s="8"/>
      <c r="Q463" s="8"/>
      <c r="R463" s="8"/>
      <c r="S463" s="8"/>
      <c r="T463" s="8"/>
      <c r="U463" s="8"/>
      <c r="V463" s="8"/>
      <c r="W463" s="8"/>
      <c r="X463" s="8"/>
      <c r="Y463" s="8"/>
      <c r="Z463" s="8"/>
    </row>
    <row r="464" ht="16.5" customHeight="1">
      <c r="A464" s="8"/>
      <c r="B464" s="27"/>
      <c r="C464" s="27"/>
      <c r="D464" s="27"/>
      <c r="E464" s="28"/>
      <c r="F464" s="29"/>
      <c r="G464" s="28"/>
      <c r="H464" s="30"/>
      <c r="I464" s="31"/>
      <c r="J464" s="28"/>
      <c r="K464" s="27"/>
      <c r="L464" s="8"/>
      <c r="M464" s="8"/>
      <c r="N464" s="8"/>
      <c r="O464" s="8"/>
      <c r="P464" s="8"/>
      <c r="Q464" s="8"/>
      <c r="R464" s="8"/>
      <c r="S464" s="8"/>
      <c r="T464" s="8"/>
      <c r="U464" s="8"/>
      <c r="V464" s="8"/>
      <c r="W464" s="8"/>
      <c r="X464" s="8"/>
      <c r="Y464" s="8"/>
      <c r="Z464" s="8"/>
    </row>
    <row r="465" ht="16.5" customHeight="1">
      <c r="A465" s="8"/>
      <c r="B465" s="27"/>
      <c r="C465" s="27"/>
      <c r="D465" s="27"/>
      <c r="E465" s="28"/>
      <c r="F465" s="29"/>
      <c r="G465" s="28"/>
      <c r="H465" s="30"/>
      <c r="I465" s="31"/>
      <c r="J465" s="28"/>
      <c r="K465" s="27"/>
      <c r="L465" s="8"/>
      <c r="M465" s="8"/>
      <c r="N465" s="8"/>
      <c r="O465" s="8"/>
      <c r="P465" s="8"/>
      <c r="Q465" s="8"/>
      <c r="R465" s="8"/>
      <c r="S465" s="8"/>
      <c r="T465" s="8"/>
      <c r="U465" s="8"/>
      <c r="V465" s="8"/>
      <c r="W465" s="8"/>
      <c r="X465" s="8"/>
      <c r="Y465" s="8"/>
      <c r="Z465" s="8"/>
    </row>
    <row r="466" ht="16.5" customHeight="1">
      <c r="A466" s="8"/>
      <c r="B466" s="27"/>
      <c r="C466" s="27"/>
      <c r="D466" s="27"/>
      <c r="E466" s="28"/>
      <c r="F466" s="29"/>
      <c r="G466" s="28"/>
      <c r="H466" s="30"/>
      <c r="I466" s="31"/>
      <c r="J466" s="28"/>
      <c r="K466" s="27"/>
      <c r="L466" s="8"/>
      <c r="M466" s="8"/>
      <c r="N466" s="8"/>
      <c r="O466" s="8"/>
      <c r="P466" s="8"/>
      <c r="Q466" s="8"/>
      <c r="R466" s="8"/>
      <c r="S466" s="8"/>
      <c r="T466" s="8"/>
      <c r="U466" s="8"/>
      <c r="V466" s="8"/>
      <c r="W466" s="8"/>
      <c r="X466" s="8"/>
      <c r="Y466" s="8"/>
      <c r="Z466" s="8"/>
    </row>
    <row r="467" ht="16.5" customHeight="1">
      <c r="A467" s="8"/>
      <c r="B467" s="27"/>
      <c r="C467" s="27"/>
      <c r="D467" s="27"/>
      <c r="E467" s="28"/>
      <c r="F467" s="29"/>
      <c r="G467" s="28"/>
      <c r="H467" s="30"/>
      <c r="I467" s="31"/>
      <c r="J467" s="28"/>
      <c r="K467" s="27"/>
      <c r="L467" s="8"/>
      <c r="M467" s="8"/>
      <c r="N467" s="8"/>
      <c r="O467" s="8"/>
      <c r="P467" s="8"/>
      <c r="Q467" s="8"/>
      <c r="R467" s="8"/>
      <c r="S467" s="8"/>
      <c r="T467" s="8"/>
      <c r="U467" s="8"/>
      <c r="V467" s="8"/>
      <c r="W467" s="8"/>
      <c r="X467" s="8"/>
      <c r="Y467" s="8"/>
      <c r="Z467" s="8"/>
    </row>
    <row r="468" ht="16.5" customHeight="1">
      <c r="A468" s="8"/>
      <c r="B468" s="27"/>
      <c r="C468" s="27"/>
      <c r="D468" s="27"/>
      <c r="E468" s="28"/>
      <c r="F468" s="29"/>
      <c r="G468" s="28"/>
      <c r="H468" s="30"/>
      <c r="I468" s="31"/>
      <c r="J468" s="28"/>
      <c r="K468" s="27"/>
      <c r="L468" s="8"/>
      <c r="M468" s="8"/>
      <c r="N468" s="8"/>
      <c r="O468" s="8"/>
      <c r="P468" s="8"/>
      <c r="Q468" s="8"/>
      <c r="R468" s="8"/>
      <c r="S468" s="8"/>
      <c r="T468" s="8"/>
      <c r="U468" s="8"/>
      <c r="V468" s="8"/>
      <c r="W468" s="8"/>
      <c r="X468" s="8"/>
      <c r="Y468" s="8"/>
      <c r="Z468" s="8"/>
    </row>
    <row r="469" ht="16.5" customHeight="1">
      <c r="A469" s="8"/>
      <c r="B469" s="27"/>
      <c r="C469" s="27"/>
      <c r="D469" s="27"/>
      <c r="E469" s="28"/>
      <c r="F469" s="29"/>
      <c r="G469" s="28"/>
      <c r="H469" s="30"/>
      <c r="I469" s="31"/>
      <c r="J469" s="28"/>
      <c r="K469" s="27"/>
      <c r="L469" s="8"/>
      <c r="M469" s="8"/>
      <c r="N469" s="8"/>
      <c r="O469" s="8"/>
      <c r="P469" s="8"/>
      <c r="Q469" s="8"/>
      <c r="R469" s="8"/>
      <c r="S469" s="8"/>
      <c r="T469" s="8"/>
      <c r="U469" s="8"/>
      <c r="V469" s="8"/>
      <c r="W469" s="8"/>
      <c r="X469" s="8"/>
      <c r="Y469" s="8"/>
      <c r="Z469" s="8"/>
    </row>
    <row r="470" ht="16.5" customHeight="1">
      <c r="A470" s="8"/>
      <c r="B470" s="27"/>
      <c r="C470" s="27"/>
      <c r="D470" s="27"/>
      <c r="E470" s="28"/>
      <c r="F470" s="29"/>
      <c r="G470" s="28"/>
      <c r="H470" s="30"/>
      <c r="I470" s="31"/>
      <c r="J470" s="28"/>
      <c r="K470" s="27"/>
      <c r="L470" s="8"/>
      <c r="M470" s="8"/>
      <c r="N470" s="8"/>
      <c r="O470" s="8"/>
      <c r="P470" s="8"/>
      <c r="Q470" s="8"/>
      <c r="R470" s="8"/>
      <c r="S470" s="8"/>
      <c r="T470" s="8"/>
      <c r="U470" s="8"/>
      <c r="V470" s="8"/>
      <c r="W470" s="8"/>
      <c r="X470" s="8"/>
      <c r="Y470" s="8"/>
      <c r="Z470" s="8"/>
    </row>
    <row r="471" ht="16.5" customHeight="1">
      <c r="A471" s="8"/>
      <c r="B471" s="27"/>
      <c r="C471" s="27"/>
      <c r="D471" s="27"/>
      <c r="E471" s="28"/>
      <c r="F471" s="29"/>
      <c r="G471" s="28"/>
      <c r="H471" s="30"/>
      <c r="I471" s="31"/>
      <c r="J471" s="28"/>
      <c r="K471" s="27"/>
      <c r="L471" s="8"/>
      <c r="M471" s="8"/>
      <c r="N471" s="8"/>
      <c r="O471" s="8"/>
      <c r="P471" s="8"/>
      <c r="Q471" s="8"/>
      <c r="R471" s="8"/>
      <c r="S471" s="8"/>
      <c r="T471" s="8"/>
      <c r="U471" s="8"/>
      <c r="V471" s="8"/>
      <c r="W471" s="8"/>
      <c r="X471" s="8"/>
      <c r="Y471" s="8"/>
      <c r="Z471" s="8"/>
    </row>
    <row r="472" ht="16.5" customHeight="1">
      <c r="A472" s="8"/>
      <c r="B472" s="27"/>
      <c r="C472" s="27"/>
      <c r="D472" s="27"/>
      <c r="E472" s="28"/>
      <c r="F472" s="29"/>
      <c r="G472" s="28"/>
      <c r="H472" s="30"/>
      <c r="I472" s="31"/>
      <c r="J472" s="28"/>
      <c r="K472" s="27"/>
      <c r="L472" s="8"/>
      <c r="M472" s="8"/>
      <c r="N472" s="8"/>
      <c r="O472" s="8"/>
      <c r="P472" s="8"/>
      <c r="Q472" s="8"/>
      <c r="R472" s="8"/>
      <c r="S472" s="8"/>
      <c r="T472" s="8"/>
      <c r="U472" s="8"/>
      <c r="V472" s="8"/>
      <c r="W472" s="8"/>
      <c r="X472" s="8"/>
      <c r="Y472" s="8"/>
      <c r="Z472" s="8"/>
    </row>
    <row r="473" ht="16.5" customHeight="1">
      <c r="A473" s="8"/>
      <c r="B473" s="27"/>
      <c r="C473" s="27"/>
      <c r="D473" s="27"/>
      <c r="E473" s="28"/>
      <c r="F473" s="29"/>
      <c r="G473" s="28"/>
      <c r="H473" s="30"/>
      <c r="I473" s="31"/>
      <c r="J473" s="28"/>
      <c r="K473" s="27"/>
      <c r="L473" s="8"/>
      <c r="M473" s="8"/>
      <c r="N473" s="8"/>
      <c r="O473" s="8"/>
      <c r="P473" s="8"/>
      <c r="Q473" s="8"/>
      <c r="R473" s="8"/>
      <c r="S473" s="8"/>
      <c r="T473" s="8"/>
      <c r="U473" s="8"/>
      <c r="V473" s="8"/>
      <c r="W473" s="8"/>
      <c r="X473" s="8"/>
      <c r="Y473" s="8"/>
      <c r="Z473" s="8"/>
    </row>
    <row r="474" ht="16.5" customHeight="1">
      <c r="A474" s="8"/>
      <c r="B474" s="27"/>
      <c r="C474" s="27"/>
      <c r="D474" s="27"/>
      <c r="E474" s="28"/>
      <c r="F474" s="29"/>
      <c r="G474" s="28"/>
      <c r="H474" s="30"/>
      <c r="I474" s="31"/>
      <c r="J474" s="28"/>
      <c r="K474" s="27"/>
      <c r="L474" s="8"/>
      <c r="M474" s="8"/>
      <c r="N474" s="8"/>
      <c r="O474" s="8"/>
      <c r="P474" s="8"/>
      <c r="Q474" s="8"/>
      <c r="R474" s="8"/>
      <c r="S474" s="8"/>
      <c r="T474" s="8"/>
      <c r="U474" s="8"/>
      <c r="V474" s="8"/>
      <c r="W474" s="8"/>
      <c r="X474" s="8"/>
      <c r="Y474" s="8"/>
      <c r="Z474" s="8"/>
    </row>
    <row r="475" ht="16.5" customHeight="1">
      <c r="A475" s="8"/>
      <c r="B475" s="27"/>
      <c r="C475" s="27"/>
      <c r="D475" s="27"/>
      <c r="E475" s="28"/>
      <c r="F475" s="29"/>
      <c r="G475" s="28"/>
      <c r="H475" s="30"/>
      <c r="I475" s="31"/>
      <c r="J475" s="28"/>
      <c r="K475" s="27"/>
      <c r="L475" s="8"/>
      <c r="M475" s="8"/>
      <c r="N475" s="8"/>
      <c r="O475" s="8"/>
      <c r="P475" s="8"/>
      <c r="Q475" s="8"/>
      <c r="R475" s="8"/>
      <c r="S475" s="8"/>
      <c r="T475" s="8"/>
      <c r="U475" s="8"/>
      <c r="V475" s="8"/>
      <c r="W475" s="8"/>
      <c r="X475" s="8"/>
      <c r="Y475" s="8"/>
      <c r="Z475" s="8"/>
    </row>
    <row r="476" ht="16.5" customHeight="1">
      <c r="A476" s="8"/>
      <c r="B476" s="27"/>
      <c r="C476" s="27"/>
      <c r="D476" s="27"/>
      <c r="E476" s="28"/>
      <c r="F476" s="29"/>
      <c r="G476" s="28"/>
      <c r="H476" s="30"/>
      <c r="I476" s="31"/>
      <c r="J476" s="28"/>
      <c r="K476" s="27"/>
      <c r="L476" s="8"/>
      <c r="M476" s="8"/>
      <c r="N476" s="8"/>
      <c r="O476" s="8"/>
      <c r="P476" s="8"/>
      <c r="Q476" s="8"/>
      <c r="R476" s="8"/>
      <c r="S476" s="8"/>
      <c r="T476" s="8"/>
      <c r="U476" s="8"/>
      <c r="V476" s="8"/>
      <c r="W476" s="8"/>
      <c r="X476" s="8"/>
      <c r="Y476" s="8"/>
      <c r="Z476" s="8"/>
    </row>
    <row r="477" ht="16.5" customHeight="1">
      <c r="A477" s="8"/>
      <c r="B477" s="27"/>
      <c r="C477" s="27"/>
      <c r="D477" s="27"/>
      <c r="E477" s="28"/>
      <c r="F477" s="29"/>
      <c r="G477" s="28"/>
      <c r="H477" s="30"/>
      <c r="I477" s="31"/>
      <c r="J477" s="28"/>
      <c r="K477" s="27"/>
      <c r="L477" s="8"/>
      <c r="M477" s="8"/>
      <c r="N477" s="8"/>
      <c r="O477" s="8"/>
      <c r="P477" s="8"/>
      <c r="Q477" s="8"/>
      <c r="R477" s="8"/>
      <c r="S477" s="8"/>
      <c r="T477" s="8"/>
      <c r="U477" s="8"/>
      <c r="V477" s="8"/>
      <c r="W477" s="8"/>
      <c r="X477" s="8"/>
      <c r="Y477" s="8"/>
      <c r="Z477" s="8"/>
    </row>
    <row r="478" ht="16.5" customHeight="1">
      <c r="A478" s="8"/>
      <c r="B478" s="27"/>
      <c r="C478" s="27"/>
      <c r="D478" s="27"/>
      <c r="E478" s="28"/>
      <c r="F478" s="29"/>
      <c r="G478" s="28"/>
      <c r="H478" s="30"/>
      <c r="I478" s="31"/>
      <c r="J478" s="28"/>
      <c r="K478" s="27"/>
      <c r="L478" s="8"/>
      <c r="M478" s="8"/>
      <c r="N478" s="8"/>
      <c r="O478" s="8"/>
      <c r="P478" s="8"/>
      <c r="Q478" s="8"/>
      <c r="R478" s="8"/>
      <c r="S478" s="8"/>
      <c r="T478" s="8"/>
      <c r="U478" s="8"/>
      <c r="V478" s="8"/>
      <c r="W478" s="8"/>
      <c r="X478" s="8"/>
      <c r="Y478" s="8"/>
      <c r="Z478" s="8"/>
    </row>
    <row r="479" ht="16.5" customHeight="1">
      <c r="A479" s="8"/>
      <c r="B479" s="27"/>
      <c r="C479" s="27"/>
      <c r="D479" s="27"/>
      <c r="E479" s="28"/>
      <c r="F479" s="29"/>
      <c r="G479" s="28"/>
      <c r="H479" s="30"/>
      <c r="I479" s="31"/>
      <c r="J479" s="28"/>
      <c r="K479" s="27"/>
      <c r="L479" s="8"/>
      <c r="M479" s="8"/>
      <c r="N479" s="8"/>
      <c r="O479" s="8"/>
      <c r="P479" s="8"/>
      <c r="Q479" s="8"/>
      <c r="R479" s="8"/>
      <c r="S479" s="8"/>
      <c r="T479" s="8"/>
      <c r="U479" s="8"/>
      <c r="V479" s="8"/>
      <c r="W479" s="8"/>
      <c r="X479" s="8"/>
      <c r="Y479" s="8"/>
      <c r="Z479" s="8"/>
    </row>
    <row r="480" ht="16.5" customHeight="1">
      <c r="A480" s="8"/>
      <c r="B480" s="27"/>
      <c r="C480" s="27"/>
      <c r="D480" s="27"/>
      <c r="E480" s="28"/>
      <c r="F480" s="29"/>
      <c r="G480" s="28"/>
      <c r="H480" s="30"/>
      <c r="I480" s="31"/>
      <c r="J480" s="28"/>
      <c r="K480" s="27"/>
      <c r="L480" s="8"/>
      <c r="M480" s="8"/>
      <c r="N480" s="8"/>
      <c r="O480" s="8"/>
      <c r="P480" s="8"/>
      <c r="Q480" s="8"/>
      <c r="R480" s="8"/>
      <c r="S480" s="8"/>
      <c r="T480" s="8"/>
      <c r="U480" s="8"/>
      <c r="V480" s="8"/>
      <c r="W480" s="8"/>
      <c r="X480" s="8"/>
      <c r="Y480" s="8"/>
      <c r="Z480" s="8"/>
    </row>
    <row r="481" ht="16.5" customHeight="1">
      <c r="A481" s="8"/>
      <c r="B481" s="27"/>
      <c r="C481" s="27"/>
      <c r="D481" s="27"/>
      <c r="E481" s="28"/>
      <c r="F481" s="29"/>
      <c r="G481" s="28"/>
      <c r="H481" s="30"/>
      <c r="I481" s="31"/>
      <c r="J481" s="28"/>
      <c r="K481" s="27"/>
      <c r="L481" s="8"/>
      <c r="M481" s="8"/>
      <c r="N481" s="8"/>
      <c r="O481" s="8"/>
      <c r="P481" s="8"/>
      <c r="Q481" s="8"/>
      <c r="R481" s="8"/>
      <c r="S481" s="8"/>
      <c r="T481" s="8"/>
      <c r="U481" s="8"/>
      <c r="V481" s="8"/>
      <c r="W481" s="8"/>
      <c r="X481" s="8"/>
      <c r="Y481" s="8"/>
      <c r="Z481" s="8"/>
    </row>
    <row r="482" ht="16.5" customHeight="1">
      <c r="A482" s="8"/>
      <c r="B482" s="27"/>
      <c r="C482" s="27"/>
      <c r="D482" s="27"/>
      <c r="E482" s="28"/>
      <c r="F482" s="29"/>
      <c r="G482" s="28"/>
      <c r="H482" s="30"/>
      <c r="I482" s="31"/>
      <c r="J482" s="28"/>
      <c r="K482" s="27"/>
      <c r="L482" s="8"/>
      <c r="M482" s="8"/>
      <c r="N482" s="8"/>
      <c r="O482" s="8"/>
      <c r="P482" s="8"/>
      <c r="Q482" s="8"/>
      <c r="R482" s="8"/>
      <c r="S482" s="8"/>
      <c r="T482" s="8"/>
      <c r="U482" s="8"/>
      <c r="V482" s="8"/>
      <c r="W482" s="8"/>
      <c r="X482" s="8"/>
      <c r="Y482" s="8"/>
      <c r="Z482" s="8"/>
    </row>
    <row r="483" ht="16.5" customHeight="1">
      <c r="A483" s="8"/>
      <c r="B483" s="27"/>
      <c r="C483" s="27"/>
      <c r="D483" s="27"/>
      <c r="E483" s="28"/>
      <c r="F483" s="29"/>
      <c r="G483" s="28"/>
      <c r="H483" s="30"/>
      <c r="I483" s="31"/>
      <c r="J483" s="28"/>
      <c r="K483" s="27"/>
      <c r="L483" s="8"/>
      <c r="M483" s="8"/>
      <c r="N483" s="8"/>
      <c r="O483" s="8"/>
      <c r="P483" s="8"/>
      <c r="Q483" s="8"/>
      <c r="R483" s="8"/>
      <c r="S483" s="8"/>
      <c r="T483" s="8"/>
      <c r="U483" s="8"/>
      <c r="V483" s="8"/>
      <c r="W483" s="8"/>
      <c r="X483" s="8"/>
      <c r="Y483" s="8"/>
      <c r="Z483" s="8"/>
    </row>
    <row r="484" ht="16.5" customHeight="1">
      <c r="A484" s="8"/>
      <c r="B484" s="27"/>
      <c r="C484" s="27"/>
      <c r="D484" s="27"/>
      <c r="E484" s="28"/>
      <c r="F484" s="29"/>
      <c r="G484" s="28"/>
      <c r="H484" s="30"/>
      <c r="I484" s="31"/>
      <c r="J484" s="28"/>
      <c r="K484" s="27"/>
      <c r="L484" s="8"/>
      <c r="M484" s="8"/>
      <c r="N484" s="8"/>
      <c r="O484" s="8"/>
      <c r="P484" s="8"/>
      <c r="Q484" s="8"/>
      <c r="R484" s="8"/>
      <c r="S484" s="8"/>
      <c r="T484" s="8"/>
      <c r="U484" s="8"/>
      <c r="V484" s="8"/>
      <c r="W484" s="8"/>
      <c r="X484" s="8"/>
      <c r="Y484" s="8"/>
      <c r="Z484" s="8"/>
    </row>
    <row r="485" ht="16.5" customHeight="1">
      <c r="A485" s="8"/>
      <c r="B485" s="27"/>
      <c r="C485" s="27"/>
      <c r="D485" s="27"/>
      <c r="E485" s="28"/>
      <c r="F485" s="29"/>
      <c r="G485" s="28"/>
      <c r="H485" s="30"/>
      <c r="I485" s="31"/>
      <c r="J485" s="28"/>
      <c r="K485" s="27"/>
      <c r="L485" s="8"/>
      <c r="M485" s="8"/>
      <c r="N485" s="8"/>
      <c r="O485" s="8"/>
      <c r="P485" s="8"/>
      <c r="Q485" s="8"/>
      <c r="R485" s="8"/>
      <c r="S485" s="8"/>
      <c r="T485" s="8"/>
      <c r="U485" s="8"/>
      <c r="V485" s="8"/>
      <c r="W485" s="8"/>
      <c r="X485" s="8"/>
      <c r="Y485" s="8"/>
      <c r="Z485" s="8"/>
    </row>
    <row r="486" ht="16.5" customHeight="1">
      <c r="A486" s="8"/>
      <c r="B486" s="27"/>
      <c r="C486" s="27"/>
      <c r="D486" s="27"/>
      <c r="E486" s="28"/>
      <c r="F486" s="29"/>
      <c r="G486" s="28"/>
      <c r="H486" s="30"/>
      <c r="I486" s="31"/>
      <c r="J486" s="28"/>
      <c r="K486" s="27"/>
      <c r="L486" s="8"/>
      <c r="M486" s="8"/>
      <c r="N486" s="8"/>
      <c r="O486" s="8"/>
      <c r="P486" s="8"/>
      <c r="Q486" s="8"/>
      <c r="R486" s="8"/>
      <c r="S486" s="8"/>
      <c r="T486" s="8"/>
      <c r="U486" s="8"/>
      <c r="V486" s="8"/>
      <c r="W486" s="8"/>
      <c r="X486" s="8"/>
      <c r="Y486" s="8"/>
      <c r="Z486" s="8"/>
    </row>
    <row r="487" ht="16.5" customHeight="1">
      <c r="A487" s="8"/>
      <c r="B487" s="27"/>
      <c r="C487" s="27"/>
      <c r="D487" s="27"/>
      <c r="E487" s="28"/>
      <c r="F487" s="29"/>
      <c r="G487" s="28"/>
      <c r="H487" s="30"/>
      <c r="I487" s="31"/>
      <c r="J487" s="28"/>
      <c r="K487" s="27"/>
      <c r="L487" s="8"/>
      <c r="M487" s="8"/>
      <c r="N487" s="8"/>
      <c r="O487" s="8"/>
      <c r="P487" s="8"/>
      <c r="Q487" s="8"/>
      <c r="R487" s="8"/>
      <c r="S487" s="8"/>
      <c r="T487" s="8"/>
      <c r="U487" s="8"/>
      <c r="V487" s="8"/>
      <c r="W487" s="8"/>
      <c r="X487" s="8"/>
      <c r="Y487" s="8"/>
      <c r="Z487" s="8"/>
    </row>
    <row r="488" ht="16.5" customHeight="1">
      <c r="A488" s="8"/>
      <c r="B488" s="27"/>
      <c r="C488" s="27"/>
      <c r="D488" s="27"/>
      <c r="E488" s="28"/>
      <c r="F488" s="29"/>
      <c r="G488" s="28"/>
      <c r="H488" s="30"/>
      <c r="I488" s="31"/>
      <c r="J488" s="28"/>
      <c r="K488" s="27"/>
      <c r="L488" s="8"/>
      <c r="M488" s="8"/>
      <c r="N488" s="8"/>
      <c r="O488" s="8"/>
      <c r="P488" s="8"/>
      <c r="Q488" s="8"/>
      <c r="R488" s="8"/>
      <c r="S488" s="8"/>
      <c r="T488" s="8"/>
      <c r="U488" s="8"/>
      <c r="V488" s="8"/>
      <c r="W488" s="8"/>
      <c r="X488" s="8"/>
      <c r="Y488" s="8"/>
      <c r="Z488" s="8"/>
    </row>
    <row r="489" ht="16.5" customHeight="1">
      <c r="A489" s="8"/>
      <c r="B489" s="27"/>
      <c r="C489" s="27"/>
      <c r="D489" s="27"/>
      <c r="E489" s="28"/>
      <c r="F489" s="29"/>
      <c r="G489" s="28"/>
      <c r="H489" s="30"/>
      <c r="I489" s="31"/>
      <c r="J489" s="28"/>
      <c r="K489" s="27"/>
      <c r="L489" s="8"/>
      <c r="M489" s="8"/>
      <c r="N489" s="8"/>
      <c r="O489" s="8"/>
      <c r="P489" s="8"/>
      <c r="Q489" s="8"/>
      <c r="R489" s="8"/>
      <c r="S489" s="8"/>
      <c r="T489" s="8"/>
      <c r="U489" s="8"/>
      <c r="V489" s="8"/>
      <c r="W489" s="8"/>
      <c r="X489" s="8"/>
      <c r="Y489" s="8"/>
      <c r="Z489" s="8"/>
    </row>
    <row r="490" ht="16.5" customHeight="1">
      <c r="A490" s="8"/>
      <c r="B490" s="27"/>
      <c r="C490" s="27"/>
      <c r="D490" s="27"/>
      <c r="E490" s="28"/>
      <c r="F490" s="29"/>
      <c r="G490" s="28"/>
      <c r="H490" s="30"/>
      <c r="I490" s="31"/>
      <c r="J490" s="28"/>
      <c r="K490" s="27"/>
      <c r="L490" s="8"/>
      <c r="M490" s="8"/>
      <c r="N490" s="8"/>
      <c r="O490" s="8"/>
      <c r="P490" s="8"/>
      <c r="Q490" s="8"/>
      <c r="R490" s="8"/>
      <c r="S490" s="8"/>
      <c r="T490" s="8"/>
      <c r="U490" s="8"/>
      <c r="V490" s="8"/>
      <c r="W490" s="8"/>
      <c r="X490" s="8"/>
      <c r="Y490" s="8"/>
      <c r="Z490" s="8"/>
    </row>
    <row r="491" ht="16.5" customHeight="1">
      <c r="A491" s="8"/>
      <c r="B491" s="27"/>
      <c r="C491" s="27"/>
      <c r="D491" s="27"/>
      <c r="E491" s="28"/>
      <c r="F491" s="29"/>
      <c r="G491" s="28"/>
      <c r="H491" s="30"/>
      <c r="I491" s="31"/>
      <c r="J491" s="28"/>
      <c r="K491" s="27"/>
      <c r="L491" s="8"/>
      <c r="M491" s="8"/>
      <c r="N491" s="8"/>
      <c r="O491" s="8"/>
      <c r="P491" s="8"/>
      <c r="Q491" s="8"/>
      <c r="R491" s="8"/>
      <c r="S491" s="8"/>
      <c r="T491" s="8"/>
      <c r="U491" s="8"/>
      <c r="V491" s="8"/>
      <c r="W491" s="8"/>
      <c r="X491" s="8"/>
      <c r="Y491" s="8"/>
      <c r="Z491" s="8"/>
    </row>
    <row r="492" ht="16.5" customHeight="1">
      <c r="A492" s="8"/>
      <c r="B492" s="27"/>
      <c r="C492" s="27"/>
      <c r="D492" s="27"/>
      <c r="E492" s="28"/>
      <c r="F492" s="29"/>
      <c r="G492" s="28"/>
      <c r="H492" s="30"/>
      <c r="I492" s="31"/>
      <c r="J492" s="28"/>
      <c r="K492" s="27"/>
      <c r="L492" s="8"/>
      <c r="M492" s="8"/>
      <c r="N492" s="8"/>
      <c r="O492" s="8"/>
      <c r="P492" s="8"/>
      <c r="Q492" s="8"/>
      <c r="R492" s="8"/>
      <c r="S492" s="8"/>
      <c r="T492" s="8"/>
      <c r="U492" s="8"/>
      <c r="V492" s="8"/>
      <c r="W492" s="8"/>
      <c r="X492" s="8"/>
      <c r="Y492" s="8"/>
      <c r="Z492" s="8"/>
    </row>
    <row r="493" ht="16.5" customHeight="1">
      <c r="A493" s="8"/>
      <c r="B493" s="27"/>
      <c r="C493" s="27"/>
      <c r="D493" s="27"/>
      <c r="E493" s="28"/>
      <c r="F493" s="29"/>
      <c r="G493" s="28"/>
      <c r="H493" s="30"/>
      <c r="I493" s="31"/>
      <c r="J493" s="28"/>
      <c r="K493" s="27"/>
      <c r="L493" s="8"/>
      <c r="M493" s="8"/>
      <c r="N493" s="8"/>
      <c r="O493" s="8"/>
      <c r="P493" s="8"/>
      <c r="Q493" s="8"/>
      <c r="R493" s="8"/>
      <c r="S493" s="8"/>
      <c r="T493" s="8"/>
      <c r="U493" s="8"/>
      <c r="V493" s="8"/>
      <c r="W493" s="8"/>
      <c r="X493" s="8"/>
      <c r="Y493" s="8"/>
      <c r="Z493" s="8"/>
    </row>
    <row r="494" ht="16.5" customHeight="1">
      <c r="A494" s="8"/>
      <c r="B494" s="27"/>
      <c r="C494" s="27"/>
      <c r="D494" s="27"/>
      <c r="E494" s="28"/>
      <c r="F494" s="29"/>
      <c r="G494" s="28"/>
      <c r="H494" s="30"/>
      <c r="I494" s="31"/>
      <c r="J494" s="28"/>
      <c r="K494" s="27"/>
      <c r="L494" s="8"/>
      <c r="M494" s="8"/>
      <c r="N494" s="8"/>
      <c r="O494" s="8"/>
      <c r="P494" s="8"/>
      <c r="Q494" s="8"/>
      <c r="R494" s="8"/>
      <c r="S494" s="8"/>
      <c r="T494" s="8"/>
      <c r="U494" s="8"/>
      <c r="V494" s="8"/>
      <c r="W494" s="8"/>
      <c r="X494" s="8"/>
      <c r="Y494" s="8"/>
      <c r="Z494" s="8"/>
    </row>
    <row r="495" ht="16.5" customHeight="1">
      <c r="A495" s="8"/>
      <c r="B495" s="27"/>
      <c r="C495" s="27"/>
      <c r="D495" s="27"/>
      <c r="E495" s="28"/>
      <c r="F495" s="29"/>
      <c r="G495" s="28"/>
      <c r="H495" s="30"/>
      <c r="I495" s="31"/>
      <c r="J495" s="28"/>
      <c r="K495" s="27"/>
      <c r="L495" s="8"/>
      <c r="M495" s="8"/>
      <c r="N495" s="8"/>
      <c r="O495" s="8"/>
      <c r="P495" s="8"/>
      <c r="Q495" s="8"/>
      <c r="R495" s="8"/>
      <c r="S495" s="8"/>
      <c r="T495" s="8"/>
      <c r="U495" s="8"/>
      <c r="V495" s="8"/>
      <c r="W495" s="8"/>
      <c r="X495" s="8"/>
      <c r="Y495" s="8"/>
      <c r="Z495" s="8"/>
    </row>
    <row r="496" ht="16.5" customHeight="1">
      <c r="A496" s="8"/>
      <c r="B496" s="27"/>
      <c r="C496" s="27"/>
      <c r="D496" s="27"/>
      <c r="E496" s="28"/>
      <c r="F496" s="29"/>
      <c r="G496" s="28"/>
      <c r="H496" s="30"/>
      <c r="I496" s="31"/>
      <c r="J496" s="28"/>
      <c r="K496" s="27"/>
      <c r="L496" s="8"/>
      <c r="M496" s="8"/>
      <c r="N496" s="8"/>
      <c r="O496" s="8"/>
      <c r="P496" s="8"/>
      <c r="Q496" s="8"/>
      <c r="R496" s="8"/>
      <c r="S496" s="8"/>
      <c r="T496" s="8"/>
      <c r="U496" s="8"/>
      <c r="V496" s="8"/>
      <c r="W496" s="8"/>
      <c r="X496" s="8"/>
      <c r="Y496" s="8"/>
      <c r="Z496" s="8"/>
    </row>
    <row r="497" ht="16.5" customHeight="1">
      <c r="A497" s="8"/>
      <c r="B497" s="27"/>
      <c r="C497" s="27"/>
      <c r="D497" s="27"/>
      <c r="E497" s="28"/>
      <c r="F497" s="29"/>
      <c r="G497" s="28"/>
      <c r="H497" s="30"/>
      <c r="I497" s="31"/>
      <c r="J497" s="28"/>
      <c r="K497" s="27"/>
      <c r="L497" s="8"/>
      <c r="M497" s="8"/>
      <c r="N497" s="8"/>
      <c r="O497" s="8"/>
      <c r="P497" s="8"/>
      <c r="Q497" s="8"/>
      <c r="R497" s="8"/>
      <c r="S497" s="8"/>
      <c r="T497" s="8"/>
      <c r="U497" s="8"/>
      <c r="V497" s="8"/>
      <c r="W497" s="8"/>
      <c r="X497" s="8"/>
      <c r="Y497" s="8"/>
      <c r="Z497" s="8"/>
    </row>
    <row r="498" ht="16.5" customHeight="1">
      <c r="A498" s="8"/>
      <c r="B498" s="27"/>
      <c r="C498" s="27"/>
      <c r="D498" s="27"/>
      <c r="E498" s="28"/>
      <c r="F498" s="29"/>
      <c r="G498" s="28"/>
      <c r="H498" s="30"/>
      <c r="I498" s="31"/>
      <c r="J498" s="28"/>
      <c r="K498" s="27"/>
      <c r="L498" s="8"/>
      <c r="M498" s="8"/>
      <c r="N498" s="8"/>
      <c r="O498" s="8"/>
      <c r="P498" s="8"/>
      <c r="Q498" s="8"/>
      <c r="R498" s="8"/>
      <c r="S498" s="8"/>
      <c r="T498" s="8"/>
      <c r="U498" s="8"/>
      <c r="V498" s="8"/>
      <c r="W498" s="8"/>
      <c r="X498" s="8"/>
      <c r="Y498" s="8"/>
      <c r="Z498" s="8"/>
    </row>
    <row r="499" ht="16.5" customHeight="1">
      <c r="A499" s="8"/>
      <c r="B499" s="27"/>
      <c r="C499" s="27"/>
      <c r="D499" s="27"/>
      <c r="E499" s="28"/>
      <c r="F499" s="29"/>
      <c r="G499" s="28"/>
      <c r="H499" s="30"/>
      <c r="I499" s="31"/>
      <c r="J499" s="28"/>
      <c r="K499" s="27"/>
      <c r="L499" s="8"/>
      <c r="M499" s="8"/>
      <c r="N499" s="8"/>
      <c r="O499" s="8"/>
      <c r="P499" s="8"/>
      <c r="Q499" s="8"/>
      <c r="R499" s="8"/>
      <c r="S499" s="8"/>
      <c r="T499" s="8"/>
      <c r="U499" s="8"/>
      <c r="V499" s="8"/>
      <c r="W499" s="8"/>
      <c r="X499" s="8"/>
      <c r="Y499" s="8"/>
      <c r="Z499" s="8"/>
    </row>
    <row r="500" ht="16.5" customHeight="1">
      <c r="A500" s="8"/>
      <c r="B500" s="27"/>
      <c r="C500" s="27"/>
      <c r="D500" s="27"/>
      <c r="E500" s="28"/>
      <c r="F500" s="29"/>
      <c r="G500" s="28"/>
      <c r="H500" s="30"/>
      <c r="I500" s="31"/>
      <c r="J500" s="28"/>
      <c r="K500" s="27"/>
      <c r="L500" s="8"/>
      <c r="M500" s="8"/>
      <c r="N500" s="8"/>
      <c r="O500" s="8"/>
      <c r="P500" s="8"/>
      <c r="Q500" s="8"/>
      <c r="R500" s="8"/>
      <c r="S500" s="8"/>
      <c r="T500" s="8"/>
      <c r="U500" s="8"/>
      <c r="V500" s="8"/>
      <c r="W500" s="8"/>
      <c r="X500" s="8"/>
      <c r="Y500" s="8"/>
      <c r="Z500" s="8"/>
    </row>
    <row r="501" ht="16.5" customHeight="1">
      <c r="A501" s="8"/>
      <c r="B501" s="27"/>
      <c r="C501" s="27"/>
      <c r="D501" s="27"/>
      <c r="E501" s="28"/>
      <c r="F501" s="29"/>
      <c r="G501" s="28"/>
      <c r="H501" s="30"/>
      <c r="I501" s="31"/>
      <c r="J501" s="28"/>
      <c r="K501" s="27"/>
      <c r="L501" s="8"/>
      <c r="M501" s="8"/>
      <c r="N501" s="8"/>
      <c r="O501" s="8"/>
      <c r="P501" s="8"/>
      <c r="Q501" s="8"/>
      <c r="R501" s="8"/>
      <c r="S501" s="8"/>
      <c r="T501" s="8"/>
      <c r="U501" s="8"/>
      <c r="V501" s="8"/>
      <c r="W501" s="8"/>
      <c r="X501" s="8"/>
      <c r="Y501" s="8"/>
      <c r="Z501" s="8"/>
    </row>
    <row r="502" ht="16.5" customHeight="1">
      <c r="A502" s="8"/>
      <c r="B502" s="27"/>
      <c r="C502" s="27"/>
      <c r="D502" s="27"/>
      <c r="E502" s="28"/>
      <c r="F502" s="29"/>
      <c r="G502" s="28"/>
      <c r="H502" s="30"/>
      <c r="I502" s="31"/>
      <c r="J502" s="28"/>
      <c r="K502" s="27"/>
      <c r="L502" s="8"/>
      <c r="M502" s="8"/>
      <c r="N502" s="8"/>
      <c r="O502" s="8"/>
      <c r="P502" s="8"/>
      <c r="Q502" s="8"/>
      <c r="R502" s="8"/>
      <c r="S502" s="8"/>
      <c r="T502" s="8"/>
      <c r="U502" s="8"/>
      <c r="V502" s="8"/>
      <c r="W502" s="8"/>
      <c r="X502" s="8"/>
      <c r="Y502" s="8"/>
      <c r="Z502" s="8"/>
    </row>
    <row r="503" ht="16.5" customHeight="1">
      <c r="A503" s="8"/>
      <c r="B503" s="27"/>
      <c r="C503" s="27"/>
      <c r="D503" s="27"/>
      <c r="E503" s="28"/>
      <c r="F503" s="29"/>
      <c r="G503" s="28"/>
      <c r="H503" s="30"/>
      <c r="I503" s="31"/>
      <c r="J503" s="28"/>
      <c r="K503" s="27"/>
      <c r="L503" s="8"/>
      <c r="M503" s="8"/>
      <c r="N503" s="8"/>
      <c r="O503" s="8"/>
      <c r="P503" s="8"/>
      <c r="Q503" s="8"/>
      <c r="R503" s="8"/>
      <c r="S503" s="8"/>
      <c r="T503" s="8"/>
      <c r="U503" s="8"/>
      <c r="V503" s="8"/>
      <c r="W503" s="8"/>
      <c r="X503" s="8"/>
      <c r="Y503" s="8"/>
      <c r="Z503" s="8"/>
    </row>
    <row r="504" ht="16.5" customHeight="1">
      <c r="A504" s="8"/>
      <c r="B504" s="27"/>
      <c r="C504" s="27"/>
      <c r="D504" s="27"/>
      <c r="E504" s="28"/>
      <c r="F504" s="29"/>
      <c r="G504" s="28"/>
      <c r="H504" s="30"/>
      <c r="I504" s="31"/>
      <c r="J504" s="28"/>
      <c r="K504" s="27"/>
      <c r="L504" s="8"/>
      <c r="M504" s="8"/>
      <c r="N504" s="8"/>
      <c r="O504" s="8"/>
      <c r="P504" s="8"/>
      <c r="Q504" s="8"/>
      <c r="R504" s="8"/>
      <c r="S504" s="8"/>
      <c r="T504" s="8"/>
      <c r="U504" s="8"/>
      <c r="V504" s="8"/>
      <c r="W504" s="8"/>
      <c r="X504" s="8"/>
      <c r="Y504" s="8"/>
      <c r="Z504" s="8"/>
    </row>
    <row r="505" ht="16.5" customHeight="1">
      <c r="A505" s="8"/>
      <c r="B505" s="27"/>
      <c r="C505" s="27"/>
      <c r="D505" s="27"/>
      <c r="E505" s="28"/>
      <c r="F505" s="29"/>
      <c r="G505" s="28"/>
      <c r="H505" s="30"/>
      <c r="I505" s="31"/>
      <c r="J505" s="28"/>
      <c r="K505" s="27"/>
      <c r="L505" s="8"/>
      <c r="M505" s="8"/>
      <c r="N505" s="8"/>
      <c r="O505" s="8"/>
      <c r="P505" s="8"/>
      <c r="Q505" s="8"/>
      <c r="R505" s="8"/>
      <c r="S505" s="8"/>
      <c r="T505" s="8"/>
      <c r="U505" s="8"/>
      <c r="V505" s="8"/>
      <c r="W505" s="8"/>
      <c r="X505" s="8"/>
      <c r="Y505" s="8"/>
      <c r="Z505" s="8"/>
    </row>
    <row r="506" ht="16.5" customHeight="1">
      <c r="A506" s="8"/>
      <c r="B506" s="27"/>
      <c r="C506" s="27"/>
      <c r="D506" s="27"/>
      <c r="E506" s="28"/>
      <c r="F506" s="29"/>
      <c r="G506" s="28"/>
      <c r="H506" s="30"/>
      <c r="I506" s="31"/>
      <c r="J506" s="28"/>
      <c r="K506" s="27"/>
      <c r="L506" s="8"/>
      <c r="M506" s="8"/>
      <c r="N506" s="8"/>
      <c r="O506" s="8"/>
      <c r="P506" s="8"/>
      <c r="Q506" s="8"/>
      <c r="R506" s="8"/>
      <c r="S506" s="8"/>
      <c r="T506" s="8"/>
      <c r="U506" s="8"/>
      <c r="V506" s="8"/>
      <c r="W506" s="8"/>
      <c r="X506" s="8"/>
      <c r="Y506" s="8"/>
      <c r="Z506" s="8"/>
    </row>
    <row r="507" ht="16.5" customHeight="1">
      <c r="A507" s="8"/>
      <c r="B507" s="27"/>
      <c r="C507" s="27"/>
      <c r="D507" s="27"/>
      <c r="E507" s="28"/>
      <c r="F507" s="29"/>
      <c r="G507" s="28"/>
      <c r="H507" s="30"/>
      <c r="I507" s="31"/>
      <c r="J507" s="28"/>
      <c r="K507" s="27"/>
      <c r="L507" s="8"/>
      <c r="M507" s="8"/>
      <c r="N507" s="8"/>
      <c r="O507" s="8"/>
      <c r="P507" s="8"/>
      <c r="Q507" s="8"/>
      <c r="R507" s="8"/>
      <c r="S507" s="8"/>
      <c r="T507" s="8"/>
      <c r="U507" s="8"/>
      <c r="V507" s="8"/>
      <c r="W507" s="8"/>
      <c r="X507" s="8"/>
      <c r="Y507" s="8"/>
      <c r="Z507" s="8"/>
    </row>
    <row r="508" ht="16.5" customHeight="1">
      <c r="A508" s="8"/>
      <c r="B508" s="27"/>
      <c r="C508" s="27"/>
      <c r="D508" s="27"/>
      <c r="E508" s="28"/>
      <c r="F508" s="29"/>
      <c r="G508" s="28"/>
      <c r="H508" s="30"/>
      <c r="I508" s="31"/>
      <c r="J508" s="28"/>
      <c r="K508" s="27"/>
      <c r="L508" s="8"/>
      <c r="M508" s="8"/>
      <c r="N508" s="8"/>
      <c r="O508" s="8"/>
      <c r="P508" s="8"/>
      <c r="Q508" s="8"/>
      <c r="R508" s="8"/>
      <c r="S508" s="8"/>
      <c r="T508" s="8"/>
      <c r="U508" s="8"/>
      <c r="V508" s="8"/>
      <c r="W508" s="8"/>
      <c r="X508" s="8"/>
      <c r="Y508" s="8"/>
      <c r="Z508" s="8"/>
    </row>
    <row r="509" ht="16.5" customHeight="1">
      <c r="A509" s="8"/>
      <c r="B509" s="27"/>
      <c r="C509" s="27"/>
      <c r="D509" s="27"/>
      <c r="E509" s="28"/>
      <c r="F509" s="29"/>
      <c r="G509" s="28"/>
      <c r="H509" s="30"/>
      <c r="I509" s="31"/>
      <c r="J509" s="28"/>
      <c r="K509" s="27"/>
      <c r="L509" s="8"/>
      <c r="M509" s="8"/>
      <c r="N509" s="8"/>
      <c r="O509" s="8"/>
      <c r="P509" s="8"/>
      <c r="Q509" s="8"/>
      <c r="R509" s="8"/>
      <c r="S509" s="8"/>
      <c r="T509" s="8"/>
      <c r="U509" s="8"/>
      <c r="V509" s="8"/>
      <c r="W509" s="8"/>
      <c r="X509" s="8"/>
      <c r="Y509" s="8"/>
      <c r="Z509" s="8"/>
    </row>
    <row r="510" ht="16.5" customHeight="1">
      <c r="A510" s="8"/>
      <c r="B510" s="27"/>
      <c r="C510" s="27"/>
      <c r="D510" s="27"/>
      <c r="E510" s="28"/>
      <c r="F510" s="29"/>
      <c r="G510" s="28"/>
      <c r="H510" s="30"/>
      <c r="I510" s="31"/>
      <c r="J510" s="28"/>
      <c r="K510" s="27"/>
      <c r="L510" s="8"/>
      <c r="M510" s="8"/>
      <c r="N510" s="8"/>
      <c r="O510" s="8"/>
      <c r="P510" s="8"/>
      <c r="Q510" s="8"/>
      <c r="R510" s="8"/>
      <c r="S510" s="8"/>
      <c r="T510" s="8"/>
      <c r="U510" s="8"/>
      <c r="V510" s="8"/>
      <c r="W510" s="8"/>
      <c r="X510" s="8"/>
      <c r="Y510" s="8"/>
      <c r="Z510" s="8"/>
    </row>
    <row r="511" ht="16.5" customHeight="1">
      <c r="A511" s="8"/>
      <c r="B511" s="27"/>
      <c r="C511" s="27"/>
      <c r="D511" s="27"/>
      <c r="E511" s="28"/>
      <c r="F511" s="29"/>
      <c r="G511" s="28"/>
      <c r="H511" s="30"/>
      <c r="I511" s="31"/>
      <c r="J511" s="28"/>
      <c r="K511" s="27"/>
      <c r="L511" s="8"/>
      <c r="M511" s="8"/>
      <c r="N511" s="8"/>
      <c r="O511" s="8"/>
      <c r="P511" s="8"/>
      <c r="Q511" s="8"/>
      <c r="R511" s="8"/>
      <c r="S511" s="8"/>
      <c r="T511" s="8"/>
      <c r="U511" s="8"/>
      <c r="V511" s="8"/>
      <c r="W511" s="8"/>
      <c r="X511" s="8"/>
      <c r="Y511" s="8"/>
      <c r="Z511" s="8"/>
    </row>
    <row r="512" ht="16.5" customHeight="1">
      <c r="A512" s="8"/>
      <c r="B512" s="27"/>
      <c r="C512" s="27"/>
      <c r="D512" s="27"/>
      <c r="E512" s="28"/>
      <c r="F512" s="29"/>
      <c r="G512" s="28"/>
      <c r="H512" s="30"/>
      <c r="I512" s="31"/>
      <c r="J512" s="28"/>
      <c r="K512" s="27"/>
      <c r="L512" s="8"/>
      <c r="M512" s="8"/>
      <c r="N512" s="8"/>
      <c r="O512" s="8"/>
      <c r="P512" s="8"/>
      <c r="Q512" s="8"/>
      <c r="R512" s="8"/>
      <c r="S512" s="8"/>
      <c r="T512" s="8"/>
      <c r="U512" s="8"/>
      <c r="V512" s="8"/>
      <c r="W512" s="8"/>
      <c r="X512" s="8"/>
      <c r="Y512" s="8"/>
      <c r="Z512" s="8"/>
    </row>
    <row r="513" ht="16.5" customHeight="1">
      <c r="A513" s="8"/>
      <c r="B513" s="27"/>
      <c r="C513" s="27"/>
      <c r="D513" s="27"/>
      <c r="E513" s="28"/>
      <c r="F513" s="29"/>
      <c r="G513" s="28"/>
      <c r="H513" s="30"/>
      <c r="I513" s="31"/>
      <c r="J513" s="28"/>
      <c r="K513" s="27"/>
      <c r="L513" s="8"/>
      <c r="M513" s="8"/>
      <c r="N513" s="8"/>
      <c r="O513" s="8"/>
      <c r="P513" s="8"/>
      <c r="Q513" s="8"/>
      <c r="R513" s="8"/>
      <c r="S513" s="8"/>
      <c r="T513" s="8"/>
      <c r="U513" s="8"/>
      <c r="V513" s="8"/>
      <c r="W513" s="8"/>
      <c r="X513" s="8"/>
      <c r="Y513" s="8"/>
      <c r="Z513" s="8"/>
    </row>
    <row r="514" ht="16.5" customHeight="1">
      <c r="A514" s="8"/>
      <c r="B514" s="27"/>
      <c r="C514" s="27"/>
      <c r="D514" s="27"/>
      <c r="E514" s="28"/>
      <c r="F514" s="29"/>
      <c r="G514" s="28"/>
      <c r="H514" s="30"/>
      <c r="I514" s="31"/>
      <c r="J514" s="28"/>
      <c r="K514" s="27"/>
      <c r="L514" s="8"/>
      <c r="M514" s="8"/>
      <c r="N514" s="8"/>
      <c r="O514" s="8"/>
      <c r="P514" s="8"/>
      <c r="Q514" s="8"/>
      <c r="R514" s="8"/>
      <c r="S514" s="8"/>
      <c r="T514" s="8"/>
      <c r="U514" s="8"/>
      <c r="V514" s="8"/>
      <c r="W514" s="8"/>
      <c r="X514" s="8"/>
      <c r="Y514" s="8"/>
      <c r="Z514" s="8"/>
    </row>
    <row r="515" ht="16.5" customHeight="1">
      <c r="A515" s="8"/>
      <c r="B515" s="27"/>
      <c r="C515" s="27"/>
      <c r="D515" s="27"/>
      <c r="E515" s="28"/>
      <c r="F515" s="29"/>
      <c r="G515" s="28"/>
      <c r="H515" s="30"/>
      <c r="I515" s="31"/>
      <c r="J515" s="28"/>
      <c r="K515" s="27"/>
      <c r="L515" s="8"/>
      <c r="M515" s="8"/>
      <c r="N515" s="8"/>
      <c r="O515" s="8"/>
      <c r="P515" s="8"/>
      <c r="Q515" s="8"/>
      <c r="R515" s="8"/>
      <c r="S515" s="8"/>
      <c r="T515" s="8"/>
      <c r="U515" s="8"/>
      <c r="V515" s="8"/>
      <c r="W515" s="8"/>
      <c r="X515" s="8"/>
      <c r="Y515" s="8"/>
      <c r="Z515" s="8"/>
    </row>
    <row r="516" ht="16.5" customHeight="1">
      <c r="A516" s="8"/>
      <c r="B516" s="27"/>
      <c r="C516" s="27"/>
      <c r="D516" s="27"/>
      <c r="E516" s="28"/>
      <c r="F516" s="29"/>
      <c r="G516" s="28"/>
      <c r="H516" s="30"/>
      <c r="I516" s="31"/>
      <c r="J516" s="28"/>
      <c r="K516" s="27"/>
      <c r="L516" s="8"/>
      <c r="M516" s="8"/>
      <c r="N516" s="8"/>
      <c r="O516" s="8"/>
      <c r="P516" s="8"/>
      <c r="Q516" s="8"/>
      <c r="R516" s="8"/>
      <c r="S516" s="8"/>
      <c r="T516" s="8"/>
      <c r="U516" s="8"/>
      <c r="V516" s="8"/>
      <c r="W516" s="8"/>
      <c r="X516" s="8"/>
      <c r="Y516" s="8"/>
      <c r="Z516" s="8"/>
    </row>
    <row r="517" ht="16.5" customHeight="1">
      <c r="A517" s="8"/>
      <c r="B517" s="27"/>
      <c r="C517" s="27"/>
      <c r="D517" s="27"/>
      <c r="E517" s="28"/>
      <c r="F517" s="29"/>
      <c r="G517" s="28"/>
      <c r="H517" s="30"/>
      <c r="I517" s="31"/>
      <c r="J517" s="28"/>
      <c r="K517" s="27"/>
      <c r="L517" s="8"/>
      <c r="M517" s="8"/>
      <c r="N517" s="8"/>
      <c r="O517" s="8"/>
      <c r="P517" s="8"/>
      <c r="Q517" s="8"/>
      <c r="R517" s="8"/>
      <c r="S517" s="8"/>
      <c r="T517" s="8"/>
      <c r="U517" s="8"/>
      <c r="V517" s="8"/>
      <c r="W517" s="8"/>
      <c r="X517" s="8"/>
      <c r="Y517" s="8"/>
      <c r="Z517" s="8"/>
    </row>
    <row r="518" ht="16.5" customHeight="1">
      <c r="A518" s="8"/>
      <c r="B518" s="27"/>
      <c r="C518" s="27"/>
      <c r="D518" s="27"/>
      <c r="E518" s="28"/>
      <c r="F518" s="29"/>
      <c r="G518" s="28"/>
      <c r="H518" s="30"/>
      <c r="I518" s="31"/>
      <c r="J518" s="28"/>
      <c r="K518" s="27"/>
      <c r="L518" s="8"/>
      <c r="M518" s="8"/>
      <c r="N518" s="8"/>
      <c r="O518" s="8"/>
      <c r="P518" s="8"/>
      <c r="Q518" s="8"/>
      <c r="R518" s="8"/>
      <c r="S518" s="8"/>
      <c r="T518" s="8"/>
      <c r="U518" s="8"/>
      <c r="V518" s="8"/>
      <c r="W518" s="8"/>
      <c r="X518" s="8"/>
      <c r="Y518" s="8"/>
      <c r="Z518" s="8"/>
    </row>
    <row r="519" ht="16.5" customHeight="1">
      <c r="A519" s="8"/>
      <c r="B519" s="27"/>
      <c r="C519" s="27"/>
      <c r="D519" s="27"/>
      <c r="E519" s="28"/>
      <c r="F519" s="29"/>
      <c r="G519" s="28"/>
      <c r="H519" s="30"/>
      <c r="I519" s="31"/>
      <c r="J519" s="28"/>
      <c r="K519" s="27"/>
      <c r="L519" s="8"/>
      <c r="M519" s="8"/>
      <c r="N519" s="8"/>
      <c r="O519" s="8"/>
      <c r="P519" s="8"/>
      <c r="Q519" s="8"/>
      <c r="R519" s="8"/>
      <c r="S519" s="8"/>
      <c r="T519" s="8"/>
      <c r="U519" s="8"/>
      <c r="V519" s="8"/>
      <c r="W519" s="8"/>
      <c r="X519" s="8"/>
      <c r="Y519" s="8"/>
      <c r="Z519" s="8"/>
    </row>
    <row r="520" ht="16.5" customHeight="1">
      <c r="A520" s="8"/>
      <c r="B520" s="27"/>
      <c r="C520" s="27"/>
      <c r="D520" s="27"/>
      <c r="E520" s="28"/>
      <c r="F520" s="29"/>
      <c r="G520" s="28"/>
      <c r="H520" s="30"/>
      <c r="I520" s="31"/>
      <c r="J520" s="28"/>
      <c r="K520" s="27"/>
      <c r="L520" s="8"/>
      <c r="M520" s="8"/>
      <c r="N520" s="8"/>
      <c r="O520" s="8"/>
      <c r="P520" s="8"/>
      <c r="Q520" s="8"/>
      <c r="R520" s="8"/>
      <c r="S520" s="8"/>
      <c r="T520" s="8"/>
      <c r="U520" s="8"/>
      <c r="V520" s="8"/>
      <c r="W520" s="8"/>
      <c r="X520" s="8"/>
      <c r="Y520" s="8"/>
      <c r="Z520" s="8"/>
    </row>
    <row r="521" ht="16.5" customHeight="1">
      <c r="A521" s="8"/>
      <c r="B521" s="27"/>
      <c r="C521" s="27"/>
      <c r="D521" s="27"/>
      <c r="E521" s="28"/>
      <c r="F521" s="29"/>
      <c r="G521" s="28"/>
      <c r="H521" s="30"/>
      <c r="I521" s="31"/>
      <c r="J521" s="28"/>
      <c r="K521" s="27"/>
      <c r="L521" s="8"/>
      <c r="M521" s="8"/>
      <c r="N521" s="8"/>
      <c r="O521" s="8"/>
      <c r="P521" s="8"/>
      <c r="Q521" s="8"/>
      <c r="R521" s="8"/>
      <c r="S521" s="8"/>
      <c r="T521" s="8"/>
      <c r="U521" s="8"/>
      <c r="V521" s="8"/>
      <c r="W521" s="8"/>
      <c r="X521" s="8"/>
      <c r="Y521" s="8"/>
      <c r="Z521" s="8"/>
    </row>
    <row r="522" ht="16.5" customHeight="1">
      <c r="A522" s="8"/>
      <c r="B522" s="27"/>
      <c r="C522" s="27"/>
      <c r="D522" s="27"/>
      <c r="E522" s="28"/>
      <c r="F522" s="29"/>
      <c r="G522" s="28"/>
      <c r="H522" s="30"/>
      <c r="I522" s="31"/>
      <c r="J522" s="28"/>
      <c r="K522" s="27"/>
      <c r="L522" s="8"/>
      <c r="M522" s="8"/>
      <c r="N522" s="8"/>
      <c r="O522" s="8"/>
      <c r="P522" s="8"/>
      <c r="Q522" s="8"/>
      <c r="R522" s="8"/>
      <c r="S522" s="8"/>
      <c r="T522" s="8"/>
      <c r="U522" s="8"/>
      <c r="V522" s="8"/>
      <c r="W522" s="8"/>
      <c r="X522" s="8"/>
      <c r="Y522" s="8"/>
      <c r="Z522" s="8"/>
    </row>
    <row r="523" ht="16.5" customHeight="1">
      <c r="A523" s="8"/>
      <c r="B523" s="27"/>
      <c r="C523" s="27"/>
      <c r="D523" s="27"/>
      <c r="E523" s="28"/>
      <c r="F523" s="29"/>
      <c r="G523" s="28"/>
      <c r="H523" s="30"/>
      <c r="I523" s="31"/>
      <c r="J523" s="28"/>
      <c r="K523" s="27"/>
      <c r="L523" s="8"/>
      <c r="M523" s="8"/>
      <c r="N523" s="8"/>
      <c r="O523" s="8"/>
      <c r="P523" s="8"/>
      <c r="Q523" s="8"/>
      <c r="R523" s="8"/>
      <c r="S523" s="8"/>
      <c r="T523" s="8"/>
      <c r="U523" s="8"/>
      <c r="V523" s="8"/>
      <c r="W523" s="8"/>
      <c r="X523" s="8"/>
      <c r="Y523" s="8"/>
      <c r="Z523" s="8"/>
    </row>
    <row r="524" ht="16.5" customHeight="1">
      <c r="A524" s="8"/>
      <c r="B524" s="27"/>
      <c r="C524" s="27"/>
      <c r="D524" s="27"/>
      <c r="E524" s="28"/>
      <c r="F524" s="29"/>
      <c r="G524" s="28"/>
      <c r="H524" s="30"/>
      <c r="I524" s="31"/>
      <c r="J524" s="28"/>
      <c r="K524" s="27"/>
      <c r="L524" s="8"/>
      <c r="M524" s="8"/>
      <c r="N524" s="8"/>
      <c r="O524" s="8"/>
      <c r="P524" s="8"/>
      <c r="Q524" s="8"/>
      <c r="R524" s="8"/>
      <c r="S524" s="8"/>
      <c r="T524" s="8"/>
      <c r="U524" s="8"/>
      <c r="V524" s="8"/>
      <c r="W524" s="8"/>
      <c r="X524" s="8"/>
      <c r="Y524" s="8"/>
      <c r="Z524" s="8"/>
    </row>
    <row r="525" ht="16.5" customHeight="1">
      <c r="A525" s="8"/>
      <c r="B525" s="27"/>
      <c r="C525" s="27"/>
      <c r="D525" s="27"/>
      <c r="E525" s="28"/>
      <c r="F525" s="29"/>
      <c r="G525" s="28"/>
      <c r="H525" s="30"/>
      <c r="I525" s="31"/>
      <c r="J525" s="28"/>
      <c r="K525" s="27"/>
      <c r="L525" s="8"/>
      <c r="M525" s="8"/>
      <c r="N525" s="8"/>
      <c r="O525" s="8"/>
      <c r="P525" s="8"/>
      <c r="Q525" s="8"/>
      <c r="R525" s="8"/>
      <c r="S525" s="8"/>
      <c r="T525" s="8"/>
      <c r="U525" s="8"/>
      <c r="V525" s="8"/>
      <c r="W525" s="8"/>
      <c r="X525" s="8"/>
      <c r="Y525" s="8"/>
      <c r="Z525" s="8"/>
    </row>
    <row r="526" ht="16.5" customHeight="1">
      <c r="A526" s="8"/>
      <c r="B526" s="27"/>
      <c r="C526" s="27"/>
      <c r="D526" s="27"/>
      <c r="E526" s="28"/>
      <c r="F526" s="29"/>
      <c r="G526" s="28"/>
      <c r="H526" s="30"/>
      <c r="I526" s="31"/>
      <c r="J526" s="28"/>
      <c r="K526" s="27"/>
      <c r="L526" s="8"/>
      <c r="M526" s="8"/>
      <c r="N526" s="8"/>
      <c r="O526" s="8"/>
      <c r="P526" s="8"/>
      <c r="Q526" s="8"/>
      <c r="R526" s="8"/>
      <c r="S526" s="8"/>
      <c r="T526" s="8"/>
      <c r="U526" s="8"/>
      <c r="V526" s="8"/>
      <c r="W526" s="8"/>
      <c r="X526" s="8"/>
      <c r="Y526" s="8"/>
      <c r="Z526" s="8"/>
    </row>
    <row r="527" ht="16.5" customHeight="1">
      <c r="A527" s="8"/>
      <c r="B527" s="27"/>
      <c r="C527" s="27"/>
      <c r="D527" s="27"/>
      <c r="E527" s="28"/>
      <c r="F527" s="29"/>
      <c r="G527" s="28"/>
      <c r="H527" s="30"/>
      <c r="I527" s="31"/>
      <c r="J527" s="28"/>
      <c r="K527" s="27"/>
      <c r="L527" s="8"/>
      <c r="M527" s="8"/>
      <c r="N527" s="8"/>
      <c r="O527" s="8"/>
      <c r="P527" s="8"/>
      <c r="Q527" s="8"/>
      <c r="R527" s="8"/>
      <c r="S527" s="8"/>
      <c r="T527" s="8"/>
      <c r="U527" s="8"/>
      <c r="V527" s="8"/>
      <c r="W527" s="8"/>
      <c r="X527" s="8"/>
      <c r="Y527" s="8"/>
      <c r="Z527" s="8"/>
    </row>
    <row r="528" ht="16.5" customHeight="1">
      <c r="A528" s="8"/>
      <c r="B528" s="27"/>
      <c r="C528" s="27"/>
      <c r="D528" s="27"/>
      <c r="E528" s="28"/>
      <c r="F528" s="29"/>
      <c r="G528" s="28"/>
      <c r="H528" s="30"/>
      <c r="I528" s="31"/>
      <c r="J528" s="28"/>
      <c r="K528" s="27"/>
      <c r="L528" s="8"/>
      <c r="M528" s="8"/>
      <c r="N528" s="8"/>
      <c r="O528" s="8"/>
      <c r="P528" s="8"/>
      <c r="Q528" s="8"/>
      <c r="R528" s="8"/>
      <c r="S528" s="8"/>
      <c r="T528" s="8"/>
      <c r="U528" s="8"/>
      <c r="V528" s="8"/>
      <c r="W528" s="8"/>
      <c r="X528" s="8"/>
      <c r="Y528" s="8"/>
      <c r="Z528" s="8"/>
    </row>
    <row r="529" ht="16.5" customHeight="1">
      <c r="A529" s="8"/>
      <c r="B529" s="27"/>
      <c r="C529" s="27"/>
      <c r="D529" s="27"/>
      <c r="E529" s="28"/>
      <c r="F529" s="29"/>
      <c r="G529" s="28"/>
      <c r="H529" s="30"/>
      <c r="I529" s="31"/>
      <c r="J529" s="28"/>
      <c r="K529" s="27"/>
      <c r="L529" s="8"/>
      <c r="M529" s="8"/>
      <c r="N529" s="8"/>
      <c r="O529" s="8"/>
      <c r="P529" s="8"/>
      <c r="Q529" s="8"/>
      <c r="R529" s="8"/>
      <c r="S529" s="8"/>
      <c r="T529" s="8"/>
      <c r="U529" s="8"/>
      <c r="V529" s="8"/>
      <c r="W529" s="8"/>
      <c r="X529" s="8"/>
      <c r="Y529" s="8"/>
      <c r="Z529" s="8"/>
    </row>
    <row r="530" ht="16.5" customHeight="1">
      <c r="A530" s="8"/>
      <c r="B530" s="27"/>
      <c r="C530" s="27"/>
      <c r="D530" s="27"/>
      <c r="E530" s="28"/>
      <c r="F530" s="29"/>
      <c r="G530" s="28"/>
      <c r="H530" s="30"/>
      <c r="I530" s="31"/>
      <c r="J530" s="28"/>
      <c r="K530" s="27"/>
      <c r="L530" s="8"/>
      <c r="M530" s="8"/>
      <c r="N530" s="8"/>
      <c r="O530" s="8"/>
      <c r="P530" s="8"/>
      <c r="Q530" s="8"/>
      <c r="R530" s="8"/>
      <c r="S530" s="8"/>
      <c r="T530" s="8"/>
      <c r="U530" s="8"/>
      <c r="V530" s="8"/>
      <c r="W530" s="8"/>
      <c r="X530" s="8"/>
      <c r="Y530" s="8"/>
      <c r="Z530" s="8"/>
    </row>
    <row r="531" ht="16.5" customHeight="1">
      <c r="A531" s="8"/>
      <c r="B531" s="27"/>
      <c r="C531" s="27"/>
      <c r="D531" s="27"/>
      <c r="E531" s="28"/>
      <c r="F531" s="29"/>
      <c r="G531" s="28"/>
      <c r="H531" s="30"/>
      <c r="I531" s="31"/>
      <c r="J531" s="28"/>
      <c r="K531" s="27"/>
      <c r="L531" s="8"/>
      <c r="M531" s="8"/>
      <c r="N531" s="8"/>
      <c r="O531" s="8"/>
      <c r="P531" s="8"/>
      <c r="Q531" s="8"/>
      <c r="R531" s="8"/>
      <c r="S531" s="8"/>
      <c r="T531" s="8"/>
      <c r="U531" s="8"/>
      <c r="V531" s="8"/>
      <c r="W531" s="8"/>
      <c r="X531" s="8"/>
      <c r="Y531" s="8"/>
      <c r="Z531" s="8"/>
    </row>
    <row r="532" ht="16.5" customHeight="1">
      <c r="A532" s="8"/>
      <c r="B532" s="27"/>
      <c r="C532" s="27"/>
      <c r="D532" s="27"/>
      <c r="E532" s="28"/>
      <c r="F532" s="29"/>
      <c r="G532" s="28"/>
      <c r="H532" s="30"/>
      <c r="I532" s="31"/>
      <c r="J532" s="28"/>
      <c r="K532" s="27"/>
      <c r="L532" s="8"/>
      <c r="M532" s="8"/>
      <c r="N532" s="8"/>
      <c r="O532" s="8"/>
      <c r="P532" s="8"/>
      <c r="Q532" s="8"/>
      <c r="R532" s="8"/>
      <c r="S532" s="8"/>
      <c r="T532" s="8"/>
      <c r="U532" s="8"/>
      <c r="V532" s="8"/>
      <c r="W532" s="8"/>
      <c r="X532" s="8"/>
      <c r="Y532" s="8"/>
      <c r="Z532" s="8"/>
    </row>
    <row r="533" ht="16.5" customHeight="1">
      <c r="A533" s="8"/>
      <c r="B533" s="27"/>
      <c r="C533" s="27"/>
      <c r="D533" s="27"/>
      <c r="E533" s="28"/>
      <c r="F533" s="29"/>
      <c r="G533" s="28"/>
      <c r="H533" s="30"/>
      <c r="I533" s="31"/>
      <c r="J533" s="28"/>
      <c r="K533" s="27"/>
      <c r="L533" s="8"/>
      <c r="M533" s="8"/>
      <c r="N533" s="8"/>
      <c r="O533" s="8"/>
      <c r="P533" s="8"/>
      <c r="Q533" s="8"/>
      <c r="R533" s="8"/>
      <c r="S533" s="8"/>
      <c r="T533" s="8"/>
      <c r="U533" s="8"/>
      <c r="V533" s="8"/>
      <c r="W533" s="8"/>
      <c r="X533" s="8"/>
      <c r="Y533" s="8"/>
      <c r="Z533" s="8"/>
    </row>
    <row r="534" ht="16.5" customHeight="1">
      <c r="A534" s="8"/>
      <c r="B534" s="27"/>
      <c r="C534" s="27"/>
      <c r="D534" s="27"/>
      <c r="E534" s="28"/>
      <c r="F534" s="29"/>
      <c r="G534" s="28"/>
      <c r="H534" s="30"/>
      <c r="I534" s="31"/>
      <c r="J534" s="28"/>
      <c r="K534" s="27"/>
      <c r="L534" s="8"/>
      <c r="M534" s="8"/>
      <c r="N534" s="8"/>
      <c r="O534" s="8"/>
      <c r="P534" s="8"/>
      <c r="Q534" s="8"/>
      <c r="R534" s="8"/>
      <c r="S534" s="8"/>
      <c r="T534" s="8"/>
      <c r="U534" s="8"/>
      <c r="V534" s="8"/>
      <c r="W534" s="8"/>
      <c r="X534" s="8"/>
      <c r="Y534" s="8"/>
      <c r="Z534" s="8"/>
    </row>
    <row r="535" ht="16.5" customHeight="1">
      <c r="A535" s="8"/>
      <c r="B535" s="27"/>
      <c r="C535" s="27"/>
      <c r="D535" s="27"/>
      <c r="E535" s="28"/>
      <c r="F535" s="29"/>
      <c r="G535" s="28"/>
      <c r="H535" s="30"/>
      <c r="I535" s="31"/>
      <c r="J535" s="28"/>
      <c r="K535" s="27"/>
      <c r="L535" s="8"/>
      <c r="M535" s="8"/>
      <c r="N535" s="8"/>
      <c r="O535" s="8"/>
      <c r="P535" s="8"/>
      <c r="Q535" s="8"/>
      <c r="R535" s="8"/>
      <c r="S535" s="8"/>
      <c r="T535" s="8"/>
      <c r="U535" s="8"/>
      <c r="V535" s="8"/>
      <c r="W535" s="8"/>
      <c r="X535" s="8"/>
      <c r="Y535" s="8"/>
      <c r="Z535" s="8"/>
    </row>
    <row r="536" ht="16.5" customHeight="1">
      <c r="A536" s="8"/>
      <c r="B536" s="27"/>
      <c r="C536" s="27"/>
      <c r="D536" s="27"/>
      <c r="E536" s="28"/>
      <c r="F536" s="29"/>
      <c r="G536" s="28"/>
      <c r="H536" s="30"/>
      <c r="I536" s="31"/>
      <c r="J536" s="28"/>
      <c r="K536" s="27"/>
      <c r="L536" s="8"/>
      <c r="M536" s="8"/>
      <c r="N536" s="8"/>
      <c r="O536" s="8"/>
      <c r="P536" s="8"/>
      <c r="Q536" s="8"/>
      <c r="R536" s="8"/>
      <c r="S536" s="8"/>
      <c r="T536" s="8"/>
      <c r="U536" s="8"/>
      <c r="V536" s="8"/>
      <c r="W536" s="8"/>
      <c r="X536" s="8"/>
      <c r="Y536" s="8"/>
      <c r="Z536" s="8"/>
    </row>
    <row r="537" ht="16.5" customHeight="1">
      <c r="A537" s="8"/>
      <c r="B537" s="27"/>
      <c r="C537" s="27"/>
      <c r="D537" s="27"/>
      <c r="E537" s="28"/>
      <c r="F537" s="29"/>
      <c r="G537" s="28"/>
      <c r="H537" s="30"/>
      <c r="I537" s="31"/>
      <c r="J537" s="28"/>
      <c r="K537" s="27"/>
      <c r="L537" s="8"/>
      <c r="M537" s="8"/>
      <c r="N537" s="8"/>
      <c r="O537" s="8"/>
      <c r="P537" s="8"/>
      <c r="Q537" s="8"/>
      <c r="R537" s="8"/>
      <c r="S537" s="8"/>
      <c r="T537" s="8"/>
      <c r="U537" s="8"/>
      <c r="V537" s="8"/>
      <c r="W537" s="8"/>
      <c r="X537" s="8"/>
      <c r="Y537" s="8"/>
      <c r="Z537" s="8"/>
    </row>
    <row r="538" ht="16.5" customHeight="1">
      <c r="A538" s="8"/>
      <c r="B538" s="27"/>
      <c r="C538" s="27"/>
      <c r="D538" s="27"/>
      <c r="E538" s="28"/>
      <c r="F538" s="29"/>
      <c r="G538" s="28"/>
      <c r="H538" s="30"/>
      <c r="I538" s="31"/>
      <c r="J538" s="28"/>
      <c r="K538" s="27"/>
      <c r="L538" s="8"/>
      <c r="M538" s="8"/>
      <c r="N538" s="8"/>
      <c r="O538" s="8"/>
      <c r="P538" s="8"/>
      <c r="Q538" s="8"/>
      <c r="R538" s="8"/>
      <c r="S538" s="8"/>
      <c r="T538" s="8"/>
      <c r="U538" s="8"/>
      <c r="V538" s="8"/>
      <c r="W538" s="8"/>
      <c r="X538" s="8"/>
      <c r="Y538" s="8"/>
      <c r="Z538" s="8"/>
    </row>
    <row r="539" ht="16.5" customHeight="1">
      <c r="A539" s="8"/>
      <c r="B539" s="27"/>
      <c r="C539" s="27"/>
      <c r="D539" s="27"/>
      <c r="E539" s="28"/>
      <c r="F539" s="29"/>
      <c r="G539" s="28"/>
      <c r="H539" s="30"/>
      <c r="I539" s="31"/>
      <c r="J539" s="28"/>
      <c r="K539" s="27"/>
      <c r="L539" s="8"/>
      <c r="M539" s="8"/>
      <c r="N539" s="8"/>
      <c r="O539" s="8"/>
      <c r="P539" s="8"/>
      <c r="Q539" s="8"/>
      <c r="R539" s="8"/>
      <c r="S539" s="8"/>
      <c r="T539" s="8"/>
      <c r="U539" s="8"/>
      <c r="V539" s="8"/>
      <c r="W539" s="8"/>
      <c r="X539" s="8"/>
      <c r="Y539" s="8"/>
      <c r="Z539" s="8"/>
    </row>
    <row r="540" ht="16.5" customHeight="1">
      <c r="A540" s="8"/>
      <c r="B540" s="27"/>
      <c r="C540" s="27"/>
      <c r="D540" s="27"/>
      <c r="E540" s="28"/>
      <c r="F540" s="29"/>
      <c r="G540" s="28"/>
      <c r="H540" s="30"/>
      <c r="I540" s="31"/>
      <c r="J540" s="28"/>
      <c r="K540" s="27"/>
      <c r="L540" s="8"/>
      <c r="M540" s="8"/>
      <c r="N540" s="8"/>
      <c r="O540" s="8"/>
      <c r="P540" s="8"/>
      <c r="Q540" s="8"/>
      <c r="R540" s="8"/>
      <c r="S540" s="8"/>
      <c r="T540" s="8"/>
      <c r="U540" s="8"/>
      <c r="V540" s="8"/>
      <c r="W540" s="8"/>
      <c r="X540" s="8"/>
      <c r="Y540" s="8"/>
      <c r="Z540" s="8"/>
    </row>
    <row r="541" ht="16.5" customHeight="1">
      <c r="A541" s="8"/>
      <c r="B541" s="27"/>
      <c r="C541" s="27"/>
      <c r="D541" s="27"/>
      <c r="E541" s="28"/>
      <c r="F541" s="29"/>
      <c r="G541" s="28"/>
      <c r="H541" s="30"/>
      <c r="I541" s="31"/>
      <c r="J541" s="28"/>
      <c r="K541" s="27"/>
      <c r="L541" s="8"/>
      <c r="M541" s="8"/>
      <c r="N541" s="8"/>
      <c r="O541" s="8"/>
      <c r="P541" s="8"/>
      <c r="Q541" s="8"/>
      <c r="R541" s="8"/>
      <c r="S541" s="8"/>
      <c r="T541" s="8"/>
      <c r="U541" s="8"/>
      <c r="V541" s="8"/>
      <c r="W541" s="8"/>
      <c r="X541" s="8"/>
      <c r="Y541" s="8"/>
      <c r="Z541" s="8"/>
    </row>
    <row r="542" ht="16.5" customHeight="1">
      <c r="A542" s="8"/>
      <c r="B542" s="27"/>
      <c r="C542" s="27"/>
      <c r="D542" s="27"/>
      <c r="E542" s="28"/>
      <c r="F542" s="29"/>
      <c r="G542" s="28"/>
      <c r="H542" s="30"/>
      <c r="I542" s="31"/>
      <c r="J542" s="28"/>
      <c r="K542" s="27"/>
      <c r="L542" s="8"/>
      <c r="M542" s="8"/>
      <c r="N542" s="8"/>
      <c r="O542" s="8"/>
      <c r="P542" s="8"/>
      <c r="Q542" s="8"/>
      <c r="R542" s="8"/>
      <c r="S542" s="8"/>
      <c r="T542" s="8"/>
      <c r="U542" s="8"/>
      <c r="V542" s="8"/>
      <c r="W542" s="8"/>
      <c r="X542" s="8"/>
      <c r="Y542" s="8"/>
      <c r="Z542" s="8"/>
    </row>
    <row r="543" ht="16.5" customHeight="1">
      <c r="A543" s="8"/>
      <c r="B543" s="27"/>
      <c r="C543" s="27"/>
      <c r="D543" s="27"/>
      <c r="E543" s="28"/>
      <c r="F543" s="29"/>
      <c r="G543" s="28"/>
      <c r="H543" s="30"/>
      <c r="I543" s="31"/>
      <c r="J543" s="28"/>
      <c r="K543" s="27"/>
      <c r="L543" s="8"/>
      <c r="M543" s="8"/>
      <c r="N543" s="8"/>
      <c r="O543" s="8"/>
      <c r="P543" s="8"/>
      <c r="Q543" s="8"/>
      <c r="R543" s="8"/>
      <c r="S543" s="8"/>
      <c r="T543" s="8"/>
      <c r="U543" s="8"/>
      <c r="V543" s="8"/>
      <c r="W543" s="8"/>
      <c r="X543" s="8"/>
      <c r="Y543" s="8"/>
      <c r="Z543" s="8"/>
    </row>
    <row r="544" ht="16.5" customHeight="1">
      <c r="A544" s="8"/>
      <c r="B544" s="27"/>
      <c r="C544" s="27"/>
      <c r="D544" s="27"/>
      <c r="E544" s="28"/>
      <c r="F544" s="29"/>
      <c r="G544" s="28"/>
      <c r="H544" s="30"/>
      <c r="I544" s="31"/>
      <c r="J544" s="28"/>
      <c r="K544" s="27"/>
      <c r="L544" s="8"/>
      <c r="M544" s="8"/>
      <c r="N544" s="8"/>
      <c r="O544" s="8"/>
      <c r="P544" s="8"/>
      <c r="Q544" s="8"/>
      <c r="R544" s="8"/>
      <c r="S544" s="8"/>
      <c r="T544" s="8"/>
      <c r="U544" s="8"/>
      <c r="V544" s="8"/>
      <c r="W544" s="8"/>
      <c r="X544" s="8"/>
      <c r="Y544" s="8"/>
      <c r="Z544" s="8"/>
    </row>
    <row r="545" ht="16.5" customHeight="1">
      <c r="A545" s="8"/>
      <c r="B545" s="27"/>
      <c r="C545" s="27"/>
      <c r="D545" s="27"/>
      <c r="E545" s="28"/>
      <c r="F545" s="29"/>
      <c r="G545" s="28"/>
      <c r="H545" s="30"/>
      <c r="I545" s="31"/>
      <c r="J545" s="28"/>
      <c r="K545" s="27"/>
      <c r="L545" s="8"/>
      <c r="M545" s="8"/>
      <c r="N545" s="8"/>
      <c r="O545" s="8"/>
      <c r="P545" s="8"/>
      <c r="Q545" s="8"/>
      <c r="R545" s="8"/>
      <c r="S545" s="8"/>
      <c r="T545" s="8"/>
      <c r="U545" s="8"/>
      <c r="V545" s="8"/>
      <c r="W545" s="8"/>
      <c r="X545" s="8"/>
      <c r="Y545" s="8"/>
      <c r="Z545" s="8"/>
    </row>
    <row r="546" ht="16.5" customHeight="1">
      <c r="A546" s="8"/>
      <c r="B546" s="27"/>
      <c r="C546" s="27"/>
      <c r="D546" s="27"/>
      <c r="E546" s="28"/>
      <c r="F546" s="29"/>
      <c r="G546" s="28"/>
      <c r="H546" s="30"/>
      <c r="I546" s="31"/>
      <c r="J546" s="28"/>
      <c r="K546" s="27"/>
      <c r="L546" s="8"/>
      <c r="M546" s="8"/>
      <c r="N546" s="8"/>
      <c r="O546" s="8"/>
      <c r="P546" s="8"/>
      <c r="Q546" s="8"/>
      <c r="R546" s="8"/>
      <c r="S546" s="8"/>
      <c r="T546" s="8"/>
      <c r="U546" s="8"/>
      <c r="V546" s="8"/>
      <c r="W546" s="8"/>
      <c r="X546" s="8"/>
      <c r="Y546" s="8"/>
      <c r="Z546" s="8"/>
    </row>
    <row r="547" ht="16.5" customHeight="1">
      <c r="A547" s="8"/>
      <c r="B547" s="27"/>
      <c r="C547" s="27"/>
      <c r="D547" s="27"/>
      <c r="E547" s="28"/>
      <c r="F547" s="29"/>
      <c r="G547" s="28"/>
      <c r="H547" s="30"/>
      <c r="I547" s="31"/>
      <c r="J547" s="28"/>
      <c r="K547" s="27"/>
      <c r="L547" s="8"/>
      <c r="M547" s="8"/>
      <c r="N547" s="8"/>
      <c r="O547" s="8"/>
      <c r="P547" s="8"/>
      <c r="Q547" s="8"/>
      <c r="R547" s="8"/>
      <c r="S547" s="8"/>
      <c r="T547" s="8"/>
      <c r="U547" s="8"/>
      <c r="V547" s="8"/>
      <c r="W547" s="8"/>
      <c r="X547" s="8"/>
      <c r="Y547" s="8"/>
      <c r="Z547" s="8"/>
    </row>
    <row r="548" ht="16.5" customHeight="1">
      <c r="A548" s="8"/>
      <c r="B548" s="27"/>
      <c r="C548" s="27"/>
      <c r="D548" s="27"/>
      <c r="E548" s="28"/>
      <c r="F548" s="29"/>
      <c r="G548" s="28"/>
      <c r="H548" s="30"/>
      <c r="I548" s="31"/>
      <c r="J548" s="28"/>
      <c r="K548" s="27"/>
      <c r="L548" s="8"/>
      <c r="M548" s="8"/>
      <c r="N548" s="8"/>
      <c r="O548" s="8"/>
      <c r="P548" s="8"/>
      <c r="Q548" s="8"/>
      <c r="R548" s="8"/>
      <c r="S548" s="8"/>
      <c r="T548" s="8"/>
      <c r="U548" s="8"/>
      <c r="V548" s="8"/>
      <c r="W548" s="8"/>
      <c r="X548" s="8"/>
      <c r="Y548" s="8"/>
      <c r="Z548" s="8"/>
    </row>
    <row r="549" ht="16.5" customHeight="1">
      <c r="A549" s="8"/>
      <c r="B549" s="27"/>
      <c r="C549" s="27"/>
      <c r="D549" s="27"/>
      <c r="E549" s="28"/>
      <c r="F549" s="29"/>
      <c r="G549" s="28"/>
      <c r="H549" s="30"/>
      <c r="I549" s="31"/>
      <c r="J549" s="28"/>
      <c r="K549" s="27"/>
      <c r="L549" s="8"/>
      <c r="M549" s="8"/>
      <c r="N549" s="8"/>
      <c r="O549" s="8"/>
      <c r="P549" s="8"/>
      <c r="Q549" s="8"/>
      <c r="R549" s="8"/>
      <c r="S549" s="8"/>
      <c r="T549" s="8"/>
      <c r="U549" s="8"/>
      <c r="V549" s="8"/>
      <c r="W549" s="8"/>
      <c r="X549" s="8"/>
      <c r="Y549" s="8"/>
      <c r="Z549" s="8"/>
    </row>
    <row r="550" ht="16.5" customHeight="1">
      <c r="A550" s="8"/>
      <c r="B550" s="27"/>
      <c r="C550" s="27"/>
      <c r="D550" s="27"/>
      <c r="E550" s="28"/>
      <c r="F550" s="29"/>
      <c r="G550" s="28"/>
      <c r="H550" s="30"/>
      <c r="I550" s="31"/>
      <c r="J550" s="28"/>
      <c r="K550" s="27"/>
      <c r="L550" s="8"/>
      <c r="M550" s="8"/>
      <c r="N550" s="8"/>
      <c r="O550" s="8"/>
      <c r="P550" s="8"/>
      <c r="Q550" s="8"/>
      <c r="R550" s="8"/>
      <c r="S550" s="8"/>
      <c r="T550" s="8"/>
      <c r="U550" s="8"/>
      <c r="V550" s="8"/>
      <c r="W550" s="8"/>
      <c r="X550" s="8"/>
      <c r="Y550" s="8"/>
      <c r="Z550" s="8"/>
    </row>
    <row r="551" ht="16.5" customHeight="1">
      <c r="A551" s="8"/>
      <c r="B551" s="27"/>
      <c r="C551" s="27"/>
      <c r="D551" s="27"/>
      <c r="E551" s="28"/>
      <c r="F551" s="29"/>
      <c r="G551" s="28"/>
      <c r="H551" s="30"/>
      <c r="I551" s="31"/>
      <c r="J551" s="28"/>
      <c r="K551" s="27"/>
      <c r="L551" s="8"/>
      <c r="M551" s="8"/>
      <c r="N551" s="8"/>
      <c r="O551" s="8"/>
      <c r="P551" s="8"/>
      <c r="Q551" s="8"/>
      <c r="R551" s="8"/>
      <c r="S551" s="8"/>
      <c r="T551" s="8"/>
      <c r="U551" s="8"/>
      <c r="V551" s="8"/>
      <c r="W551" s="8"/>
      <c r="X551" s="8"/>
      <c r="Y551" s="8"/>
      <c r="Z551" s="8"/>
    </row>
    <row r="552" ht="16.5" customHeight="1">
      <c r="A552" s="8"/>
      <c r="B552" s="27"/>
      <c r="C552" s="27"/>
      <c r="D552" s="27"/>
      <c r="E552" s="28"/>
      <c r="F552" s="29"/>
      <c r="G552" s="28"/>
      <c r="H552" s="30"/>
      <c r="I552" s="31"/>
      <c r="J552" s="28"/>
      <c r="K552" s="27"/>
      <c r="L552" s="8"/>
      <c r="M552" s="8"/>
      <c r="N552" s="8"/>
      <c r="O552" s="8"/>
      <c r="P552" s="8"/>
      <c r="Q552" s="8"/>
      <c r="R552" s="8"/>
      <c r="S552" s="8"/>
      <c r="T552" s="8"/>
      <c r="U552" s="8"/>
      <c r="V552" s="8"/>
      <c r="W552" s="8"/>
      <c r="X552" s="8"/>
      <c r="Y552" s="8"/>
      <c r="Z552" s="8"/>
    </row>
    <row r="553" ht="16.5" customHeight="1">
      <c r="A553" s="8"/>
      <c r="B553" s="27"/>
      <c r="C553" s="27"/>
      <c r="D553" s="27"/>
      <c r="E553" s="28"/>
      <c r="F553" s="29"/>
      <c r="G553" s="28"/>
      <c r="H553" s="30"/>
      <c r="I553" s="31"/>
      <c r="J553" s="28"/>
      <c r="K553" s="27"/>
      <c r="L553" s="8"/>
      <c r="M553" s="8"/>
      <c r="N553" s="8"/>
      <c r="O553" s="8"/>
      <c r="P553" s="8"/>
      <c r="Q553" s="8"/>
      <c r="R553" s="8"/>
      <c r="S553" s="8"/>
      <c r="T553" s="8"/>
      <c r="U553" s="8"/>
      <c r="V553" s="8"/>
      <c r="W553" s="8"/>
      <c r="X553" s="8"/>
      <c r="Y553" s="8"/>
      <c r="Z553" s="8"/>
    </row>
    <row r="554" ht="16.5" customHeight="1">
      <c r="A554" s="8"/>
      <c r="B554" s="27"/>
      <c r="C554" s="27"/>
      <c r="D554" s="27"/>
      <c r="E554" s="28"/>
      <c r="F554" s="29"/>
      <c r="G554" s="28"/>
      <c r="H554" s="30"/>
      <c r="I554" s="31"/>
      <c r="J554" s="28"/>
      <c r="K554" s="27"/>
      <c r="L554" s="8"/>
      <c r="M554" s="8"/>
      <c r="N554" s="8"/>
      <c r="O554" s="8"/>
      <c r="P554" s="8"/>
      <c r="Q554" s="8"/>
      <c r="R554" s="8"/>
      <c r="S554" s="8"/>
      <c r="T554" s="8"/>
      <c r="U554" s="8"/>
      <c r="V554" s="8"/>
      <c r="W554" s="8"/>
      <c r="X554" s="8"/>
      <c r="Y554" s="8"/>
      <c r="Z554" s="8"/>
    </row>
    <row r="555" ht="16.5" customHeight="1">
      <c r="A555" s="8"/>
      <c r="B555" s="27"/>
      <c r="C555" s="27"/>
      <c r="D555" s="27"/>
      <c r="E555" s="28"/>
      <c r="F555" s="29"/>
      <c r="G555" s="28"/>
      <c r="H555" s="30"/>
      <c r="I555" s="31"/>
      <c r="J555" s="28"/>
      <c r="K555" s="27"/>
      <c r="L555" s="8"/>
      <c r="M555" s="8"/>
      <c r="N555" s="8"/>
      <c r="O555" s="8"/>
      <c r="P555" s="8"/>
      <c r="Q555" s="8"/>
      <c r="R555" s="8"/>
      <c r="S555" s="8"/>
      <c r="T555" s="8"/>
      <c r="U555" s="8"/>
      <c r="V555" s="8"/>
      <c r="W555" s="8"/>
      <c r="X555" s="8"/>
      <c r="Y555" s="8"/>
      <c r="Z555" s="8"/>
    </row>
    <row r="556" ht="16.5" customHeight="1">
      <c r="A556" s="8"/>
      <c r="B556" s="27"/>
      <c r="C556" s="27"/>
      <c r="D556" s="27"/>
      <c r="E556" s="28"/>
      <c r="F556" s="29"/>
      <c r="G556" s="28"/>
      <c r="H556" s="30"/>
      <c r="I556" s="31"/>
      <c r="J556" s="28"/>
      <c r="K556" s="27"/>
      <c r="L556" s="8"/>
      <c r="M556" s="8"/>
      <c r="N556" s="8"/>
      <c r="O556" s="8"/>
      <c r="P556" s="8"/>
      <c r="Q556" s="8"/>
      <c r="R556" s="8"/>
      <c r="S556" s="8"/>
      <c r="T556" s="8"/>
      <c r="U556" s="8"/>
      <c r="V556" s="8"/>
      <c r="W556" s="8"/>
      <c r="X556" s="8"/>
      <c r="Y556" s="8"/>
      <c r="Z556" s="8"/>
    </row>
    <row r="557" ht="16.5" customHeight="1">
      <c r="A557" s="8"/>
      <c r="B557" s="27"/>
      <c r="C557" s="27"/>
      <c r="D557" s="27"/>
      <c r="E557" s="28"/>
      <c r="F557" s="29"/>
      <c r="G557" s="28"/>
      <c r="H557" s="30"/>
      <c r="I557" s="31"/>
      <c r="J557" s="28"/>
      <c r="K557" s="27"/>
      <c r="L557" s="8"/>
      <c r="M557" s="8"/>
      <c r="N557" s="8"/>
      <c r="O557" s="8"/>
      <c r="P557" s="8"/>
      <c r="Q557" s="8"/>
      <c r="R557" s="8"/>
      <c r="S557" s="8"/>
      <c r="T557" s="8"/>
      <c r="U557" s="8"/>
      <c r="V557" s="8"/>
      <c r="W557" s="8"/>
      <c r="X557" s="8"/>
      <c r="Y557" s="8"/>
      <c r="Z557" s="8"/>
    </row>
    <row r="558" ht="16.5" customHeight="1">
      <c r="A558" s="8"/>
      <c r="B558" s="27"/>
      <c r="C558" s="27"/>
      <c r="D558" s="27"/>
      <c r="E558" s="28"/>
      <c r="F558" s="29"/>
      <c r="G558" s="28"/>
      <c r="H558" s="30"/>
      <c r="I558" s="31"/>
      <c r="J558" s="28"/>
      <c r="K558" s="27"/>
      <c r="L558" s="8"/>
      <c r="M558" s="8"/>
      <c r="N558" s="8"/>
      <c r="O558" s="8"/>
      <c r="P558" s="8"/>
      <c r="Q558" s="8"/>
      <c r="R558" s="8"/>
      <c r="S558" s="8"/>
      <c r="T558" s="8"/>
      <c r="U558" s="8"/>
      <c r="V558" s="8"/>
      <c r="W558" s="8"/>
      <c r="X558" s="8"/>
      <c r="Y558" s="8"/>
      <c r="Z558" s="8"/>
    </row>
    <row r="559" ht="16.5" customHeight="1">
      <c r="A559" s="8"/>
      <c r="B559" s="27"/>
      <c r="C559" s="27"/>
      <c r="D559" s="27"/>
      <c r="E559" s="28"/>
      <c r="F559" s="29"/>
      <c r="G559" s="28"/>
      <c r="H559" s="30"/>
      <c r="I559" s="31"/>
      <c r="J559" s="28"/>
      <c r="K559" s="27"/>
      <c r="L559" s="8"/>
      <c r="M559" s="8"/>
      <c r="N559" s="8"/>
      <c r="O559" s="8"/>
      <c r="P559" s="8"/>
      <c r="Q559" s="8"/>
      <c r="R559" s="8"/>
      <c r="S559" s="8"/>
      <c r="T559" s="8"/>
      <c r="U559" s="8"/>
      <c r="V559" s="8"/>
      <c r="W559" s="8"/>
      <c r="X559" s="8"/>
      <c r="Y559" s="8"/>
      <c r="Z559" s="8"/>
    </row>
    <row r="560" ht="16.5" customHeight="1">
      <c r="A560" s="8"/>
      <c r="B560" s="27"/>
      <c r="C560" s="27"/>
      <c r="D560" s="27"/>
      <c r="E560" s="28"/>
      <c r="F560" s="29"/>
      <c r="G560" s="28"/>
      <c r="H560" s="30"/>
      <c r="I560" s="31"/>
      <c r="J560" s="28"/>
      <c r="K560" s="27"/>
      <c r="L560" s="8"/>
      <c r="M560" s="8"/>
      <c r="N560" s="8"/>
      <c r="O560" s="8"/>
      <c r="P560" s="8"/>
      <c r="Q560" s="8"/>
      <c r="R560" s="8"/>
      <c r="S560" s="8"/>
      <c r="T560" s="8"/>
      <c r="U560" s="8"/>
      <c r="V560" s="8"/>
      <c r="W560" s="8"/>
      <c r="X560" s="8"/>
      <c r="Y560" s="8"/>
      <c r="Z560" s="8"/>
    </row>
    <row r="561" ht="16.5" customHeight="1">
      <c r="A561" s="8"/>
      <c r="B561" s="27"/>
      <c r="C561" s="27"/>
      <c r="D561" s="27"/>
      <c r="E561" s="28"/>
      <c r="F561" s="29"/>
      <c r="G561" s="28"/>
      <c r="H561" s="30"/>
      <c r="I561" s="31"/>
      <c r="J561" s="28"/>
      <c r="K561" s="27"/>
      <c r="L561" s="8"/>
      <c r="M561" s="8"/>
      <c r="N561" s="8"/>
      <c r="O561" s="8"/>
      <c r="P561" s="8"/>
      <c r="Q561" s="8"/>
      <c r="R561" s="8"/>
      <c r="S561" s="8"/>
      <c r="T561" s="8"/>
      <c r="U561" s="8"/>
      <c r="V561" s="8"/>
      <c r="W561" s="8"/>
      <c r="X561" s="8"/>
      <c r="Y561" s="8"/>
      <c r="Z561" s="8"/>
    </row>
    <row r="562" ht="16.5" customHeight="1">
      <c r="A562" s="8"/>
      <c r="B562" s="27"/>
      <c r="C562" s="27"/>
      <c r="D562" s="27"/>
      <c r="E562" s="28"/>
      <c r="F562" s="29"/>
      <c r="G562" s="28"/>
      <c r="H562" s="30"/>
      <c r="I562" s="31"/>
      <c r="J562" s="28"/>
      <c r="K562" s="27"/>
      <c r="L562" s="8"/>
      <c r="M562" s="8"/>
      <c r="N562" s="8"/>
      <c r="O562" s="8"/>
      <c r="P562" s="8"/>
      <c r="Q562" s="8"/>
      <c r="R562" s="8"/>
      <c r="S562" s="8"/>
      <c r="T562" s="8"/>
      <c r="U562" s="8"/>
      <c r="V562" s="8"/>
      <c r="W562" s="8"/>
      <c r="X562" s="8"/>
      <c r="Y562" s="8"/>
      <c r="Z562" s="8"/>
    </row>
    <row r="563" ht="16.5" customHeight="1">
      <c r="A563" s="8"/>
      <c r="B563" s="27"/>
      <c r="C563" s="27"/>
      <c r="D563" s="27"/>
      <c r="E563" s="28"/>
      <c r="F563" s="29"/>
      <c r="G563" s="28"/>
      <c r="H563" s="30"/>
      <c r="I563" s="31"/>
      <c r="J563" s="28"/>
      <c r="K563" s="27"/>
      <c r="L563" s="8"/>
      <c r="M563" s="8"/>
      <c r="N563" s="8"/>
      <c r="O563" s="8"/>
      <c r="P563" s="8"/>
      <c r="Q563" s="8"/>
      <c r="R563" s="8"/>
      <c r="S563" s="8"/>
      <c r="T563" s="8"/>
      <c r="U563" s="8"/>
      <c r="V563" s="8"/>
      <c r="W563" s="8"/>
      <c r="X563" s="8"/>
      <c r="Y563" s="8"/>
      <c r="Z563" s="8"/>
    </row>
    <row r="564" ht="16.5" customHeight="1">
      <c r="A564" s="8"/>
      <c r="B564" s="27"/>
      <c r="C564" s="27"/>
      <c r="D564" s="27"/>
      <c r="E564" s="28"/>
      <c r="F564" s="29"/>
      <c r="G564" s="28"/>
      <c r="H564" s="30"/>
      <c r="I564" s="31"/>
      <c r="J564" s="28"/>
      <c r="K564" s="27"/>
      <c r="L564" s="8"/>
      <c r="M564" s="8"/>
      <c r="N564" s="8"/>
      <c r="O564" s="8"/>
      <c r="P564" s="8"/>
      <c r="Q564" s="8"/>
      <c r="R564" s="8"/>
      <c r="S564" s="8"/>
      <c r="T564" s="8"/>
      <c r="U564" s="8"/>
      <c r="V564" s="8"/>
      <c r="W564" s="8"/>
      <c r="X564" s="8"/>
      <c r="Y564" s="8"/>
      <c r="Z564" s="8"/>
    </row>
    <row r="565" ht="16.5" customHeight="1">
      <c r="A565" s="8"/>
      <c r="B565" s="27"/>
      <c r="C565" s="27"/>
      <c r="D565" s="27"/>
      <c r="E565" s="28"/>
      <c r="F565" s="29"/>
      <c r="G565" s="28"/>
      <c r="H565" s="30"/>
      <c r="I565" s="31"/>
      <c r="J565" s="28"/>
      <c r="K565" s="27"/>
      <c r="L565" s="8"/>
      <c r="M565" s="8"/>
      <c r="N565" s="8"/>
      <c r="O565" s="8"/>
      <c r="P565" s="8"/>
      <c r="Q565" s="8"/>
      <c r="R565" s="8"/>
      <c r="S565" s="8"/>
      <c r="T565" s="8"/>
      <c r="U565" s="8"/>
      <c r="V565" s="8"/>
      <c r="W565" s="8"/>
      <c r="X565" s="8"/>
      <c r="Y565" s="8"/>
      <c r="Z565" s="8"/>
    </row>
    <row r="566" ht="16.5" customHeight="1">
      <c r="A566" s="8"/>
      <c r="B566" s="27"/>
      <c r="C566" s="27"/>
      <c r="D566" s="27"/>
      <c r="E566" s="28"/>
      <c r="F566" s="29"/>
      <c r="G566" s="28"/>
      <c r="H566" s="30"/>
      <c r="I566" s="31"/>
      <c r="J566" s="28"/>
      <c r="K566" s="27"/>
      <c r="L566" s="8"/>
      <c r="M566" s="8"/>
      <c r="N566" s="8"/>
      <c r="O566" s="8"/>
      <c r="P566" s="8"/>
      <c r="Q566" s="8"/>
      <c r="R566" s="8"/>
      <c r="S566" s="8"/>
      <c r="T566" s="8"/>
      <c r="U566" s="8"/>
      <c r="V566" s="8"/>
      <c r="W566" s="8"/>
      <c r="X566" s="8"/>
      <c r="Y566" s="8"/>
      <c r="Z566" s="8"/>
    </row>
    <row r="567" ht="16.5" customHeight="1">
      <c r="A567" s="8"/>
      <c r="B567" s="27"/>
      <c r="C567" s="27"/>
      <c r="D567" s="27"/>
      <c r="E567" s="28"/>
      <c r="F567" s="29"/>
      <c r="G567" s="28"/>
      <c r="H567" s="30"/>
      <c r="I567" s="31"/>
      <c r="J567" s="28"/>
      <c r="K567" s="27"/>
      <c r="L567" s="8"/>
      <c r="M567" s="8"/>
      <c r="N567" s="8"/>
      <c r="O567" s="8"/>
      <c r="P567" s="8"/>
      <c r="Q567" s="8"/>
      <c r="R567" s="8"/>
      <c r="S567" s="8"/>
      <c r="T567" s="8"/>
      <c r="U567" s="8"/>
      <c r="V567" s="8"/>
      <c r="W567" s="8"/>
      <c r="X567" s="8"/>
      <c r="Y567" s="8"/>
      <c r="Z567" s="8"/>
    </row>
    <row r="568" ht="16.5" customHeight="1">
      <c r="A568" s="8"/>
      <c r="B568" s="27"/>
      <c r="C568" s="27"/>
      <c r="D568" s="27"/>
      <c r="E568" s="28"/>
      <c r="F568" s="29"/>
      <c r="G568" s="28"/>
      <c r="H568" s="30"/>
      <c r="I568" s="31"/>
      <c r="J568" s="28"/>
      <c r="K568" s="27"/>
      <c r="L568" s="8"/>
      <c r="M568" s="8"/>
      <c r="N568" s="8"/>
      <c r="O568" s="8"/>
      <c r="P568" s="8"/>
      <c r="Q568" s="8"/>
      <c r="R568" s="8"/>
      <c r="S568" s="8"/>
      <c r="T568" s="8"/>
      <c r="U568" s="8"/>
      <c r="V568" s="8"/>
      <c r="W568" s="8"/>
      <c r="X568" s="8"/>
      <c r="Y568" s="8"/>
      <c r="Z568" s="8"/>
    </row>
    <row r="569" ht="16.5" customHeight="1">
      <c r="A569" s="8"/>
      <c r="B569" s="27"/>
      <c r="C569" s="27"/>
      <c r="D569" s="27"/>
      <c r="E569" s="28"/>
      <c r="F569" s="29"/>
      <c r="G569" s="28"/>
      <c r="H569" s="30"/>
      <c r="I569" s="31"/>
      <c r="J569" s="28"/>
      <c r="K569" s="27"/>
      <c r="L569" s="8"/>
      <c r="M569" s="8"/>
      <c r="N569" s="8"/>
      <c r="O569" s="8"/>
      <c r="P569" s="8"/>
      <c r="Q569" s="8"/>
      <c r="R569" s="8"/>
      <c r="S569" s="8"/>
      <c r="T569" s="8"/>
      <c r="U569" s="8"/>
      <c r="V569" s="8"/>
      <c r="W569" s="8"/>
      <c r="X569" s="8"/>
      <c r="Y569" s="8"/>
      <c r="Z569" s="8"/>
    </row>
    <row r="570" ht="16.5" customHeight="1">
      <c r="A570" s="8"/>
      <c r="B570" s="27"/>
      <c r="C570" s="27"/>
      <c r="D570" s="27"/>
      <c r="E570" s="28"/>
      <c r="F570" s="29"/>
      <c r="G570" s="28"/>
      <c r="H570" s="30"/>
      <c r="I570" s="31"/>
      <c r="J570" s="28"/>
      <c r="K570" s="27"/>
      <c r="L570" s="8"/>
      <c r="M570" s="8"/>
      <c r="N570" s="8"/>
      <c r="O570" s="8"/>
      <c r="P570" s="8"/>
      <c r="Q570" s="8"/>
      <c r="R570" s="8"/>
      <c r="S570" s="8"/>
      <c r="T570" s="8"/>
      <c r="U570" s="8"/>
      <c r="V570" s="8"/>
      <c r="W570" s="8"/>
      <c r="X570" s="8"/>
      <c r="Y570" s="8"/>
      <c r="Z570" s="8"/>
    </row>
    <row r="571" ht="16.5" customHeight="1">
      <c r="A571" s="8"/>
      <c r="B571" s="27"/>
      <c r="C571" s="27"/>
      <c r="D571" s="27"/>
      <c r="E571" s="28"/>
      <c r="F571" s="29"/>
      <c r="G571" s="28"/>
      <c r="H571" s="30"/>
      <c r="I571" s="31"/>
      <c r="J571" s="28"/>
      <c r="K571" s="27"/>
      <c r="L571" s="8"/>
      <c r="M571" s="8"/>
      <c r="N571" s="8"/>
      <c r="O571" s="8"/>
      <c r="P571" s="8"/>
      <c r="Q571" s="8"/>
      <c r="R571" s="8"/>
      <c r="S571" s="8"/>
      <c r="T571" s="8"/>
      <c r="U571" s="8"/>
      <c r="V571" s="8"/>
      <c r="W571" s="8"/>
      <c r="X571" s="8"/>
      <c r="Y571" s="8"/>
      <c r="Z571" s="8"/>
    </row>
    <row r="572" ht="16.5" customHeight="1">
      <c r="A572" s="8"/>
      <c r="B572" s="27"/>
      <c r="C572" s="27"/>
      <c r="D572" s="27"/>
      <c r="E572" s="28"/>
      <c r="F572" s="29"/>
      <c r="G572" s="28"/>
      <c r="H572" s="30"/>
      <c r="I572" s="31"/>
      <c r="J572" s="28"/>
      <c r="K572" s="27"/>
      <c r="L572" s="8"/>
      <c r="M572" s="8"/>
      <c r="N572" s="8"/>
      <c r="O572" s="8"/>
      <c r="P572" s="8"/>
      <c r="Q572" s="8"/>
      <c r="R572" s="8"/>
      <c r="S572" s="8"/>
      <c r="T572" s="8"/>
      <c r="U572" s="8"/>
      <c r="V572" s="8"/>
      <c r="W572" s="8"/>
      <c r="X572" s="8"/>
      <c r="Y572" s="8"/>
      <c r="Z572" s="8"/>
    </row>
    <row r="573" ht="16.5" customHeight="1">
      <c r="A573" s="8"/>
      <c r="B573" s="27"/>
      <c r="C573" s="27"/>
      <c r="D573" s="27"/>
      <c r="E573" s="28"/>
      <c r="F573" s="29"/>
      <c r="G573" s="28"/>
      <c r="H573" s="30"/>
      <c r="I573" s="31"/>
      <c r="J573" s="28"/>
      <c r="K573" s="27"/>
      <c r="L573" s="8"/>
      <c r="M573" s="8"/>
      <c r="N573" s="8"/>
      <c r="O573" s="8"/>
      <c r="P573" s="8"/>
      <c r="Q573" s="8"/>
      <c r="R573" s="8"/>
      <c r="S573" s="8"/>
      <c r="T573" s="8"/>
      <c r="U573" s="8"/>
      <c r="V573" s="8"/>
      <c r="W573" s="8"/>
      <c r="X573" s="8"/>
      <c r="Y573" s="8"/>
      <c r="Z573" s="8"/>
    </row>
    <row r="574" ht="16.5" customHeight="1">
      <c r="A574" s="8"/>
      <c r="B574" s="27"/>
      <c r="C574" s="27"/>
      <c r="D574" s="27"/>
      <c r="E574" s="28"/>
      <c r="F574" s="29"/>
      <c r="G574" s="28"/>
      <c r="H574" s="30"/>
      <c r="I574" s="31"/>
      <c r="J574" s="28"/>
      <c r="K574" s="27"/>
      <c r="L574" s="8"/>
      <c r="M574" s="8"/>
      <c r="N574" s="8"/>
      <c r="O574" s="8"/>
      <c r="P574" s="8"/>
      <c r="Q574" s="8"/>
      <c r="R574" s="8"/>
      <c r="S574" s="8"/>
      <c r="T574" s="8"/>
      <c r="U574" s="8"/>
      <c r="V574" s="8"/>
      <c r="W574" s="8"/>
      <c r="X574" s="8"/>
      <c r="Y574" s="8"/>
      <c r="Z574" s="8"/>
    </row>
    <row r="575" ht="16.5" customHeight="1">
      <c r="A575" s="8"/>
      <c r="B575" s="27"/>
      <c r="C575" s="27"/>
      <c r="D575" s="27"/>
      <c r="E575" s="28"/>
      <c r="F575" s="29"/>
      <c r="G575" s="28"/>
      <c r="H575" s="30"/>
      <c r="I575" s="31"/>
      <c r="J575" s="28"/>
      <c r="K575" s="27"/>
      <c r="L575" s="8"/>
      <c r="M575" s="8"/>
      <c r="N575" s="8"/>
      <c r="O575" s="8"/>
      <c r="P575" s="8"/>
      <c r="Q575" s="8"/>
      <c r="R575" s="8"/>
      <c r="S575" s="8"/>
      <c r="T575" s="8"/>
      <c r="U575" s="8"/>
      <c r="V575" s="8"/>
      <c r="W575" s="8"/>
      <c r="X575" s="8"/>
      <c r="Y575" s="8"/>
      <c r="Z575" s="8"/>
    </row>
    <row r="576" ht="16.5" customHeight="1">
      <c r="A576" s="8"/>
      <c r="B576" s="27"/>
      <c r="C576" s="27"/>
      <c r="D576" s="27"/>
      <c r="E576" s="28"/>
      <c r="F576" s="29"/>
      <c r="G576" s="28"/>
      <c r="H576" s="30"/>
      <c r="I576" s="31"/>
      <c r="J576" s="28"/>
      <c r="K576" s="27"/>
      <c r="L576" s="8"/>
      <c r="M576" s="8"/>
      <c r="N576" s="8"/>
      <c r="O576" s="8"/>
      <c r="P576" s="8"/>
      <c r="Q576" s="8"/>
      <c r="R576" s="8"/>
      <c r="S576" s="8"/>
      <c r="T576" s="8"/>
      <c r="U576" s="8"/>
      <c r="V576" s="8"/>
      <c r="W576" s="8"/>
      <c r="X576" s="8"/>
      <c r="Y576" s="8"/>
      <c r="Z576" s="8"/>
    </row>
    <row r="577" ht="16.5" customHeight="1">
      <c r="A577" s="8"/>
      <c r="B577" s="27"/>
      <c r="C577" s="27"/>
      <c r="D577" s="27"/>
      <c r="E577" s="28"/>
      <c r="F577" s="29"/>
      <c r="G577" s="28"/>
      <c r="H577" s="30"/>
      <c r="I577" s="31"/>
      <c r="J577" s="28"/>
      <c r="K577" s="27"/>
      <c r="L577" s="8"/>
      <c r="M577" s="8"/>
      <c r="N577" s="8"/>
      <c r="O577" s="8"/>
      <c r="P577" s="8"/>
      <c r="Q577" s="8"/>
      <c r="R577" s="8"/>
      <c r="S577" s="8"/>
      <c r="T577" s="8"/>
      <c r="U577" s="8"/>
      <c r="V577" s="8"/>
      <c r="W577" s="8"/>
      <c r="X577" s="8"/>
      <c r="Y577" s="8"/>
      <c r="Z577" s="8"/>
    </row>
    <row r="578" ht="16.5" customHeight="1">
      <c r="A578" s="8"/>
      <c r="B578" s="27"/>
      <c r="C578" s="27"/>
      <c r="D578" s="27"/>
      <c r="E578" s="28"/>
      <c r="F578" s="29"/>
      <c r="G578" s="28"/>
      <c r="H578" s="30"/>
      <c r="I578" s="31"/>
      <c r="J578" s="28"/>
      <c r="K578" s="27"/>
      <c r="L578" s="8"/>
      <c r="M578" s="8"/>
      <c r="N578" s="8"/>
      <c r="O578" s="8"/>
      <c r="P578" s="8"/>
      <c r="Q578" s="8"/>
      <c r="R578" s="8"/>
      <c r="S578" s="8"/>
      <c r="T578" s="8"/>
      <c r="U578" s="8"/>
      <c r="V578" s="8"/>
      <c r="W578" s="8"/>
      <c r="X578" s="8"/>
      <c r="Y578" s="8"/>
      <c r="Z578" s="8"/>
    </row>
    <row r="579" ht="16.5" customHeight="1">
      <c r="A579" s="8"/>
      <c r="B579" s="27"/>
      <c r="C579" s="27"/>
      <c r="D579" s="27"/>
      <c r="E579" s="28"/>
      <c r="F579" s="29"/>
      <c r="G579" s="28"/>
      <c r="H579" s="30"/>
      <c r="I579" s="31"/>
      <c r="J579" s="28"/>
      <c r="K579" s="27"/>
      <c r="L579" s="8"/>
      <c r="M579" s="8"/>
      <c r="N579" s="8"/>
      <c r="O579" s="8"/>
      <c r="P579" s="8"/>
      <c r="Q579" s="8"/>
      <c r="R579" s="8"/>
      <c r="S579" s="8"/>
      <c r="T579" s="8"/>
      <c r="U579" s="8"/>
      <c r="V579" s="8"/>
      <c r="W579" s="8"/>
      <c r="X579" s="8"/>
      <c r="Y579" s="8"/>
      <c r="Z579" s="8"/>
    </row>
    <row r="580" ht="16.5" customHeight="1">
      <c r="A580" s="8"/>
      <c r="B580" s="27"/>
      <c r="C580" s="27"/>
      <c r="D580" s="27"/>
      <c r="E580" s="28"/>
      <c r="F580" s="29"/>
      <c r="G580" s="28"/>
      <c r="H580" s="30"/>
      <c r="I580" s="31"/>
      <c r="J580" s="28"/>
      <c r="K580" s="27"/>
      <c r="L580" s="8"/>
      <c r="M580" s="8"/>
      <c r="N580" s="8"/>
      <c r="O580" s="8"/>
      <c r="P580" s="8"/>
      <c r="Q580" s="8"/>
      <c r="R580" s="8"/>
      <c r="S580" s="8"/>
      <c r="T580" s="8"/>
      <c r="U580" s="8"/>
      <c r="V580" s="8"/>
      <c r="W580" s="8"/>
      <c r="X580" s="8"/>
      <c r="Y580" s="8"/>
      <c r="Z580" s="8"/>
    </row>
    <row r="581" ht="16.5" customHeight="1">
      <c r="A581" s="8"/>
      <c r="B581" s="27"/>
      <c r="C581" s="27"/>
      <c r="D581" s="27"/>
      <c r="E581" s="28"/>
      <c r="F581" s="29"/>
      <c r="G581" s="28"/>
      <c r="H581" s="30"/>
      <c r="I581" s="31"/>
      <c r="J581" s="28"/>
      <c r="K581" s="27"/>
      <c r="L581" s="8"/>
      <c r="M581" s="8"/>
      <c r="N581" s="8"/>
      <c r="O581" s="8"/>
      <c r="P581" s="8"/>
      <c r="Q581" s="8"/>
      <c r="R581" s="8"/>
      <c r="S581" s="8"/>
      <c r="T581" s="8"/>
      <c r="U581" s="8"/>
      <c r="V581" s="8"/>
      <c r="W581" s="8"/>
      <c r="X581" s="8"/>
      <c r="Y581" s="8"/>
      <c r="Z581" s="8"/>
    </row>
    <row r="582" ht="16.5" customHeight="1">
      <c r="A582" s="8"/>
      <c r="B582" s="27"/>
      <c r="C582" s="27"/>
      <c r="D582" s="27"/>
      <c r="E582" s="28"/>
      <c r="F582" s="29"/>
      <c r="G582" s="28"/>
      <c r="H582" s="30"/>
      <c r="I582" s="31"/>
      <c r="J582" s="28"/>
      <c r="K582" s="27"/>
      <c r="L582" s="8"/>
      <c r="M582" s="8"/>
      <c r="N582" s="8"/>
      <c r="O582" s="8"/>
      <c r="P582" s="8"/>
      <c r="Q582" s="8"/>
      <c r="R582" s="8"/>
      <c r="S582" s="8"/>
      <c r="T582" s="8"/>
      <c r="U582" s="8"/>
      <c r="V582" s="8"/>
      <c r="W582" s="8"/>
      <c r="X582" s="8"/>
      <c r="Y582" s="8"/>
      <c r="Z582" s="8"/>
    </row>
    <row r="583" ht="16.5" customHeight="1">
      <c r="A583" s="8"/>
      <c r="B583" s="27"/>
      <c r="C583" s="27"/>
      <c r="D583" s="27"/>
      <c r="E583" s="28"/>
      <c r="F583" s="29"/>
      <c r="G583" s="28"/>
      <c r="H583" s="30"/>
      <c r="I583" s="31"/>
      <c r="J583" s="28"/>
      <c r="K583" s="27"/>
      <c r="L583" s="8"/>
      <c r="M583" s="8"/>
      <c r="N583" s="8"/>
      <c r="O583" s="8"/>
      <c r="P583" s="8"/>
      <c r="Q583" s="8"/>
      <c r="R583" s="8"/>
      <c r="S583" s="8"/>
      <c r="T583" s="8"/>
      <c r="U583" s="8"/>
      <c r="V583" s="8"/>
      <c r="W583" s="8"/>
      <c r="X583" s="8"/>
      <c r="Y583" s="8"/>
      <c r="Z583" s="8"/>
    </row>
    <row r="584" ht="16.5" customHeight="1">
      <c r="A584" s="8"/>
      <c r="B584" s="27"/>
      <c r="C584" s="27"/>
      <c r="D584" s="27"/>
      <c r="E584" s="28"/>
      <c r="F584" s="29"/>
      <c r="G584" s="28"/>
      <c r="H584" s="30"/>
      <c r="I584" s="31"/>
      <c r="J584" s="28"/>
      <c r="K584" s="27"/>
      <c r="L584" s="8"/>
      <c r="M584" s="8"/>
      <c r="N584" s="8"/>
      <c r="O584" s="8"/>
      <c r="P584" s="8"/>
      <c r="Q584" s="8"/>
      <c r="R584" s="8"/>
      <c r="S584" s="8"/>
      <c r="T584" s="8"/>
      <c r="U584" s="8"/>
      <c r="V584" s="8"/>
      <c r="W584" s="8"/>
      <c r="X584" s="8"/>
      <c r="Y584" s="8"/>
      <c r="Z584" s="8"/>
    </row>
    <row r="585" ht="16.5" customHeight="1">
      <c r="A585" s="8"/>
      <c r="B585" s="27"/>
      <c r="C585" s="27"/>
      <c r="D585" s="27"/>
      <c r="E585" s="28"/>
      <c r="F585" s="29"/>
      <c r="G585" s="28"/>
      <c r="H585" s="30"/>
      <c r="I585" s="31"/>
      <c r="J585" s="28"/>
      <c r="K585" s="27"/>
      <c r="L585" s="8"/>
      <c r="M585" s="8"/>
      <c r="N585" s="8"/>
      <c r="O585" s="8"/>
      <c r="P585" s="8"/>
      <c r="Q585" s="8"/>
      <c r="R585" s="8"/>
      <c r="S585" s="8"/>
      <c r="T585" s="8"/>
      <c r="U585" s="8"/>
      <c r="V585" s="8"/>
      <c r="W585" s="8"/>
      <c r="X585" s="8"/>
      <c r="Y585" s="8"/>
      <c r="Z585" s="8"/>
    </row>
    <row r="586" ht="16.5" customHeight="1">
      <c r="A586" s="8"/>
      <c r="B586" s="27"/>
      <c r="C586" s="27"/>
      <c r="D586" s="27"/>
      <c r="E586" s="28"/>
      <c r="F586" s="29"/>
      <c r="G586" s="28"/>
      <c r="H586" s="30"/>
      <c r="I586" s="31"/>
      <c r="J586" s="28"/>
      <c r="K586" s="27"/>
      <c r="L586" s="8"/>
      <c r="M586" s="8"/>
      <c r="N586" s="8"/>
      <c r="O586" s="8"/>
      <c r="P586" s="8"/>
      <c r="Q586" s="8"/>
      <c r="R586" s="8"/>
      <c r="S586" s="8"/>
      <c r="T586" s="8"/>
      <c r="U586" s="8"/>
      <c r="V586" s="8"/>
      <c r="W586" s="8"/>
      <c r="X586" s="8"/>
      <c r="Y586" s="8"/>
      <c r="Z586" s="8"/>
    </row>
    <row r="587" ht="16.5" customHeight="1">
      <c r="A587" s="8"/>
      <c r="B587" s="27"/>
      <c r="C587" s="27"/>
      <c r="D587" s="27"/>
      <c r="E587" s="28"/>
      <c r="F587" s="29"/>
      <c r="G587" s="28"/>
      <c r="H587" s="30"/>
      <c r="I587" s="31"/>
      <c r="J587" s="28"/>
      <c r="K587" s="27"/>
      <c r="L587" s="8"/>
      <c r="M587" s="8"/>
      <c r="N587" s="8"/>
      <c r="O587" s="8"/>
      <c r="P587" s="8"/>
      <c r="Q587" s="8"/>
      <c r="R587" s="8"/>
      <c r="S587" s="8"/>
      <c r="T587" s="8"/>
      <c r="U587" s="8"/>
      <c r="V587" s="8"/>
      <c r="W587" s="8"/>
      <c r="X587" s="8"/>
      <c r="Y587" s="8"/>
      <c r="Z587" s="8"/>
    </row>
    <row r="588" ht="16.5" customHeight="1">
      <c r="A588" s="8"/>
      <c r="B588" s="27"/>
      <c r="C588" s="27"/>
      <c r="D588" s="27"/>
      <c r="E588" s="28"/>
      <c r="F588" s="29"/>
      <c r="G588" s="28"/>
      <c r="H588" s="30"/>
      <c r="I588" s="31"/>
      <c r="J588" s="28"/>
      <c r="K588" s="27"/>
      <c r="L588" s="8"/>
      <c r="M588" s="8"/>
      <c r="N588" s="8"/>
      <c r="O588" s="8"/>
      <c r="P588" s="8"/>
      <c r="Q588" s="8"/>
      <c r="R588" s="8"/>
      <c r="S588" s="8"/>
      <c r="T588" s="8"/>
      <c r="U588" s="8"/>
      <c r="V588" s="8"/>
      <c r="W588" s="8"/>
      <c r="X588" s="8"/>
      <c r="Y588" s="8"/>
      <c r="Z588" s="8"/>
    </row>
    <row r="589" ht="16.5" customHeight="1">
      <c r="A589" s="8"/>
      <c r="B589" s="27"/>
      <c r="C589" s="27"/>
      <c r="D589" s="27"/>
      <c r="E589" s="28"/>
      <c r="F589" s="29"/>
      <c r="G589" s="28"/>
      <c r="H589" s="30"/>
      <c r="I589" s="31"/>
      <c r="J589" s="28"/>
      <c r="K589" s="27"/>
      <c r="L589" s="8"/>
      <c r="M589" s="8"/>
      <c r="N589" s="8"/>
      <c r="O589" s="8"/>
      <c r="P589" s="8"/>
      <c r="Q589" s="8"/>
      <c r="R589" s="8"/>
      <c r="S589" s="8"/>
      <c r="T589" s="8"/>
      <c r="U589" s="8"/>
      <c r="V589" s="8"/>
      <c r="W589" s="8"/>
      <c r="X589" s="8"/>
      <c r="Y589" s="8"/>
      <c r="Z589" s="8"/>
    </row>
    <row r="590" ht="16.5" customHeight="1">
      <c r="A590" s="8"/>
      <c r="B590" s="27"/>
      <c r="C590" s="27"/>
      <c r="D590" s="27"/>
      <c r="E590" s="28"/>
      <c r="F590" s="29"/>
      <c r="G590" s="28"/>
      <c r="H590" s="30"/>
      <c r="I590" s="31"/>
      <c r="J590" s="28"/>
      <c r="K590" s="27"/>
      <c r="L590" s="8"/>
      <c r="M590" s="8"/>
      <c r="N590" s="8"/>
      <c r="O590" s="8"/>
      <c r="P590" s="8"/>
      <c r="Q590" s="8"/>
      <c r="R590" s="8"/>
      <c r="S590" s="8"/>
      <c r="T590" s="8"/>
      <c r="U590" s="8"/>
      <c r="V590" s="8"/>
      <c r="W590" s="8"/>
      <c r="X590" s="8"/>
      <c r="Y590" s="8"/>
      <c r="Z590" s="8"/>
    </row>
    <row r="591" ht="16.5" customHeight="1">
      <c r="A591" s="8"/>
      <c r="B591" s="27"/>
      <c r="C591" s="27"/>
      <c r="D591" s="27"/>
      <c r="E591" s="28"/>
      <c r="F591" s="29"/>
      <c r="G591" s="28"/>
      <c r="H591" s="30"/>
      <c r="I591" s="31"/>
      <c r="J591" s="28"/>
      <c r="K591" s="27"/>
      <c r="L591" s="8"/>
      <c r="M591" s="8"/>
      <c r="N591" s="8"/>
      <c r="O591" s="8"/>
      <c r="P591" s="8"/>
      <c r="Q591" s="8"/>
      <c r="R591" s="8"/>
      <c r="S591" s="8"/>
      <c r="T591" s="8"/>
      <c r="U591" s="8"/>
      <c r="V591" s="8"/>
      <c r="W591" s="8"/>
      <c r="X591" s="8"/>
      <c r="Y591" s="8"/>
      <c r="Z591" s="8"/>
    </row>
    <row r="592" ht="16.5" customHeight="1">
      <c r="A592" s="8"/>
      <c r="B592" s="27"/>
      <c r="C592" s="27"/>
      <c r="D592" s="27"/>
      <c r="E592" s="28"/>
      <c r="F592" s="29"/>
      <c r="G592" s="28"/>
      <c r="H592" s="30"/>
      <c r="I592" s="31"/>
      <c r="J592" s="28"/>
      <c r="K592" s="27"/>
      <c r="L592" s="8"/>
      <c r="M592" s="8"/>
      <c r="N592" s="8"/>
      <c r="O592" s="8"/>
      <c r="P592" s="8"/>
      <c r="Q592" s="8"/>
      <c r="R592" s="8"/>
      <c r="S592" s="8"/>
      <c r="T592" s="8"/>
      <c r="U592" s="8"/>
      <c r="V592" s="8"/>
      <c r="W592" s="8"/>
      <c r="X592" s="8"/>
      <c r="Y592" s="8"/>
      <c r="Z592" s="8"/>
    </row>
    <row r="593" ht="16.5" customHeight="1">
      <c r="A593" s="8"/>
      <c r="B593" s="27"/>
      <c r="C593" s="27"/>
      <c r="D593" s="27"/>
      <c r="E593" s="28"/>
      <c r="F593" s="29"/>
      <c r="G593" s="28"/>
      <c r="H593" s="30"/>
      <c r="I593" s="31"/>
      <c r="J593" s="28"/>
      <c r="K593" s="27"/>
      <c r="L593" s="8"/>
      <c r="M593" s="8"/>
      <c r="N593" s="8"/>
      <c r="O593" s="8"/>
      <c r="P593" s="8"/>
      <c r="Q593" s="8"/>
      <c r="R593" s="8"/>
      <c r="S593" s="8"/>
      <c r="T593" s="8"/>
      <c r="U593" s="8"/>
      <c r="V593" s="8"/>
      <c r="W593" s="8"/>
      <c r="X593" s="8"/>
      <c r="Y593" s="8"/>
      <c r="Z593" s="8"/>
    </row>
    <row r="594" ht="16.5" customHeight="1">
      <c r="A594" s="8"/>
      <c r="B594" s="27"/>
      <c r="C594" s="27"/>
      <c r="D594" s="27"/>
      <c r="E594" s="28"/>
      <c r="F594" s="29"/>
      <c r="G594" s="28"/>
      <c r="H594" s="30"/>
      <c r="I594" s="31"/>
      <c r="J594" s="28"/>
      <c r="K594" s="27"/>
      <c r="L594" s="8"/>
      <c r="M594" s="8"/>
      <c r="N594" s="8"/>
      <c r="O594" s="8"/>
      <c r="P594" s="8"/>
      <c r="Q594" s="8"/>
      <c r="R594" s="8"/>
      <c r="S594" s="8"/>
      <c r="T594" s="8"/>
      <c r="U594" s="8"/>
      <c r="V594" s="8"/>
      <c r="W594" s="8"/>
      <c r="X594" s="8"/>
      <c r="Y594" s="8"/>
      <c r="Z594" s="8"/>
    </row>
    <row r="595" ht="16.5" customHeight="1">
      <c r="A595" s="8"/>
      <c r="B595" s="27"/>
      <c r="C595" s="27"/>
      <c r="D595" s="27"/>
      <c r="E595" s="28"/>
      <c r="F595" s="29"/>
      <c r="G595" s="28"/>
      <c r="H595" s="30"/>
      <c r="I595" s="31"/>
      <c r="J595" s="28"/>
      <c r="K595" s="27"/>
      <c r="L595" s="8"/>
      <c r="M595" s="8"/>
      <c r="N595" s="8"/>
      <c r="O595" s="8"/>
      <c r="P595" s="8"/>
      <c r="Q595" s="8"/>
      <c r="R595" s="8"/>
      <c r="S595" s="8"/>
      <c r="T595" s="8"/>
      <c r="U595" s="8"/>
      <c r="V595" s="8"/>
      <c r="W595" s="8"/>
      <c r="X595" s="8"/>
      <c r="Y595" s="8"/>
      <c r="Z595" s="8"/>
    </row>
    <row r="596" ht="16.5" customHeight="1">
      <c r="A596" s="8"/>
      <c r="B596" s="27"/>
      <c r="C596" s="27"/>
      <c r="D596" s="27"/>
      <c r="E596" s="28"/>
      <c r="F596" s="29"/>
      <c r="G596" s="28"/>
      <c r="H596" s="30"/>
      <c r="I596" s="31"/>
      <c r="J596" s="28"/>
      <c r="K596" s="27"/>
      <c r="L596" s="8"/>
      <c r="M596" s="8"/>
      <c r="N596" s="8"/>
      <c r="O596" s="8"/>
      <c r="P596" s="8"/>
      <c r="Q596" s="8"/>
      <c r="R596" s="8"/>
      <c r="S596" s="8"/>
      <c r="T596" s="8"/>
      <c r="U596" s="8"/>
      <c r="V596" s="8"/>
      <c r="W596" s="8"/>
      <c r="X596" s="8"/>
      <c r="Y596" s="8"/>
      <c r="Z596" s="8"/>
    </row>
    <row r="597" ht="16.5" customHeight="1">
      <c r="A597" s="8"/>
      <c r="B597" s="27"/>
      <c r="C597" s="27"/>
      <c r="D597" s="27"/>
      <c r="E597" s="28"/>
      <c r="F597" s="29"/>
      <c r="G597" s="28"/>
      <c r="H597" s="30"/>
      <c r="I597" s="31"/>
      <c r="J597" s="28"/>
      <c r="K597" s="27"/>
      <c r="L597" s="8"/>
      <c r="M597" s="8"/>
      <c r="N597" s="8"/>
      <c r="O597" s="8"/>
      <c r="P597" s="8"/>
      <c r="Q597" s="8"/>
      <c r="R597" s="8"/>
      <c r="S597" s="8"/>
      <c r="T597" s="8"/>
      <c r="U597" s="8"/>
      <c r="V597" s="8"/>
      <c r="W597" s="8"/>
      <c r="X597" s="8"/>
      <c r="Y597" s="8"/>
      <c r="Z597" s="8"/>
    </row>
    <row r="598" ht="16.5" customHeight="1">
      <c r="A598" s="8"/>
      <c r="B598" s="27"/>
      <c r="C598" s="27"/>
      <c r="D598" s="27"/>
      <c r="E598" s="28"/>
      <c r="F598" s="29"/>
      <c r="G598" s="28"/>
      <c r="H598" s="30"/>
      <c r="I598" s="31"/>
      <c r="J598" s="28"/>
      <c r="K598" s="27"/>
      <c r="L598" s="8"/>
      <c r="M598" s="8"/>
      <c r="N598" s="8"/>
      <c r="O598" s="8"/>
      <c r="P598" s="8"/>
      <c r="Q598" s="8"/>
      <c r="R598" s="8"/>
      <c r="S598" s="8"/>
      <c r="T598" s="8"/>
      <c r="U598" s="8"/>
      <c r="V598" s="8"/>
      <c r="W598" s="8"/>
      <c r="X598" s="8"/>
      <c r="Y598" s="8"/>
      <c r="Z598" s="8"/>
    </row>
    <row r="599" ht="16.5" customHeight="1">
      <c r="A599" s="8"/>
      <c r="B599" s="27"/>
      <c r="C599" s="27"/>
      <c r="D599" s="27"/>
      <c r="E599" s="28"/>
      <c r="F599" s="29"/>
      <c r="G599" s="28"/>
      <c r="H599" s="30"/>
      <c r="I599" s="31"/>
      <c r="J599" s="28"/>
      <c r="K599" s="27"/>
      <c r="L599" s="8"/>
      <c r="M599" s="8"/>
      <c r="N599" s="8"/>
      <c r="O599" s="8"/>
      <c r="P599" s="8"/>
      <c r="Q599" s="8"/>
      <c r="R599" s="8"/>
      <c r="S599" s="8"/>
      <c r="T599" s="8"/>
      <c r="U599" s="8"/>
      <c r="V599" s="8"/>
      <c r="W599" s="8"/>
      <c r="X599" s="8"/>
      <c r="Y599" s="8"/>
      <c r="Z599" s="8"/>
    </row>
    <row r="600" ht="16.5" customHeight="1">
      <c r="A600" s="8"/>
      <c r="B600" s="27"/>
      <c r="C600" s="27"/>
      <c r="D600" s="27"/>
      <c r="E600" s="28"/>
      <c r="F600" s="29"/>
      <c r="G600" s="28"/>
      <c r="H600" s="30"/>
      <c r="I600" s="31"/>
      <c r="J600" s="28"/>
      <c r="K600" s="27"/>
      <c r="L600" s="8"/>
      <c r="M600" s="8"/>
      <c r="N600" s="8"/>
      <c r="O600" s="8"/>
      <c r="P600" s="8"/>
      <c r="Q600" s="8"/>
      <c r="R600" s="8"/>
      <c r="S600" s="8"/>
      <c r="T600" s="8"/>
      <c r="U600" s="8"/>
      <c r="V600" s="8"/>
      <c r="W600" s="8"/>
      <c r="X600" s="8"/>
      <c r="Y600" s="8"/>
      <c r="Z600" s="8"/>
    </row>
    <row r="601" ht="16.5" customHeight="1">
      <c r="A601" s="8"/>
      <c r="B601" s="27"/>
      <c r="C601" s="27"/>
      <c r="D601" s="27"/>
      <c r="E601" s="28"/>
      <c r="F601" s="29"/>
      <c r="G601" s="28"/>
      <c r="H601" s="30"/>
      <c r="I601" s="31"/>
      <c r="J601" s="28"/>
      <c r="K601" s="27"/>
      <c r="L601" s="8"/>
      <c r="M601" s="8"/>
      <c r="N601" s="8"/>
      <c r="O601" s="8"/>
      <c r="P601" s="8"/>
      <c r="Q601" s="8"/>
      <c r="R601" s="8"/>
      <c r="S601" s="8"/>
      <c r="T601" s="8"/>
      <c r="U601" s="8"/>
      <c r="V601" s="8"/>
      <c r="W601" s="8"/>
      <c r="X601" s="8"/>
      <c r="Y601" s="8"/>
      <c r="Z601" s="8"/>
    </row>
    <row r="602" ht="16.5" customHeight="1">
      <c r="A602" s="8"/>
      <c r="B602" s="27"/>
      <c r="C602" s="27"/>
      <c r="D602" s="27"/>
      <c r="E602" s="28"/>
      <c r="F602" s="29"/>
      <c r="G602" s="28"/>
      <c r="H602" s="30"/>
      <c r="I602" s="31"/>
      <c r="J602" s="28"/>
      <c r="K602" s="27"/>
      <c r="L602" s="8"/>
      <c r="M602" s="8"/>
      <c r="N602" s="8"/>
      <c r="O602" s="8"/>
      <c r="P602" s="8"/>
      <c r="Q602" s="8"/>
      <c r="R602" s="8"/>
      <c r="S602" s="8"/>
      <c r="T602" s="8"/>
      <c r="U602" s="8"/>
      <c r="V602" s="8"/>
      <c r="W602" s="8"/>
      <c r="X602" s="8"/>
      <c r="Y602" s="8"/>
      <c r="Z602" s="8"/>
    </row>
    <row r="603" ht="16.5" customHeight="1">
      <c r="A603" s="8"/>
      <c r="B603" s="27"/>
      <c r="C603" s="27"/>
      <c r="D603" s="27"/>
      <c r="E603" s="28"/>
      <c r="F603" s="29"/>
      <c r="G603" s="28"/>
      <c r="H603" s="30"/>
      <c r="I603" s="31"/>
      <c r="J603" s="28"/>
      <c r="K603" s="27"/>
      <c r="L603" s="8"/>
      <c r="M603" s="8"/>
      <c r="N603" s="8"/>
      <c r="O603" s="8"/>
      <c r="P603" s="8"/>
      <c r="Q603" s="8"/>
      <c r="R603" s="8"/>
      <c r="S603" s="8"/>
      <c r="T603" s="8"/>
      <c r="U603" s="8"/>
      <c r="V603" s="8"/>
      <c r="W603" s="8"/>
      <c r="X603" s="8"/>
      <c r="Y603" s="8"/>
      <c r="Z603" s="8"/>
    </row>
    <row r="604" ht="16.5" customHeight="1">
      <c r="A604" s="8"/>
      <c r="B604" s="27"/>
      <c r="C604" s="27"/>
      <c r="D604" s="27"/>
      <c r="E604" s="28"/>
      <c r="F604" s="29"/>
      <c r="G604" s="28"/>
      <c r="H604" s="30"/>
      <c r="I604" s="31"/>
      <c r="J604" s="28"/>
      <c r="K604" s="27"/>
      <c r="L604" s="8"/>
      <c r="M604" s="8"/>
      <c r="N604" s="8"/>
      <c r="O604" s="8"/>
      <c r="P604" s="8"/>
      <c r="Q604" s="8"/>
      <c r="R604" s="8"/>
      <c r="S604" s="8"/>
      <c r="T604" s="8"/>
      <c r="U604" s="8"/>
      <c r="V604" s="8"/>
      <c r="W604" s="8"/>
      <c r="X604" s="8"/>
      <c r="Y604" s="8"/>
      <c r="Z604" s="8"/>
    </row>
    <row r="605" ht="16.5" customHeight="1">
      <c r="A605" s="8"/>
      <c r="B605" s="27"/>
      <c r="C605" s="27"/>
      <c r="D605" s="27"/>
      <c r="E605" s="28"/>
      <c r="F605" s="29"/>
      <c r="G605" s="28"/>
      <c r="H605" s="30"/>
      <c r="I605" s="31"/>
      <c r="J605" s="28"/>
      <c r="K605" s="27"/>
      <c r="L605" s="8"/>
      <c r="M605" s="8"/>
      <c r="N605" s="8"/>
      <c r="O605" s="8"/>
      <c r="P605" s="8"/>
      <c r="Q605" s="8"/>
      <c r="R605" s="8"/>
      <c r="S605" s="8"/>
      <c r="T605" s="8"/>
      <c r="U605" s="8"/>
      <c r="V605" s="8"/>
      <c r="W605" s="8"/>
      <c r="X605" s="8"/>
      <c r="Y605" s="8"/>
      <c r="Z605" s="8"/>
    </row>
    <row r="606" ht="16.5" customHeight="1">
      <c r="A606" s="8"/>
      <c r="B606" s="27"/>
      <c r="C606" s="27"/>
      <c r="D606" s="27"/>
      <c r="E606" s="28"/>
      <c r="F606" s="29"/>
      <c r="G606" s="28"/>
      <c r="H606" s="30"/>
      <c r="I606" s="31"/>
      <c r="J606" s="28"/>
      <c r="K606" s="27"/>
      <c r="L606" s="8"/>
      <c r="M606" s="8"/>
      <c r="N606" s="8"/>
      <c r="O606" s="8"/>
      <c r="P606" s="8"/>
      <c r="Q606" s="8"/>
      <c r="R606" s="8"/>
      <c r="S606" s="8"/>
      <c r="T606" s="8"/>
      <c r="U606" s="8"/>
      <c r="V606" s="8"/>
      <c r="W606" s="8"/>
      <c r="X606" s="8"/>
      <c r="Y606" s="8"/>
      <c r="Z606" s="8"/>
    </row>
    <row r="607" ht="16.5" customHeight="1">
      <c r="A607" s="8"/>
      <c r="B607" s="27"/>
      <c r="C607" s="27"/>
      <c r="D607" s="27"/>
      <c r="E607" s="28"/>
      <c r="F607" s="29"/>
      <c r="G607" s="28"/>
      <c r="H607" s="30"/>
      <c r="I607" s="31"/>
      <c r="J607" s="28"/>
      <c r="K607" s="27"/>
      <c r="L607" s="8"/>
      <c r="M607" s="8"/>
      <c r="N607" s="8"/>
      <c r="O607" s="8"/>
      <c r="P607" s="8"/>
      <c r="Q607" s="8"/>
      <c r="R607" s="8"/>
      <c r="S607" s="8"/>
      <c r="T607" s="8"/>
      <c r="U607" s="8"/>
      <c r="V607" s="8"/>
      <c r="W607" s="8"/>
      <c r="X607" s="8"/>
      <c r="Y607" s="8"/>
      <c r="Z607" s="8"/>
    </row>
    <row r="608" ht="16.5" customHeight="1">
      <c r="A608" s="8"/>
      <c r="B608" s="27"/>
      <c r="C608" s="27"/>
      <c r="D608" s="27"/>
      <c r="E608" s="28"/>
      <c r="F608" s="29"/>
      <c r="G608" s="28"/>
      <c r="H608" s="30"/>
      <c r="I608" s="31"/>
      <c r="J608" s="28"/>
      <c r="K608" s="27"/>
      <c r="L608" s="8"/>
      <c r="M608" s="8"/>
      <c r="N608" s="8"/>
      <c r="O608" s="8"/>
      <c r="P608" s="8"/>
      <c r="Q608" s="8"/>
      <c r="R608" s="8"/>
      <c r="S608" s="8"/>
      <c r="T608" s="8"/>
      <c r="U608" s="8"/>
      <c r="V608" s="8"/>
      <c r="W608" s="8"/>
      <c r="X608" s="8"/>
      <c r="Y608" s="8"/>
      <c r="Z608" s="8"/>
    </row>
    <row r="609" ht="16.5" customHeight="1">
      <c r="A609" s="8"/>
      <c r="B609" s="27"/>
      <c r="C609" s="27"/>
      <c r="D609" s="27"/>
      <c r="E609" s="28"/>
      <c r="F609" s="29"/>
      <c r="G609" s="28"/>
      <c r="H609" s="30"/>
      <c r="I609" s="31"/>
      <c r="J609" s="28"/>
      <c r="K609" s="27"/>
      <c r="L609" s="8"/>
      <c r="M609" s="8"/>
      <c r="N609" s="8"/>
      <c r="O609" s="8"/>
      <c r="P609" s="8"/>
      <c r="Q609" s="8"/>
      <c r="R609" s="8"/>
      <c r="S609" s="8"/>
      <c r="T609" s="8"/>
      <c r="U609" s="8"/>
      <c r="V609" s="8"/>
      <c r="W609" s="8"/>
      <c r="X609" s="8"/>
      <c r="Y609" s="8"/>
      <c r="Z609" s="8"/>
    </row>
    <row r="610" ht="16.5" customHeight="1">
      <c r="A610" s="8"/>
      <c r="B610" s="27"/>
      <c r="C610" s="27"/>
      <c r="D610" s="27"/>
      <c r="E610" s="28"/>
      <c r="F610" s="29"/>
      <c r="G610" s="28"/>
      <c r="H610" s="30"/>
      <c r="I610" s="31"/>
      <c r="J610" s="28"/>
      <c r="K610" s="27"/>
      <c r="L610" s="8"/>
      <c r="M610" s="8"/>
      <c r="N610" s="8"/>
      <c r="O610" s="8"/>
      <c r="P610" s="8"/>
      <c r="Q610" s="8"/>
      <c r="R610" s="8"/>
      <c r="S610" s="8"/>
      <c r="T610" s="8"/>
      <c r="U610" s="8"/>
      <c r="V610" s="8"/>
      <c r="W610" s="8"/>
      <c r="X610" s="8"/>
      <c r="Y610" s="8"/>
      <c r="Z610" s="8"/>
    </row>
    <row r="611" ht="16.5" customHeight="1">
      <c r="A611" s="8"/>
      <c r="B611" s="27"/>
      <c r="C611" s="27"/>
      <c r="D611" s="27"/>
      <c r="E611" s="28"/>
      <c r="F611" s="29"/>
      <c r="G611" s="28"/>
      <c r="H611" s="30"/>
      <c r="I611" s="31"/>
      <c r="J611" s="28"/>
      <c r="K611" s="27"/>
      <c r="L611" s="8"/>
      <c r="M611" s="8"/>
      <c r="N611" s="8"/>
      <c r="O611" s="8"/>
      <c r="P611" s="8"/>
      <c r="Q611" s="8"/>
      <c r="R611" s="8"/>
      <c r="S611" s="8"/>
      <c r="T611" s="8"/>
      <c r="U611" s="8"/>
      <c r="V611" s="8"/>
      <c r="W611" s="8"/>
      <c r="X611" s="8"/>
      <c r="Y611" s="8"/>
      <c r="Z611" s="8"/>
    </row>
    <row r="612" ht="16.5" customHeight="1">
      <c r="A612" s="8"/>
      <c r="B612" s="27"/>
      <c r="C612" s="27"/>
      <c r="D612" s="27"/>
      <c r="E612" s="28"/>
      <c r="F612" s="29"/>
      <c r="G612" s="28"/>
      <c r="H612" s="30"/>
      <c r="I612" s="31"/>
      <c r="J612" s="28"/>
      <c r="K612" s="27"/>
      <c r="L612" s="8"/>
      <c r="M612" s="8"/>
      <c r="N612" s="8"/>
      <c r="O612" s="8"/>
      <c r="P612" s="8"/>
      <c r="Q612" s="8"/>
      <c r="R612" s="8"/>
      <c r="S612" s="8"/>
      <c r="T612" s="8"/>
      <c r="U612" s="8"/>
      <c r="V612" s="8"/>
      <c r="W612" s="8"/>
      <c r="X612" s="8"/>
      <c r="Y612" s="8"/>
      <c r="Z612" s="8"/>
    </row>
    <row r="613" ht="16.5" customHeight="1">
      <c r="A613" s="8"/>
      <c r="B613" s="27"/>
      <c r="C613" s="27"/>
      <c r="D613" s="27"/>
      <c r="E613" s="28"/>
      <c r="F613" s="29"/>
      <c r="G613" s="28"/>
      <c r="H613" s="30"/>
      <c r="I613" s="31"/>
      <c r="J613" s="28"/>
      <c r="K613" s="27"/>
      <c r="L613" s="8"/>
      <c r="M613" s="8"/>
      <c r="N613" s="8"/>
      <c r="O613" s="8"/>
      <c r="P613" s="8"/>
      <c r="Q613" s="8"/>
      <c r="R613" s="8"/>
      <c r="S613" s="8"/>
      <c r="T613" s="8"/>
      <c r="U613" s="8"/>
      <c r="V613" s="8"/>
      <c r="W613" s="8"/>
      <c r="X613" s="8"/>
      <c r="Y613" s="8"/>
      <c r="Z613" s="8"/>
    </row>
    <row r="614" ht="16.5" customHeight="1">
      <c r="A614" s="8"/>
      <c r="B614" s="27"/>
      <c r="C614" s="27"/>
      <c r="D614" s="27"/>
      <c r="E614" s="28"/>
      <c r="F614" s="29"/>
      <c r="G614" s="28"/>
      <c r="H614" s="30"/>
      <c r="I614" s="31"/>
      <c r="J614" s="28"/>
      <c r="K614" s="27"/>
      <c r="L614" s="8"/>
      <c r="M614" s="8"/>
      <c r="N614" s="8"/>
      <c r="O614" s="8"/>
      <c r="P614" s="8"/>
      <c r="Q614" s="8"/>
      <c r="R614" s="8"/>
      <c r="S614" s="8"/>
      <c r="T614" s="8"/>
      <c r="U614" s="8"/>
      <c r="V614" s="8"/>
      <c r="W614" s="8"/>
      <c r="X614" s="8"/>
      <c r="Y614" s="8"/>
      <c r="Z614" s="8"/>
    </row>
    <row r="615" ht="16.5" customHeight="1">
      <c r="A615" s="8"/>
      <c r="B615" s="27"/>
      <c r="C615" s="27"/>
      <c r="D615" s="27"/>
      <c r="E615" s="28"/>
      <c r="F615" s="29"/>
      <c r="G615" s="28"/>
      <c r="H615" s="30"/>
      <c r="I615" s="31"/>
      <c r="J615" s="28"/>
      <c r="K615" s="27"/>
      <c r="L615" s="8"/>
      <c r="M615" s="8"/>
      <c r="N615" s="8"/>
      <c r="O615" s="8"/>
      <c r="P615" s="8"/>
      <c r="Q615" s="8"/>
      <c r="R615" s="8"/>
      <c r="S615" s="8"/>
      <c r="T615" s="8"/>
      <c r="U615" s="8"/>
      <c r="V615" s="8"/>
      <c r="W615" s="8"/>
      <c r="X615" s="8"/>
      <c r="Y615" s="8"/>
      <c r="Z615" s="8"/>
    </row>
    <row r="616" ht="16.5" customHeight="1">
      <c r="A616" s="8"/>
      <c r="B616" s="27"/>
      <c r="C616" s="27"/>
      <c r="D616" s="27"/>
      <c r="E616" s="28"/>
      <c r="F616" s="29"/>
      <c r="G616" s="28"/>
      <c r="H616" s="30"/>
      <c r="I616" s="31"/>
      <c r="J616" s="28"/>
      <c r="K616" s="27"/>
      <c r="L616" s="8"/>
      <c r="M616" s="8"/>
      <c r="N616" s="8"/>
      <c r="O616" s="8"/>
      <c r="P616" s="8"/>
      <c r="Q616" s="8"/>
      <c r="R616" s="8"/>
      <c r="S616" s="8"/>
      <c r="T616" s="8"/>
      <c r="U616" s="8"/>
      <c r="V616" s="8"/>
      <c r="W616" s="8"/>
      <c r="X616" s="8"/>
      <c r="Y616" s="8"/>
      <c r="Z616" s="8"/>
    </row>
    <row r="617" ht="16.5" customHeight="1">
      <c r="A617" s="8"/>
      <c r="B617" s="27"/>
      <c r="C617" s="27"/>
      <c r="D617" s="27"/>
      <c r="E617" s="28"/>
      <c r="F617" s="29"/>
      <c r="G617" s="28"/>
      <c r="H617" s="30"/>
      <c r="I617" s="31"/>
      <c r="J617" s="28"/>
      <c r="K617" s="27"/>
      <c r="L617" s="8"/>
      <c r="M617" s="8"/>
      <c r="N617" s="8"/>
      <c r="O617" s="8"/>
      <c r="P617" s="8"/>
      <c r="Q617" s="8"/>
      <c r="R617" s="8"/>
      <c r="S617" s="8"/>
      <c r="T617" s="8"/>
      <c r="U617" s="8"/>
      <c r="V617" s="8"/>
      <c r="W617" s="8"/>
      <c r="X617" s="8"/>
      <c r="Y617" s="8"/>
      <c r="Z617" s="8"/>
    </row>
    <row r="618" ht="16.5" customHeight="1">
      <c r="A618" s="8"/>
      <c r="B618" s="27"/>
      <c r="C618" s="27"/>
      <c r="D618" s="27"/>
      <c r="E618" s="28"/>
      <c r="F618" s="29"/>
      <c r="G618" s="28"/>
      <c r="H618" s="30"/>
      <c r="I618" s="31"/>
      <c r="J618" s="28"/>
      <c r="K618" s="27"/>
      <c r="L618" s="8"/>
      <c r="M618" s="8"/>
      <c r="N618" s="8"/>
      <c r="O618" s="8"/>
      <c r="P618" s="8"/>
      <c r="Q618" s="8"/>
      <c r="R618" s="8"/>
      <c r="S618" s="8"/>
      <c r="T618" s="8"/>
      <c r="U618" s="8"/>
      <c r="V618" s="8"/>
      <c r="W618" s="8"/>
      <c r="X618" s="8"/>
      <c r="Y618" s="8"/>
      <c r="Z618" s="8"/>
    </row>
    <row r="619" ht="16.5" customHeight="1">
      <c r="A619" s="8"/>
      <c r="B619" s="27"/>
      <c r="C619" s="27"/>
      <c r="D619" s="27"/>
      <c r="E619" s="28"/>
      <c r="F619" s="29"/>
      <c r="G619" s="28"/>
      <c r="H619" s="30"/>
      <c r="I619" s="31"/>
      <c r="J619" s="28"/>
      <c r="K619" s="27"/>
      <c r="L619" s="8"/>
      <c r="M619" s="8"/>
      <c r="N619" s="8"/>
      <c r="O619" s="8"/>
      <c r="P619" s="8"/>
      <c r="Q619" s="8"/>
      <c r="R619" s="8"/>
      <c r="S619" s="8"/>
      <c r="T619" s="8"/>
      <c r="U619" s="8"/>
      <c r="V619" s="8"/>
      <c r="W619" s="8"/>
      <c r="X619" s="8"/>
      <c r="Y619" s="8"/>
      <c r="Z619" s="8"/>
    </row>
    <row r="620" ht="16.5" customHeight="1">
      <c r="A620" s="8"/>
      <c r="B620" s="27"/>
      <c r="C620" s="27"/>
      <c r="D620" s="27"/>
      <c r="E620" s="28"/>
      <c r="F620" s="29"/>
      <c r="G620" s="28"/>
      <c r="H620" s="30"/>
      <c r="I620" s="31"/>
      <c r="J620" s="28"/>
      <c r="K620" s="27"/>
      <c r="L620" s="8"/>
      <c r="M620" s="8"/>
      <c r="N620" s="8"/>
      <c r="O620" s="8"/>
      <c r="P620" s="8"/>
      <c r="Q620" s="8"/>
      <c r="R620" s="8"/>
      <c r="S620" s="8"/>
      <c r="T620" s="8"/>
      <c r="U620" s="8"/>
      <c r="V620" s="8"/>
      <c r="W620" s="8"/>
      <c r="X620" s="8"/>
      <c r="Y620" s="8"/>
      <c r="Z620" s="8"/>
    </row>
    <row r="621" ht="16.5" customHeight="1">
      <c r="A621" s="8"/>
      <c r="B621" s="27"/>
      <c r="C621" s="27"/>
      <c r="D621" s="27"/>
      <c r="E621" s="28"/>
      <c r="F621" s="29"/>
      <c r="G621" s="28"/>
      <c r="H621" s="30"/>
      <c r="I621" s="31"/>
      <c r="J621" s="28"/>
      <c r="K621" s="27"/>
      <c r="L621" s="8"/>
      <c r="M621" s="8"/>
      <c r="N621" s="8"/>
      <c r="O621" s="8"/>
      <c r="P621" s="8"/>
      <c r="Q621" s="8"/>
      <c r="R621" s="8"/>
      <c r="S621" s="8"/>
      <c r="T621" s="8"/>
      <c r="U621" s="8"/>
      <c r="V621" s="8"/>
      <c r="W621" s="8"/>
      <c r="X621" s="8"/>
      <c r="Y621" s="8"/>
      <c r="Z621" s="8"/>
    </row>
    <row r="622" ht="16.5" customHeight="1">
      <c r="A622" s="8"/>
      <c r="B622" s="27"/>
      <c r="C622" s="27"/>
      <c r="D622" s="27"/>
      <c r="E622" s="28"/>
      <c r="F622" s="29"/>
      <c r="G622" s="28"/>
      <c r="H622" s="30"/>
      <c r="I622" s="31"/>
      <c r="J622" s="28"/>
      <c r="K622" s="27"/>
      <c r="L622" s="8"/>
      <c r="M622" s="8"/>
      <c r="N622" s="8"/>
      <c r="O622" s="8"/>
      <c r="P622" s="8"/>
      <c r="Q622" s="8"/>
      <c r="R622" s="8"/>
      <c r="S622" s="8"/>
      <c r="T622" s="8"/>
      <c r="U622" s="8"/>
      <c r="V622" s="8"/>
      <c r="W622" s="8"/>
      <c r="X622" s="8"/>
      <c r="Y622" s="8"/>
      <c r="Z622" s="8"/>
    </row>
    <row r="623" ht="16.5" customHeight="1">
      <c r="A623" s="8"/>
      <c r="B623" s="27"/>
      <c r="C623" s="27"/>
      <c r="D623" s="27"/>
      <c r="E623" s="28"/>
      <c r="F623" s="29"/>
      <c r="G623" s="28"/>
      <c r="H623" s="30"/>
      <c r="I623" s="31"/>
      <c r="J623" s="28"/>
      <c r="K623" s="27"/>
      <c r="L623" s="8"/>
      <c r="M623" s="8"/>
      <c r="N623" s="8"/>
      <c r="O623" s="8"/>
      <c r="P623" s="8"/>
      <c r="Q623" s="8"/>
      <c r="R623" s="8"/>
      <c r="S623" s="8"/>
      <c r="T623" s="8"/>
      <c r="U623" s="8"/>
      <c r="V623" s="8"/>
      <c r="W623" s="8"/>
      <c r="X623" s="8"/>
      <c r="Y623" s="8"/>
      <c r="Z623" s="8"/>
    </row>
    <row r="624" ht="16.5" customHeight="1">
      <c r="A624" s="8"/>
      <c r="B624" s="27"/>
      <c r="C624" s="27"/>
      <c r="D624" s="27"/>
      <c r="E624" s="28"/>
      <c r="F624" s="29"/>
      <c r="G624" s="28"/>
      <c r="H624" s="30"/>
      <c r="I624" s="31"/>
      <c r="J624" s="28"/>
      <c r="K624" s="27"/>
      <c r="L624" s="8"/>
      <c r="M624" s="8"/>
      <c r="N624" s="8"/>
      <c r="O624" s="8"/>
      <c r="P624" s="8"/>
      <c r="Q624" s="8"/>
      <c r="R624" s="8"/>
      <c r="S624" s="8"/>
      <c r="T624" s="8"/>
      <c r="U624" s="8"/>
      <c r="V624" s="8"/>
      <c r="W624" s="8"/>
      <c r="X624" s="8"/>
      <c r="Y624" s="8"/>
      <c r="Z624" s="8"/>
    </row>
    <row r="625" ht="16.5" customHeight="1">
      <c r="A625" s="8"/>
      <c r="B625" s="27"/>
      <c r="C625" s="27"/>
      <c r="D625" s="27"/>
      <c r="E625" s="28"/>
      <c r="F625" s="29"/>
      <c r="G625" s="28"/>
      <c r="H625" s="30"/>
      <c r="I625" s="31"/>
      <c r="J625" s="28"/>
      <c r="K625" s="27"/>
      <c r="L625" s="8"/>
      <c r="M625" s="8"/>
      <c r="N625" s="8"/>
      <c r="O625" s="8"/>
      <c r="P625" s="8"/>
      <c r="Q625" s="8"/>
      <c r="R625" s="8"/>
      <c r="S625" s="8"/>
      <c r="T625" s="8"/>
      <c r="U625" s="8"/>
      <c r="V625" s="8"/>
      <c r="W625" s="8"/>
      <c r="X625" s="8"/>
      <c r="Y625" s="8"/>
      <c r="Z625" s="8"/>
    </row>
    <row r="626" ht="16.5" customHeight="1">
      <c r="A626" s="8"/>
      <c r="B626" s="27"/>
      <c r="C626" s="27"/>
      <c r="D626" s="27"/>
      <c r="E626" s="28"/>
      <c r="F626" s="29"/>
      <c r="G626" s="28"/>
      <c r="H626" s="30"/>
      <c r="I626" s="31"/>
      <c r="J626" s="28"/>
      <c r="K626" s="27"/>
      <c r="L626" s="8"/>
      <c r="M626" s="8"/>
      <c r="N626" s="8"/>
      <c r="O626" s="8"/>
      <c r="P626" s="8"/>
      <c r="Q626" s="8"/>
      <c r="R626" s="8"/>
      <c r="S626" s="8"/>
      <c r="T626" s="8"/>
      <c r="U626" s="8"/>
      <c r="V626" s="8"/>
      <c r="W626" s="8"/>
      <c r="X626" s="8"/>
      <c r="Y626" s="8"/>
      <c r="Z626" s="8"/>
    </row>
    <row r="627" ht="16.5" customHeight="1">
      <c r="A627" s="8"/>
      <c r="B627" s="27"/>
      <c r="C627" s="27"/>
      <c r="D627" s="27"/>
      <c r="E627" s="28"/>
      <c r="F627" s="29"/>
      <c r="G627" s="28"/>
      <c r="H627" s="30"/>
      <c r="I627" s="31"/>
      <c r="J627" s="28"/>
      <c r="K627" s="27"/>
      <c r="L627" s="8"/>
      <c r="M627" s="8"/>
      <c r="N627" s="8"/>
      <c r="O627" s="8"/>
      <c r="P627" s="8"/>
      <c r="Q627" s="8"/>
      <c r="R627" s="8"/>
      <c r="S627" s="8"/>
      <c r="T627" s="8"/>
      <c r="U627" s="8"/>
      <c r="V627" s="8"/>
      <c r="W627" s="8"/>
      <c r="X627" s="8"/>
      <c r="Y627" s="8"/>
      <c r="Z627" s="8"/>
    </row>
    <row r="628" ht="16.5" customHeight="1">
      <c r="A628" s="8"/>
      <c r="B628" s="27"/>
      <c r="C628" s="27"/>
      <c r="D628" s="27"/>
      <c r="E628" s="28"/>
      <c r="F628" s="29"/>
      <c r="G628" s="28"/>
      <c r="H628" s="30"/>
      <c r="I628" s="31"/>
      <c r="J628" s="28"/>
      <c r="K628" s="27"/>
      <c r="L628" s="8"/>
      <c r="M628" s="8"/>
      <c r="N628" s="8"/>
      <c r="O628" s="8"/>
      <c r="P628" s="8"/>
      <c r="Q628" s="8"/>
      <c r="R628" s="8"/>
      <c r="S628" s="8"/>
      <c r="T628" s="8"/>
      <c r="U628" s="8"/>
      <c r="V628" s="8"/>
      <c r="W628" s="8"/>
      <c r="X628" s="8"/>
      <c r="Y628" s="8"/>
      <c r="Z628" s="8"/>
    </row>
    <row r="629" ht="16.5" customHeight="1">
      <c r="A629" s="8"/>
      <c r="B629" s="27"/>
      <c r="C629" s="27"/>
      <c r="D629" s="27"/>
      <c r="E629" s="28"/>
      <c r="F629" s="29"/>
      <c r="G629" s="28"/>
      <c r="H629" s="30"/>
      <c r="I629" s="31"/>
      <c r="J629" s="28"/>
      <c r="K629" s="27"/>
      <c r="L629" s="8"/>
      <c r="M629" s="8"/>
      <c r="N629" s="8"/>
      <c r="O629" s="8"/>
      <c r="P629" s="8"/>
      <c r="Q629" s="8"/>
      <c r="R629" s="8"/>
      <c r="S629" s="8"/>
      <c r="T629" s="8"/>
      <c r="U629" s="8"/>
      <c r="V629" s="8"/>
      <c r="W629" s="8"/>
      <c r="X629" s="8"/>
      <c r="Y629" s="8"/>
      <c r="Z629" s="8"/>
    </row>
    <row r="630" ht="16.5" customHeight="1">
      <c r="A630" s="8"/>
      <c r="B630" s="27"/>
      <c r="C630" s="27"/>
      <c r="D630" s="27"/>
      <c r="E630" s="28"/>
      <c r="F630" s="29"/>
      <c r="G630" s="28"/>
      <c r="H630" s="30"/>
      <c r="I630" s="31"/>
      <c r="J630" s="28"/>
      <c r="K630" s="27"/>
      <c r="L630" s="8"/>
      <c r="M630" s="8"/>
      <c r="N630" s="8"/>
      <c r="O630" s="8"/>
      <c r="P630" s="8"/>
      <c r="Q630" s="8"/>
      <c r="R630" s="8"/>
      <c r="S630" s="8"/>
      <c r="T630" s="8"/>
      <c r="U630" s="8"/>
      <c r="V630" s="8"/>
      <c r="W630" s="8"/>
      <c r="X630" s="8"/>
      <c r="Y630" s="8"/>
      <c r="Z630" s="8"/>
    </row>
    <row r="631" ht="16.5" customHeight="1">
      <c r="A631" s="8"/>
      <c r="B631" s="27"/>
      <c r="C631" s="27"/>
      <c r="D631" s="27"/>
      <c r="E631" s="28"/>
      <c r="F631" s="29"/>
      <c r="G631" s="28"/>
      <c r="H631" s="30"/>
      <c r="I631" s="31"/>
      <c r="J631" s="28"/>
      <c r="K631" s="27"/>
      <c r="L631" s="8"/>
      <c r="M631" s="8"/>
      <c r="N631" s="8"/>
      <c r="O631" s="8"/>
      <c r="P631" s="8"/>
      <c r="Q631" s="8"/>
      <c r="R631" s="8"/>
      <c r="S631" s="8"/>
      <c r="T631" s="8"/>
      <c r="U631" s="8"/>
      <c r="V631" s="8"/>
      <c r="W631" s="8"/>
      <c r="X631" s="8"/>
      <c r="Y631" s="8"/>
      <c r="Z631" s="8"/>
    </row>
    <row r="632" ht="16.5" customHeight="1">
      <c r="A632" s="8"/>
      <c r="B632" s="27"/>
      <c r="C632" s="27"/>
      <c r="D632" s="27"/>
      <c r="E632" s="28"/>
      <c r="F632" s="29"/>
      <c r="G632" s="28"/>
      <c r="H632" s="30"/>
      <c r="I632" s="31"/>
      <c r="J632" s="28"/>
      <c r="K632" s="27"/>
      <c r="L632" s="8"/>
      <c r="M632" s="8"/>
      <c r="N632" s="8"/>
      <c r="O632" s="8"/>
      <c r="P632" s="8"/>
      <c r="Q632" s="8"/>
      <c r="R632" s="8"/>
      <c r="S632" s="8"/>
      <c r="T632" s="8"/>
      <c r="U632" s="8"/>
      <c r="V632" s="8"/>
      <c r="W632" s="8"/>
      <c r="X632" s="8"/>
      <c r="Y632" s="8"/>
      <c r="Z632" s="8"/>
    </row>
    <row r="633" ht="16.5" customHeight="1">
      <c r="A633" s="8"/>
      <c r="B633" s="27"/>
      <c r="C633" s="27"/>
      <c r="D633" s="27"/>
      <c r="E633" s="28"/>
      <c r="F633" s="29"/>
      <c r="G633" s="28"/>
      <c r="H633" s="30"/>
      <c r="I633" s="31"/>
      <c r="J633" s="28"/>
      <c r="K633" s="27"/>
      <c r="L633" s="8"/>
      <c r="M633" s="8"/>
      <c r="N633" s="8"/>
      <c r="O633" s="8"/>
      <c r="P633" s="8"/>
      <c r="Q633" s="8"/>
      <c r="R633" s="8"/>
      <c r="S633" s="8"/>
      <c r="T633" s="8"/>
      <c r="U633" s="8"/>
      <c r="V633" s="8"/>
      <c r="W633" s="8"/>
      <c r="X633" s="8"/>
      <c r="Y633" s="8"/>
      <c r="Z633" s="8"/>
    </row>
    <row r="634" ht="16.5" customHeight="1">
      <c r="A634" s="8"/>
      <c r="B634" s="27"/>
      <c r="C634" s="27"/>
      <c r="D634" s="27"/>
      <c r="E634" s="28"/>
      <c r="F634" s="29"/>
      <c r="G634" s="28"/>
      <c r="H634" s="30"/>
      <c r="I634" s="31"/>
      <c r="J634" s="28"/>
      <c r="K634" s="27"/>
      <c r="L634" s="8"/>
      <c r="M634" s="8"/>
      <c r="N634" s="8"/>
      <c r="O634" s="8"/>
      <c r="P634" s="8"/>
      <c r="Q634" s="8"/>
      <c r="R634" s="8"/>
      <c r="S634" s="8"/>
      <c r="T634" s="8"/>
      <c r="U634" s="8"/>
      <c r="V634" s="8"/>
      <c r="W634" s="8"/>
      <c r="X634" s="8"/>
      <c r="Y634" s="8"/>
      <c r="Z634" s="8"/>
    </row>
    <row r="635" ht="16.5" customHeight="1">
      <c r="A635" s="8"/>
      <c r="B635" s="27"/>
      <c r="C635" s="27"/>
      <c r="D635" s="27"/>
      <c r="E635" s="28"/>
      <c r="F635" s="29"/>
      <c r="G635" s="28"/>
      <c r="H635" s="30"/>
      <c r="I635" s="31"/>
      <c r="J635" s="28"/>
      <c r="K635" s="27"/>
      <c r="L635" s="8"/>
      <c r="M635" s="8"/>
      <c r="N635" s="8"/>
      <c r="O635" s="8"/>
      <c r="P635" s="8"/>
      <c r="Q635" s="8"/>
      <c r="R635" s="8"/>
      <c r="S635" s="8"/>
      <c r="T635" s="8"/>
      <c r="U635" s="8"/>
      <c r="V635" s="8"/>
      <c r="W635" s="8"/>
      <c r="X635" s="8"/>
      <c r="Y635" s="8"/>
      <c r="Z635" s="8"/>
    </row>
    <row r="636" ht="16.5" customHeight="1">
      <c r="A636" s="8"/>
      <c r="B636" s="27"/>
      <c r="C636" s="27"/>
      <c r="D636" s="27"/>
      <c r="E636" s="28"/>
      <c r="F636" s="29"/>
      <c r="G636" s="28"/>
      <c r="H636" s="30"/>
      <c r="I636" s="31"/>
      <c r="J636" s="28"/>
      <c r="K636" s="27"/>
      <c r="L636" s="8"/>
      <c r="M636" s="8"/>
      <c r="N636" s="8"/>
      <c r="O636" s="8"/>
      <c r="P636" s="8"/>
      <c r="Q636" s="8"/>
      <c r="R636" s="8"/>
      <c r="S636" s="8"/>
      <c r="T636" s="8"/>
      <c r="U636" s="8"/>
      <c r="V636" s="8"/>
      <c r="W636" s="8"/>
      <c r="X636" s="8"/>
      <c r="Y636" s="8"/>
      <c r="Z636" s="8"/>
    </row>
    <row r="637" ht="16.5" customHeight="1">
      <c r="A637" s="8"/>
      <c r="B637" s="27"/>
      <c r="C637" s="27"/>
      <c r="D637" s="27"/>
      <c r="E637" s="28"/>
      <c r="F637" s="29"/>
      <c r="G637" s="28"/>
      <c r="H637" s="30"/>
      <c r="I637" s="31"/>
      <c r="J637" s="28"/>
      <c r="K637" s="27"/>
      <c r="L637" s="8"/>
      <c r="M637" s="8"/>
      <c r="N637" s="8"/>
      <c r="O637" s="8"/>
      <c r="P637" s="8"/>
      <c r="Q637" s="8"/>
      <c r="R637" s="8"/>
      <c r="S637" s="8"/>
      <c r="T637" s="8"/>
      <c r="U637" s="8"/>
      <c r="V637" s="8"/>
      <c r="W637" s="8"/>
      <c r="X637" s="8"/>
      <c r="Y637" s="8"/>
      <c r="Z637" s="8"/>
    </row>
    <row r="638" ht="16.5" customHeight="1">
      <c r="A638" s="8"/>
      <c r="B638" s="27"/>
      <c r="C638" s="27"/>
      <c r="D638" s="27"/>
      <c r="E638" s="28"/>
      <c r="F638" s="29"/>
      <c r="G638" s="28"/>
      <c r="H638" s="30"/>
      <c r="I638" s="31"/>
      <c r="J638" s="28"/>
      <c r="K638" s="27"/>
      <c r="L638" s="8"/>
      <c r="M638" s="8"/>
      <c r="N638" s="8"/>
      <c r="O638" s="8"/>
      <c r="P638" s="8"/>
      <c r="Q638" s="8"/>
      <c r="R638" s="8"/>
      <c r="S638" s="8"/>
      <c r="T638" s="8"/>
      <c r="U638" s="8"/>
      <c r="V638" s="8"/>
      <c r="W638" s="8"/>
      <c r="X638" s="8"/>
      <c r="Y638" s="8"/>
      <c r="Z638" s="8"/>
    </row>
    <row r="639" ht="16.5" customHeight="1">
      <c r="A639" s="8"/>
      <c r="B639" s="27"/>
      <c r="C639" s="27"/>
      <c r="D639" s="27"/>
      <c r="E639" s="28"/>
      <c r="F639" s="29"/>
      <c r="G639" s="28"/>
      <c r="H639" s="30"/>
      <c r="I639" s="31"/>
      <c r="J639" s="28"/>
      <c r="K639" s="27"/>
      <c r="L639" s="8"/>
      <c r="M639" s="8"/>
      <c r="N639" s="8"/>
      <c r="O639" s="8"/>
      <c r="P639" s="8"/>
      <c r="Q639" s="8"/>
      <c r="R639" s="8"/>
      <c r="S639" s="8"/>
      <c r="T639" s="8"/>
      <c r="U639" s="8"/>
      <c r="V639" s="8"/>
      <c r="W639" s="8"/>
      <c r="X639" s="8"/>
      <c r="Y639" s="8"/>
      <c r="Z639" s="8"/>
    </row>
    <row r="640" ht="16.5" customHeight="1">
      <c r="A640" s="8"/>
      <c r="B640" s="27"/>
      <c r="C640" s="27"/>
      <c r="D640" s="27"/>
      <c r="E640" s="28"/>
      <c r="F640" s="29"/>
      <c r="G640" s="28"/>
      <c r="H640" s="30"/>
      <c r="I640" s="31"/>
      <c r="J640" s="28"/>
      <c r="K640" s="27"/>
      <c r="L640" s="8"/>
      <c r="M640" s="8"/>
      <c r="N640" s="8"/>
      <c r="O640" s="8"/>
      <c r="P640" s="8"/>
      <c r="Q640" s="8"/>
      <c r="R640" s="8"/>
      <c r="S640" s="8"/>
      <c r="T640" s="8"/>
      <c r="U640" s="8"/>
      <c r="V640" s="8"/>
      <c r="W640" s="8"/>
      <c r="X640" s="8"/>
      <c r="Y640" s="8"/>
      <c r="Z640" s="8"/>
    </row>
    <row r="641" ht="16.5" customHeight="1">
      <c r="A641" s="8"/>
      <c r="B641" s="27"/>
      <c r="C641" s="27"/>
      <c r="D641" s="27"/>
      <c r="E641" s="28"/>
      <c r="F641" s="29"/>
      <c r="G641" s="28"/>
      <c r="H641" s="30"/>
      <c r="I641" s="31"/>
      <c r="J641" s="28"/>
      <c r="K641" s="27"/>
      <c r="L641" s="8"/>
      <c r="M641" s="8"/>
      <c r="N641" s="8"/>
      <c r="O641" s="8"/>
      <c r="P641" s="8"/>
      <c r="Q641" s="8"/>
      <c r="R641" s="8"/>
      <c r="S641" s="8"/>
      <c r="T641" s="8"/>
      <c r="U641" s="8"/>
      <c r="V641" s="8"/>
      <c r="W641" s="8"/>
      <c r="X641" s="8"/>
      <c r="Y641" s="8"/>
      <c r="Z641" s="8"/>
    </row>
    <row r="642" ht="16.5" customHeight="1">
      <c r="A642" s="8"/>
      <c r="B642" s="27"/>
      <c r="C642" s="27"/>
      <c r="D642" s="27"/>
      <c r="E642" s="28"/>
      <c r="F642" s="29"/>
      <c r="G642" s="28"/>
      <c r="H642" s="30"/>
      <c r="I642" s="31"/>
      <c r="J642" s="28"/>
      <c r="K642" s="27"/>
      <c r="L642" s="8"/>
      <c r="M642" s="8"/>
      <c r="N642" s="8"/>
      <c r="O642" s="8"/>
      <c r="P642" s="8"/>
      <c r="Q642" s="8"/>
      <c r="R642" s="8"/>
      <c r="S642" s="8"/>
      <c r="T642" s="8"/>
      <c r="U642" s="8"/>
      <c r="V642" s="8"/>
      <c r="W642" s="8"/>
      <c r="X642" s="8"/>
      <c r="Y642" s="8"/>
      <c r="Z642" s="8"/>
    </row>
    <row r="643" ht="16.5" customHeight="1">
      <c r="A643" s="8"/>
      <c r="B643" s="27"/>
      <c r="C643" s="27"/>
      <c r="D643" s="27"/>
      <c r="E643" s="28"/>
      <c r="F643" s="29"/>
      <c r="G643" s="28"/>
      <c r="H643" s="30"/>
      <c r="I643" s="31"/>
      <c r="J643" s="28"/>
      <c r="K643" s="27"/>
      <c r="L643" s="8"/>
      <c r="M643" s="8"/>
      <c r="N643" s="8"/>
      <c r="O643" s="8"/>
      <c r="P643" s="8"/>
      <c r="Q643" s="8"/>
      <c r="R643" s="8"/>
      <c r="S643" s="8"/>
      <c r="T643" s="8"/>
      <c r="U643" s="8"/>
      <c r="V643" s="8"/>
      <c r="W643" s="8"/>
      <c r="X643" s="8"/>
      <c r="Y643" s="8"/>
      <c r="Z643" s="8"/>
    </row>
    <row r="644" ht="16.5" customHeight="1">
      <c r="A644" s="8"/>
      <c r="B644" s="27"/>
      <c r="C644" s="27"/>
      <c r="D644" s="27"/>
      <c r="E644" s="28"/>
      <c r="F644" s="29"/>
      <c r="G644" s="28"/>
      <c r="H644" s="30"/>
      <c r="I644" s="31"/>
      <c r="J644" s="28"/>
      <c r="K644" s="27"/>
      <c r="L644" s="8"/>
      <c r="M644" s="8"/>
      <c r="N644" s="8"/>
      <c r="O644" s="8"/>
      <c r="P644" s="8"/>
      <c r="Q644" s="8"/>
      <c r="R644" s="8"/>
      <c r="S644" s="8"/>
      <c r="T644" s="8"/>
      <c r="U644" s="8"/>
      <c r="V644" s="8"/>
      <c r="W644" s="8"/>
      <c r="X644" s="8"/>
      <c r="Y644" s="8"/>
      <c r="Z644" s="8"/>
    </row>
    <row r="645" ht="16.5" customHeight="1">
      <c r="A645" s="8"/>
      <c r="B645" s="27"/>
      <c r="C645" s="27"/>
      <c r="D645" s="27"/>
      <c r="E645" s="28"/>
      <c r="F645" s="29"/>
      <c r="G645" s="28"/>
      <c r="H645" s="30"/>
      <c r="I645" s="31"/>
      <c r="J645" s="28"/>
      <c r="K645" s="27"/>
      <c r="L645" s="8"/>
      <c r="M645" s="8"/>
      <c r="N645" s="8"/>
      <c r="O645" s="8"/>
      <c r="P645" s="8"/>
      <c r="Q645" s="8"/>
      <c r="R645" s="8"/>
      <c r="S645" s="8"/>
      <c r="T645" s="8"/>
      <c r="U645" s="8"/>
      <c r="V645" s="8"/>
      <c r="W645" s="8"/>
      <c r="X645" s="8"/>
      <c r="Y645" s="8"/>
      <c r="Z645" s="8"/>
    </row>
    <row r="646" ht="16.5" customHeight="1">
      <c r="A646" s="8"/>
      <c r="B646" s="27"/>
      <c r="C646" s="27"/>
      <c r="D646" s="27"/>
      <c r="E646" s="28"/>
      <c r="F646" s="29"/>
      <c r="G646" s="28"/>
      <c r="H646" s="30"/>
      <c r="I646" s="31"/>
      <c r="J646" s="28"/>
      <c r="K646" s="27"/>
      <c r="L646" s="8"/>
      <c r="M646" s="8"/>
      <c r="N646" s="8"/>
      <c r="O646" s="8"/>
      <c r="P646" s="8"/>
      <c r="Q646" s="8"/>
      <c r="R646" s="8"/>
      <c r="S646" s="8"/>
      <c r="T646" s="8"/>
      <c r="U646" s="8"/>
      <c r="V646" s="8"/>
      <c r="W646" s="8"/>
      <c r="X646" s="8"/>
      <c r="Y646" s="8"/>
      <c r="Z646" s="8"/>
    </row>
    <row r="647" ht="16.5" customHeight="1">
      <c r="A647" s="8"/>
      <c r="B647" s="27"/>
      <c r="C647" s="27"/>
      <c r="D647" s="27"/>
      <c r="E647" s="28"/>
      <c r="F647" s="29"/>
      <c r="G647" s="28"/>
      <c r="H647" s="30"/>
      <c r="I647" s="31"/>
      <c r="J647" s="28"/>
      <c r="K647" s="27"/>
      <c r="L647" s="8"/>
      <c r="M647" s="8"/>
      <c r="N647" s="8"/>
      <c r="O647" s="8"/>
      <c r="P647" s="8"/>
      <c r="Q647" s="8"/>
      <c r="R647" s="8"/>
      <c r="S647" s="8"/>
      <c r="T647" s="8"/>
      <c r="U647" s="8"/>
      <c r="V647" s="8"/>
      <c r="W647" s="8"/>
      <c r="X647" s="8"/>
      <c r="Y647" s="8"/>
      <c r="Z647" s="8"/>
    </row>
    <row r="648" ht="16.5" customHeight="1">
      <c r="A648" s="8"/>
      <c r="B648" s="27"/>
      <c r="C648" s="27"/>
      <c r="D648" s="27"/>
      <c r="E648" s="28"/>
      <c r="F648" s="29"/>
      <c r="G648" s="28"/>
      <c r="H648" s="30"/>
      <c r="I648" s="31"/>
      <c r="J648" s="28"/>
      <c r="K648" s="27"/>
      <c r="L648" s="8"/>
      <c r="M648" s="8"/>
      <c r="N648" s="8"/>
      <c r="O648" s="8"/>
      <c r="P648" s="8"/>
      <c r="Q648" s="8"/>
      <c r="R648" s="8"/>
      <c r="S648" s="8"/>
      <c r="T648" s="8"/>
      <c r="U648" s="8"/>
      <c r="V648" s="8"/>
      <c r="W648" s="8"/>
      <c r="X648" s="8"/>
      <c r="Y648" s="8"/>
      <c r="Z648" s="8"/>
    </row>
    <row r="649" ht="16.5" customHeight="1">
      <c r="A649" s="8"/>
      <c r="B649" s="27"/>
      <c r="C649" s="27"/>
      <c r="D649" s="27"/>
      <c r="E649" s="28"/>
      <c r="F649" s="29"/>
      <c r="G649" s="28"/>
      <c r="H649" s="30"/>
      <c r="I649" s="31"/>
      <c r="J649" s="28"/>
      <c r="K649" s="27"/>
      <c r="L649" s="8"/>
      <c r="M649" s="8"/>
      <c r="N649" s="8"/>
      <c r="O649" s="8"/>
      <c r="P649" s="8"/>
      <c r="Q649" s="8"/>
      <c r="R649" s="8"/>
      <c r="S649" s="8"/>
      <c r="T649" s="8"/>
      <c r="U649" s="8"/>
      <c r="V649" s="8"/>
      <c r="W649" s="8"/>
      <c r="X649" s="8"/>
      <c r="Y649" s="8"/>
      <c r="Z649" s="8"/>
    </row>
    <row r="650" ht="16.5" customHeight="1">
      <c r="A650" s="8"/>
      <c r="B650" s="27"/>
      <c r="C650" s="27"/>
      <c r="D650" s="27"/>
      <c r="E650" s="28"/>
      <c r="F650" s="29"/>
      <c r="G650" s="28"/>
      <c r="H650" s="30"/>
      <c r="I650" s="31"/>
      <c r="J650" s="28"/>
      <c r="K650" s="27"/>
      <c r="L650" s="8"/>
      <c r="M650" s="8"/>
      <c r="N650" s="8"/>
      <c r="O650" s="8"/>
      <c r="P650" s="8"/>
      <c r="Q650" s="8"/>
      <c r="R650" s="8"/>
      <c r="S650" s="8"/>
      <c r="T650" s="8"/>
      <c r="U650" s="8"/>
      <c r="V650" s="8"/>
      <c r="W650" s="8"/>
      <c r="X650" s="8"/>
      <c r="Y650" s="8"/>
      <c r="Z650" s="8"/>
    </row>
    <row r="651" ht="16.5" customHeight="1">
      <c r="A651" s="8"/>
      <c r="B651" s="27"/>
      <c r="C651" s="27"/>
      <c r="D651" s="27"/>
      <c r="E651" s="28"/>
      <c r="F651" s="29"/>
      <c r="G651" s="28"/>
      <c r="H651" s="30"/>
      <c r="I651" s="31"/>
      <c r="J651" s="28"/>
      <c r="K651" s="27"/>
      <c r="L651" s="8"/>
      <c r="M651" s="8"/>
      <c r="N651" s="8"/>
      <c r="O651" s="8"/>
      <c r="P651" s="8"/>
      <c r="Q651" s="8"/>
      <c r="R651" s="8"/>
      <c r="S651" s="8"/>
      <c r="T651" s="8"/>
      <c r="U651" s="8"/>
      <c r="V651" s="8"/>
      <c r="W651" s="8"/>
      <c r="X651" s="8"/>
      <c r="Y651" s="8"/>
      <c r="Z651" s="8"/>
    </row>
    <row r="652" ht="16.5" customHeight="1">
      <c r="A652" s="8"/>
      <c r="B652" s="27"/>
      <c r="C652" s="27"/>
      <c r="D652" s="27"/>
      <c r="E652" s="28"/>
      <c r="F652" s="29"/>
      <c r="G652" s="28"/>
      <c r="H652" s="30"/>
      <c r="I652" s="31"/>
      <c r="J652" s="28"/>
      <c r="K652" s="27"/>
      <c r="L652" s="8"/>
      <c r="M652" s="8"/>
      <c r="N652" s="8"/>
      <c r="O652" s="8"/>
      <c r="P652" s="8"/>
      <c r="Q652" s="8"/>
      <c r="R652" s="8"/>
      <c r="S652" s="8"/>
      <c r="T652" s="8"/>
      <c r="U652" s="8"/>
      <c r="V652" s="8"/>
      <c r="W652" s="8"/>
      <c r="X652" s="8"/>
      <c r="Y652" s="8"/>
      <c r="Z652" s="8"/>
    </row>
    <row r="653" ht="16.5" customHeight="1">
      <c r="A653" s="8"/>
      <c r="B653" s="27"/>
      <c r="C653" s="27"/>
      <c r="D653" s="27"/>
      <c r="E653" s="28"/>
      <c r="F653" s="29"/>
      <c r="G653" s="28"/>
      <c r="H653" s="30"/>
      <c r="I653" s="31"/>
      <c r="J653" s="28"/>
      <c r="K653" s="27"/>
      <c r="L653" s="8"/>
      <c r="M653" s="8"/>
      <c r="N653" s="8"/>
      <c r="O653" s="8"/>
      <c r="P653" s="8"/>
      <c r="Q653" s="8"/>
      <c r="R653" s="8"/>
      <c r="S653" s="8"/>
      <c r="T653" s="8"/>
      <c r="U653" s="8"/>
      <c r="V653" s="8"/>
      <c r="W653" s="8"/>
      <c r="X653" s="8"/>
      <c r="Y653" s="8"/>
      <c r="Z653" s="8"/>
    </row>
    <row r="654" ht="16.5" customHeight="1">
      <c r="A654" s="8"/>
      <c r="B654" s="27"/>
      <c r="C654" s="27"/>
      <c r="D654" s="27"/>
      <c r="E654" s="28"/>
      <c r="F654" s="29"/>
      <c r="G654" s="28"/>
      <c r="H654" s="30"/>
      <c r="I654" s="31"/>
      <c r="J654" s="28"/>
      <c r="K654" s="27"/>
      <c r="L654" s="8"/>
      <c r="M654" s="8"/>
      <c r="N654" s="8"/>
      <c r="O654" s="8"/>
      <c r="P654" s="8"/>
      <c r="Q654" s="8"/>
      <c r="R654" s="8"/>
      <c r="S654" s="8"/>
      <c r="T654" s="8"/>
      <c r="U654" s="8"/>
      <c r="V654" s="8"/>
      <c r="W654" s="8"/>
      <c r="X654" s="8"/>
      <c r="Y654" s="8"/>
      <c r="Z654" s="8"/>
    </row>
    <row r="655" ht="16.5" customHeight="1">
      <c r="A655" s="8"/>
      <c r="B655" s="27"/>
      <c r="C655" s="27"/>
      <c r="D655" s="27"/>
      <c r="E655" s="28"/>
      <c r="F655" s="29"/>
      <c r="G655" s="28"/>
      <c r="H655" s="30"/>
      <c r="I655" s="31"/>
      <c r="J655" s="28"/>
      <c r="K655" s="27"/>
      <c r="L655" s="8"/>
      <c r="M655" s="8"/>
      <c r="N655" s="8"/>
      <c r="O655" s="8"/>
      <c r="P655" s="8"/>
      <c r="Q655" s="8"/>
      <c r="R655" s="8"/>
      <c r="S655" s="8"/>
      <c r="T655" s="8"/>
      <c r="U655" s="8"/>
      <c r="V655" s="8"/>
      <c r="W655" s="8"/>
      <c r="X655" s="8"/>
      <c r="Y655" s="8"/>
      <c r="Z655" s="8"/>
    </row>
    <row r="656" ht="16.5" customHeight="1">
      <c r="A656" s="8"/>
      <c r="B656" s="27"/>
      <c r="C656" s="27"/>
      <c r="D656" s="27"/>
      <c r="E656" s="28"/>
      <c r="F656" s="29"/>
      <c r="G656" s="28"/>
      <c r="H656" s="30"/>
      <c r="I656" s="31"/>
      <c r="J656" s="28"/>
      <c r="K656" s="27"/>
      <c r="L656" s="8"/>
      <c r="M656" s="8"/>
      <c r="N656" s="8"/>
      <c r="O656" s="8"/>
      <c r="P656" s="8"/>
      <c r="Q656" s="8"/>
      <c r="R656" s="8"/>
      <c r="S656" s="8"/>
      <c r="T656" s="8"/>
      <c r="U656" s="8"/>
      <c r="V656" s="8"/>
      <c r="W656" s="8"/>
      <c r="X656" s="8"/>
      <c r="Y656" s="8"/>
      <c r="Z656" s="8"/>
    </row>
    <row r="657" ht="16.5" customHeight="1">
      <c r="A657" s="8"/>
      <c r="B657" s="27"/>
      <c r="C657" s="27"/>
      <c r="D657" s="27"/>
      <c r="E657" s="28"/>
      <c r="F657" s="29"/>
      <c r="G657" s="28"/>
      <c r="H657" s="30"/>
      <c r="I657" s="31"/>
      <c r="J657" s="28"/>
      <c r="K657" s="27"/>
      <c r="L657" s="8"/>
      <c r="M657" s="8"/>
      <c r="N657" s="8"/>
      <c r="O657" s="8"/>
      <c r="P657" s="8"/>
      <c r="Q657" s="8"/>
      <c r="R657" s="8"/>
      <c r="S657" s="8"/>
      <c r="T657" s="8"/>
      <c r="U657" s="8"/>
      <c r="V657" s="8"/>
      <c r="W657" s="8"/>
      <c r="X657" s="8"/>
      <c r="Y657" s="8"/>
      <c r="Z657" s="8"/>
    </row>
    <row r="658" ht="16.5" customHeight="1">
      <c r="A658" s="8"/>
      <c r="B658" s="27"/>
      <c r="C658" s="27"/>
      <c r="D658" s="27"/>
      <c r="E658" s="28"/>
      <c r="F658" s="29"/>
      <c r="G658" s="28"/>
      <c r="H658" s="30"/>
      <c r="I658" s="31"/>
      <c r="J658" s="28"/>
      <c r="K658" s="27"/>
      <c r="L658" s="8"/>
      <c r="M658" s="8"/>
      <c r="N658" s="8"/>
      <c r="O658" s="8"/>
      <c r="P658" s="8"/>
      <c r="Q658" s="8"/>
      <c r="R658" s="8"/>
      <c r="S658" s="8"/>
      <c r="T658" s="8"/>
      <c r="U658" s="8"/>
      <c r="V658" s="8"/>
      <c r="W658" s="8"/>
      <c r="X658" s="8"/>
      <c r="Y658" s="8"/>
      <c r="Z658" s="8"/>
    </row>
    <row r="659" ht="16.5" customHeight="1">
      <c r="A659" s="8"/>
      <c r="B659" s="27"/>
      <c r="C659" s="27"/>
      <c r="D659" s="27"/>
      <c r="E659" s="28"/>
      <c r="F659" s="29"/>
      <c r="G659" s="28"/>
      <c r="H659" s="30"/>
      <c r="I659" s="31"/>
      <c r="J659" s="28"/>
      <c r="K659" s="27"/>
      <c r="L659" s="8"/>
      <c r="M659" s="8"/>
      <c r="N659" s="8"/>
      <c r="O659" s="8"/>
      <c r="P659" s="8"/>
      <c r="Q659" s="8"/>
      <c r="R659" s="8"/>
      <c r="S659" s="8"/>
      <c r="T659" s="8"/>
      <c r="U659" s="8"/>
      <c r="V659" s="8"/>
      <c r="W659" s="8"/>
      <c r="X659" s="8"/>
      <c r="Y659" s="8"/>
      <c r="Z659" s="8"/>
    </row>
    <row r="660" ht="16.5" customHeight="1">
      <c r="A660" s="8"/>
      <c r="B660" s="27"/>
      <c r="C660" s="27"/>
      <c r="D660" s="27"/>
      <c r="E660" s="28"/>
      <c r="F660" s="29"/>
      <c r="G660" s="28"/>
      <c r="H660" s="30"/>
      <c r="I660" s="31"/>
      <c r="J660" s="28"/>
      <c r="K660" s="27"/>
      <c r="L660" s="8"/>
      <c r="M660" s="8"/>
      <c r="N660" s="8"/>
      <c r="O660" s="8"/>
      <c r="P660" s="8"/>
      <c r="Q660" s="8"/>
      <c r="R660" s="8"/>
      <c r="S660" s="8"/>
      <c r="T660" s="8"/>
      <c r="U660" s="8"/>
      <c r="V660" s="8"/>
      <c r="W660" s="8"/>
      <c r="X660" s="8"/>
      <c r="Y660" s="8"/>
      <c r="Z660" s="8"/>
    </row>
    <row r="661" ht="16.5" customHeight="1">
      <c r="A661" s="8"/>
      <c r="B661" s="27"/>
      <c r="C661" s="27"/>
      <c r="D661" s="27"/>
      <c r="E661" s="28"/>
      <c r="F661" s="29"/>
      <c r="G661" s="28"/>
      <c r="H661" s="30"/>
      <c r="I661" s="31"/>
      <c r="J661" s="28"/>
      <c r="K661" s="27"/>
      <c r="L661" s="8"/>
      <c r="M661" s="8"/>
      <c r="N661" s="8"/>
      <c r="O661" s="8"/>
      <c r="P661" s="8"/>
      <c r="Q661" s="8"/>
      <c r="R661" s="8"/>
      <c r="S661" s="8"/>
      <c r="T661" s="8"/>
      <c r="U661" s="8"/>
      <c r="V661" s="8"/>
      <c r="W661" s="8"/>
      <c r="X661" s="8"/>
      <c r="Y661" s="8"/>
      <c r="Z661" s="8"/>
    </row>
    <row r="662" ht="16.5" customHeight="1">
      <c r="A662" s="8"/>
      <c r="B662" s="27"/>
      <c r="C662" s="27"/>
      <c r="D662" s="27"/>
      <c r="E662" s="28"/>
      <c r="F662" s="29"/>
      <c r="G662" s="28"/>
      <c r="H662" s="30"/>
      <c r="I662" s="31"/>
      <c r="J662" s="28"/>
      <c r="K662" s="27"/>
      <c r="L662" s="8"/>
      <c r="M662" s="8"/>
      <c r="N662" s="8"/>
      <c r="O662" s="8"/>
      <c r="P662" s="8"/>
      <c r="Q662" s="8"/>
      <c r="R662" s="8"/>
      <c r="S662" s="8"/>
      <c r="T662" s="8"/>
      <c r="U662" s="8"/>
      <c r="V662" s="8"/>
      <c r="W662" s="8"/>
      <c r="X662" s="8"/>
      <c r="Y662" s="8"/>
      <c r="Z662" s="8"/>
    </row>
    <row r="663" ht="16.5" customHeight="1">
      <c r="A663" s="8"/>
      <c r="B663" s="27"/>
      <c r="C663" s="27"/>
      <c r="D663" s="27"/>
      <c r="E663" s="28"/>
      <c r="F663" s="29"/>
      <c r="G663" s="28"/>
      <c r="H663" s="30"/>
      <c r="I663" s="31"/>
      <c r="J663" s="28"/>
      <c r="K663" s="27"/>
      <c r="L663" s="8"/>
      <c r="M663" s="8"/>
      <c r="N663" s="8"/>
      <c r="O663" s="8"/>
      <c r="P663" s="8"/>
      <c r="Q663" s="8"/>
      <c r="R663" s="8"/>
      <c r="S663" s="8"/>
      <c r="T663" s="8"/>
      <c r="U663" s="8"/>
      <c r="V663" s="8"/>
      <c r="W663" s="8"/>
      <c r="X663" s="8"/>
      <c r="Y663" s="8"/>
      <c r="Z663" s="8"/>
    </row>
    <row r="664" ht="16.5" customHeight="1">
      <c r="A664" s="8"/>
      <c r="B664" s="27"/>
      <c r="C664" s="27"/>
      <c r="D664" s="27"/>
      <c r="E664" s="28"/>
      <c r="F664" s="29"/>
      <c r="G664" s="28"/>
      <c r="H664" s="30"/>
      <c r="I664" s="31"/>
      <c r="J664" s="28"/>
      <c r="K664" s="27"/>
      <c r="L664" s="8"/>
      <c r="M664" s="8"/>
      <c r="N664" s="8"/>
      <c r="O664" s="8"/>
      <c r="P664" s="8"/>
      <c r="Q664" s="8"/>
      <c r="R664" s="8"/>
      <c r="S664" s="8"/>
      <c r="T664" s="8"/>
      <c r="U664" s="8"/>
      <c r="V664" s="8"/>
      <c r="W664" s="8"/>
      <c r="X664" s="8"/>
      <c r="Y664" s="8"/>
      <c r="Z664" s="8"/>
    </row>
    <row r="665" ht="16.5" customHeight="1">
      <c r="A665" s="8"/>
      <c r="B665" s="27"/>
      <c r="C665" s="27"/>
      <c r="D665" s="27"/>
      <c r="E665" s="28"/>
      <c r="F665" s="29"/>
      <c r="G665" s="28"/>
      <c r="H665" s="30"/>
      <c r="I665" s="31"/>
      <c r="J665" s="28"/>
      <c r="K665" s="27"/>
      <c r="L665" s="8"/>
      <c r="M665" s="8"/>
      <c r="N665" s="8"/>
      <c r="O665" s="8"/>
      <c r="P665" s="8"/>
      <c r="Q665" s="8"/>
      <c r="R665" s="8"/>
      <c r="S665" s="8"/>
      <c r="T665" s="8"/>
      <c r="U665" s="8"/>
      <c r="V665" s="8"/>
      <c r="W665" s="8"/>
      <c r="X665" s="8"/>
      <c r="Y665" s="8"/>
      <c r="Z665" s="8"/>
    </row>
    <row r="666" ht="16.5" customHeight="1">
      <c r="A666" s="8"/>
      <c r="B666" s="27"/>
      <c r="C666" s="27"/>
      <c r="D666" s="27"/>
      <c r="E666" s="28"/>
      <c r="F666" s="29"/>
      <c r="G666" s="28"/>
      <c r="H666" s="30"/>
      <c r="I666" s="31"/>
      <c r="J666" s="28"/>
      <c r="K666" s="27"/>
      <c r="L666" s="8"/>
      <c r="M666" s="8"/>
      <c r="N666" s="8"/>
      <c r="O666" s="8"/>
      <c r="P666" s="8"/>
      <c r="Q666" s="8"/>
      <c r="R666" s="8"/>
      <c r="S666" s="8"/>
      <c r="T666" s="8"/>
      <c r="U666" s="8"/>
      <c r="V666" s="8"/>
      <c r="W666" s="8"/>
      <c r="X666" s="8"/>
      <c r="Y666" s="8"/>
      <c r="Z666" s="8"/>
    </row>
    <row r="667" ht="16.5" customHeight="1">
      <c r="A667" s="8"/>
      <c r="B667" s="27"/>
      <c r="C667" s="27"/>
      <c r="D667" s="27"/>
      <c r="E667" s="28"/>
      <c r="F667" s="29"/>
      <c r="G667" s="28"/>
      <c r="H667" s="30"/>
      <c r="I667" s="31"/>
      <c r="J667" s="28"/>
      <c r="K667" s="27"/>
      <c r="L667" s="8"/>
      <c r="M667" s="8"/>
      <c r="N667" s="8"/>
      <c r="O667" s="8"/>
      <c r="P667" s="8"/>
      <c r="Q667" s="8"/>
      <c r="R667" s="8"/>
      <c r="S667" s="8"/>
      <c r="T667" s="8"/>
      <c r="U667" s="8"/>
      <c r="V667" s="8"/>
      <c r="W667" s="8"/>
      <c r="X667" s="8"/>
      <c r="Y667" s="8"/>
      <c r="Z667" s="8"/>
    </row>
    <row r="668" ht="16.5" customHeight="1">
      <c r="A668" s="8"/>
      <c r="B668" s="27"/>
      <c r="C668" s="27"/>
      <c r="D668" s="27"/>
      <c r="E668" s="28"/>
      <c r="F668" s="29"/>
      <c r="G668" s="28"/>
      <c r="H668" s="30"/>
      <c r="I668" s="31"/>
      <c r="J668" s="28"/>
      <c r="K668" s="27"/>
      <c r="L668" s="8"/>
      <c r="M668" s="8"/>
      <c r="N668" s="8"/>
      <c r="O668" s="8"/>
      <c r="P668" s="8"/>
      <c r="Q668" s="8"/>
      <c r="R668" s="8"/>
      <c r="S668" s="8"/>
      <c r="T668" s="8"/>
      <c r="U668" s="8"/>
      <c r="V668" s="8"/>
      <c r="W668" s="8"/>
      <c r="X668" s="8"/>
      <c r="Y668" s="8"/>
      <c r="Z668" s="8"/>
    </row>
    <row r="669" ht="16.5" customHeight="1">
      <c r="A669" s="8"/>
      <c r="B669" s="27"/>
      <c r="C669" s="27"/>
      <c r="D669" s="27"/>
      <c r="E669" s="28"/>
      <c r="F669" s="29"/>
      <c r="G669" s="28"/>
      <c r="H669" s="30"/>
      <c r="I669" s="31"/>
      <c r="J669" s="28"/>
      <c r="K669" s="27"/>
      <c r="L669" s="8"/>
      <c r="M669" s="8"/>
      <c r="N669" s="8"/>
      <c r="O669" s="8"/>
      <c r="P669" s="8"/>
      <c r="Q669" s="8"/>
      <c r="R669" s="8"/>
      <c r="S669" s="8"/>
      <c r="T669" s="8"/>
      <c r="U669" s="8"/>
      <c r="V669" s="8"/>
      <c r="W669" s="8"/>
      <c r="X669" s="8"/>
      <c r="Y669" s="8"/>
      <c r="Z669" s="8"/>
    </row>
    <row r="670" ht="16.5" customHeight="1">
      <c r="A670" s="8"/>
      <c r="B670" s="27"/>
      <c r="C670" s="27"/>
      <c r="D670" s="27"/>
      <c r="E670" s="28"/>
      <c r="F670" s="29"/>
      <c r="G670" s="28"/>
      <c r="H670" s="30"/>
      <c r="I670" s="31"/>
      <c r="J670" s="28"/>
      <c r="K670" s="27"/>
      <c r="L670" s="8"/>
      <c r="M670" s="8"/>
      <c r="N670" s="8"/>
      <c r="O670" s="8"/>
      <c r="P670" s="8"/>
      <c r="Q670" s="8"/>
      <c r="R670" s="8"/>
      <c r="S670" s="8"/>
      <c r="T670" s="8"/>
      <c r="U670" s="8"/>
      <c r="V670" s="8"/>
      <c r="W670" s="8"/>
      <c r="X670" s="8"/>
      <c r="Y670" s="8"/>
      <c r="Z670" s="8"/>
    </row>
    <row r="671" ht="16.5" customHeight="1">
      <c r="A671" s="8"/>
      <c r="B671" s="27"/>
      <c r="C671" s="27"/>
      <c r="D671" s="27"/>
      <c r="E671" s="28"/>
      <c r="F671" s="29"/>
      <c r="G671" s="28"/>
      <c r="H671" s="30"/>
      <c r="I671" s="31"/>
      <c r="J671" s="28"/>
      <c r="K671" s="27"/>
      <c r="L671" s="8"/>
      <c r="M671" s="8"/>
      <c r="N671" s="8"/>
      <c r="O671" s="8"/>
      <c r="P671" s="8"/>
      <c r="Q671" s="8"/>
      <c r="R671" s="8"/>
      <c r="S671" s="8"/>
      <c r="T671" s="8"/>
      <c r="U671" s="8"/>
      <c r="V671" s="8"/>
      <c r="W671" s="8"/>
      <c r="X671" s="8"/>
      <c r="Y671" s="8"/>
      <c r="Z671" s="8"/>
    </row>
    <row r="672" ht="16.5" customHeight="1">
      <c r="A672" s="8"/>
      <c r="B672" s="27"/>
      <c r="C672" s="27"/>
      <c r="D672" s="27"/>
      <c r="E672" s="28"/>
      <c r="F672" s="29"/>
      <c r="G672" s="28"/>
      <c r="H672" s="30"/>
      <c r="I672" s="31"/>
      <c r="J672" s="28"/>
      <c r="K672" s="27"/>
      <c r="L672" s="8"/>
      <c r="M672" s="8"/>
      <c r="N672" s="8"/>
      <c r="O672" s="8"/>
      <c r="P672" s="8"/>
      <c r="Q672" s="8"/>
      <c r="R672" s="8"/>
      <c r="S672" s="8"/>
      <c r="T672" s="8"/>
      <c r="U672" s="8"/>
      <c r="V672" s="8"/>
      <c r="W672" s="8"/>
      <c r="X672" s="8"/>
      <c r="Y672" s="8"/>
      <c r="Z672" s="8"/>
    </row>
    <row r="673" ht="16.5" customHeight="1">
      <c r="A673" s="8"/>
      <c r="B673" s="27"/>
      <c r="C673" s="27"/>
      <c r="D673" s="27"/>
      <c r="E673" s="28"/>
      <c r="F673" s="29"/>
      <c r="G673" s="28"/>
      <c r="H673" s="30"/>
      <c r="I673" s="31"/>
      <c r="J673" s="28"/>
      <c r="K673" s="27"/>
      <c r="L673" s="8"/>
      <c r="M673" s="8"/>
      <c r="N673" s="8"/>
      <c r="O673" s="8"/>
      <c r="P673" s="8"/>
      <c r="Q673" s="8"/>
      <c r="R673" s="8"/>
      <c r="S673" s="8"/>
      <c r="T673" s="8"/>
      <c r="U673" s="8"/>
      <c r="V673" s="8"/>
      <c r="W673" s="8"/>
      <c r="X673" s="8"/>
      <c r="Y673" s="8"/>
      <c r="Z673" s="8"/>
    </row>
    <row r="674" ht="16.5" customHeight="1">
      <c r="A674" s="8"/>
      <c r="B674" s="27"/>
      <c r="C674" s="27"/>
      <c r="D674" s="27"/>
      <c r="E674" s="28"/>
      <c r="F674" s="29"/>
      <c r="G674" s="28"/>
      <c r="H674" s="30"/>
      <c r="I674" s="31"/>
      <c r="J674" s="28"/>
      <c r="K674" s="27"/>
      <c r="L674" s="8"/>
      <c r="M674" s="8"/>
      <c r="N674" s="8"/>
      <c r="O674" s="8"/>
      <c r="P674" s="8"/>
      <c r="Q674" s="8"/>
      <c r="R674" s="8"/>
      <c r="S674" s="8"/>
      <c r="T674" s="8"/>
      <c r="U674" s="8"/>
      <c r="V674" s="8"/>
      <c r="W674" s="8"/>
      <c r="X674" s="8"/>
      <c r="Y674" s="8"/>
      <c r="Z674" s="8"/>
    </row>
    <row r="675" ht="16.5" customHeight="1">
      <c r="A675" s="8"/>
      <c r="B675" s="27"/>
      <c r="C675" s="27"/>
      <c r="D675" s="27"/>
      <c r="E675" s="28"/>
      <c r="F675" s="29"/>
      <c r="G675" s="28"/>
      <c r="H675" s="30"/>
      <c r="I675" s="31"/>
      <c r="J675" s="28"/>
      <c r="K675" s="27"/>
      <c r="L675" s="8"/>
      <c r="M675" s="8"/>
      <c r="N675" s="8"/>
      <c r="O675" s="8"/>
      <c r="P675" s="8"/>
      <c r="Q675" s="8"/>
      <c r="R675" s="8"/>
      <c r="S675" s="8"/>
      <c r="T675" s="8"/>
      <c r="U675" s="8"/>
      <c r="V675" s="8"/>
      <c r="W675" s="8"/>
      <c r="X675" s="8"/>
      <c r="Y675" s="8"/>
      <c r="Z675" s="8"/>
    </row>
    <row r="676" ht="16.5" customHeight="1">
      <c r="A676" s="8"/>
      <c r="B676" s="27"/>
      <c r="C676" s="27"/>
      <c r="D676" s="27"/>
      <c r="E676" s="28"/>
      <c r="F676" s="29"/>
      <c r="G676" s="28"/>
      <c r="H676" s="30"/>
      <c r="I676" s="31"/>
      <c r="J676" s="28"/>
      <c r="K676" s="27"/>
      <c r="L676" s="8"/>
      <c r="M676" s="8"/>
      <c r="N676" s="8"/>
      <c r="O676" s="8"/>
      <c r="P676" s="8"/>
      <c r="Q676" s="8"/>
      <c r="R676" s="8"/>
      <c r="S676" s="8"/>
      <c r="T676" s="8"/>
      <c r="U676" s="8"/>
      <c r="V676" s="8"/>
      <c r="W676" s="8"/>
      <c r="X676" s="8"/>
      <c r="Y676" s="8"/>
      <c r="Z676" s="8"/>
    </row>
    <row r="677" ht="16.5" customHeight="1">
      <c r="A677" s="8"/>
      <c r="B677" s="27"/>
      <c r="C677" s="27"/>
      <c r="D677" s="27"/>
      <c r="E677" s="28"/>
      <c r="F677" s="29"/>
      <c r="G677" s="28"/>
      <c r="H677" s="30"/>
      <c r="I677" s="31"/>
      <c r="J677" s="28"/>
      <c r="K677" s="27"/>
      <c r="L677" s="8"/>
      <c r="M677" s="8"/>
      <c r="N677" s="8"/>
      <c r="O677" s="8"/>
      <c r="P677" s="8"/>
      <c r="Q677" s="8"/>
      <c r="R677" s="8"/>
      <c r="S677" s="8"/>
      <c r="T677" s="8"/>
      <c r="U677" s="8"/>
      <c r="V677" s="8"/>
      <c r="W677" s="8"/>
      <c r="X677" s="8"/>
      <c r="Y677" s="8"/>
      <c r="Z677" s="8"/>
    </row>
    <row r="678" ht="16.5" customHeight="1">
      <c r="A678" s="8"/>
      <c r="B678" s="27"/>
      <c r="C678" s="27"/>
      <c r="D678" s="27"/>
      <c r="E678" s="28"/>
      <c r="F678" s="29"/>
      <c r="G678" s="28"/>
      <c r="H678" s="30"/>
      <c r="I678" s="31"/>
      <c r="J678" s="28"/>
      <c r="K678" s="27"/>
      <c r="L678" s="8"/>
      <c r="M678" s="8"/>
      <c r="N678" s="8"/>
      <c r="O678" s="8"/>
      <c r="P678" s="8"/>
      <c r="Q678" s="8"/>
      <c r="R678" s="8"/>
      <c r="S678" s="8"/>
      <c r="T678" s="8"/>
      <c r="U678" s="8"/>
      <c r="V678" s="8"/>
      <c r="W678" s="8"/>
      <c r="X678" s="8"/>
      <c r="Y678" s="8"/>
      <c r="Z678" s="8"/>
    </row>
    <row r="679" ht="16.5" customHeight="1">
      <c r="A679" s="8"/>
      <c r="B679" s="27"/>
      <c r="C679" s="27"/>
      <c r="D679" s="27"/>
      <c r="E679" s="28"/>
      <c r="F679" s="29"/>
      <c r="G679" s="28"/>
      <c r="H679" s="30"/>
      <c r="I679" s="31"/>
      <c r="J679" s="28"/>
      <c r="K679" s="27"/>
      <c r="L679" s="8"/>
      <c r="M679" s="8"/>
      <c r="N679" s="8"/>
      <c r="O679" s="8"/>
      <c r="P679" s="8"/>
      <c r="Q679" s="8"/>
      <c r="R679" s="8"/>
      <c r="S679" s="8"/>
      <c r="T679" s="8"/>
      <c r="U679" s="8"/>
      <c r="V679" s="8"/>
      <c r="W679" s="8"/>
      <c r="X679" s="8"/>
      <c r="Y679" s="8"/>
      <c r="Z679" s="8"/>
    </row>
    <row r="680" ht="16.5" customHeight="1">
      <c r="A680" s="8"/>
      <c r="B680" s="27"/>
      <c r="C680" s="27"/>
      <c r="D680" s="27"/>
      <c r="E680" s="28"/>
      <c r="F680" s="29"/>
      <c r="G680" s="28"/>
      <c r="H680" s="30"/>
      <c r="I680" s="31"/>
      <c r="J680" s="28"/>
      <c r="K680" s="27"/>
      <c r="L680" s="8"/>
      <c r="M680" s="8"/>
      <c r="N680" s="8"/>
      <c r="O680" s="8"/>
      <c r="P680" s="8"/>
      <c r="Q680" s="8"/>
      <c r="R680" s="8"/>
      <c r="S680" s="8"/>
      <c r="T680" s="8"/>
      <c r="U680" s="8"/>
      <c r="V680" s="8"/>
      <c r="W680" s="8"/>
      <c r="X680" s="8"/>
      <c r="Y680" s="8"/>
      <c r="Z680" s="8"/>
    </row>
    <row r="681" ht="16.5" customHeight="1">
      <c r="A681" s="8"/>
      <c r="B681" s="27"/>
      <c r="C681" s="27"/>
      <c r="D681" s="27"/>
      <c r="E681" s="28"/>
      <c r="F681" s="29"/>
      <c r="G681" s="28"/>
      <c r="H681" s="30"/>
      <c r="I681" s="31"/>
      <c r="J681" s="28"/>
      <c r="K681" s="27"/>
      <c r="L681" s="8"/>
      <c r="M681" s="8"/>
      <c r="N681" s="8"/>
      <c r="O681" s="8"/>
      <c r="P681" s="8"/>
      <c r="Q681" s="8"/>
      <c r="R681" s="8"/>
      <c r="S681" s="8"/>
      <c r="T681" s="8"/>
      <c r="U681" s="8"/>
      <c r="V681" s="8"/>
      <c r="W681" s="8"/>
      <c r="X681" s="8"/>
      <c r="Y681" s="8"/>
      <c r="Z681" s="8"/>
    </row>
    <row r="682" ht="16.5" customHeight="1">
      <c r="A682" s="8"/>
      <c r="B682" s="27"/>
      <c r="C682" s="27"/>
      <c r="D682" s="27"/>
      <c r="E682" s="28"/>
      <c r="F682" s="29"/>
      <c r="G682" s="28"/>
      <c r="H682" s="30"/>
      <c r="I682" s="31"/>
      <c r="J682" s="28"/>
      <c r="K682" s="27"/>
      <c r="L682" s="8"/>
      <c r="M682" s="8"/>
      <c r="N682" s="8"/>
      <c r="O682" s="8"/>
      <c r="P682" s="8"/>
      <c r="Q682" s="8"/>
      <c r="R682" s="8"/>
      <c r="S682" s="8"/>
      <c r="T682" s="8"/>
      <c r="U682" s="8"/>
      <c r="V682" s="8"/>
      <c r="W682" s="8"/>
      <c r="X682" s="8"/>
      <c r="Y682" s="8"/>
      <c r="Z682" s="8"/>
    </row>
    <row r="683" ht="16.5" customHeight="1">
      <c r="A683" s="8"/>
      <c r="B683" s="27"/>
      <c r="C683" s="27"/>
      <c r="D683" s="27"/>
      <c r="E683" s="28"/>
      <c r="F683" s="29"/>
      <c r="G683" s="28"/>
      <c r="H683" s="30"/>
      <c r="I683" s="31"/>
      <c r="J683" s="28"/>
      <c r="K683" s="27"/>
      <c r="L683" s="8"/>
      <c r="M683" s="8"/>
      <c r="N683" s="8"/>
      <c r="O683" s="8"/>
      <c r="P683" s="8"/>
      <c r="Q683" s="8"/>
      <c r="R683" s="8"/>
      <c r="S683" s="8"/>
      <c r="T683" s="8"/>
      <c r="U683" s="8"/>
      <c r="V683" s="8"/>
      <c r="W683" s="8"/>
      <c r="X683" s="8"/>
      <c r="Y683" s="8"/>
      <c r="Z683" s="8"/>
    </row>
    <row r="684" ht="16.5" customHeight="1">
      <c r="A684" s="8"/>
      <c r="B684" s="27"/>
      <c r="C684" s="27"/>
      <c r="D684" s="27"/>
      <c r="E684" s="28"/>
      <c r="F684" s="29"/>
      <c r="G684" s="28"/>
      <c r="H684" s="30"/>
      <c r="I684" s="31"/>
      <c r="J684" s="28"/>
      <c r="K684" s="27"/>
      <c r="L684" s="8"/>
      <c r="M684" s="8"/>
      <c r="N684" s="8"/>
      <c r="O684" s="8"/>
      <c r="P684" s="8"/>
      <c r="Q684" s="8"/>
      <c r="R684" s="8"/>
      <c r="S684" s="8"/>
      <c r="T684" s="8"/>
      <c r="U684" s="8"/>
      <c r="V684" s="8"/>
      <c r="W684" s="8"/>
      <c r="X684" s="8"/>
      <c r="Y684" s="8"/>
      <c r="Z684" s="8"/>
    </row>
    <row r="685" ht="16.5" customHeight="1">
      <c r="A685" s="8"/>
      <c r="B685" s="27"/>
      <c r="C685" s="27"/>
      <c r="D685" s="27"/>
      <c r="E685" s="28"/>
      <c r="F685" s="29"/>
      <c r="G685" s="28"/>
      <c r="H685" s="30"/>
      <c r="I685" s="31"/>
      <c r="J685" s="28"/>
      <c r="K685" s="27"/>
      <c r="L685" s="8"/>
      <c r="M685" s="8"/>
      <c r="N685" s="8"/>
      <c r="O685" s="8"/>
      <c r="P685" s="8"/>
      <c r="Q685" s="8"/>
      <c r="R685" s="8"/>
      <c r="S685" s="8"/>
      <c r="T685" s="8"/>
      <c r="U685" s="8"/>
      <c r="V685" s="8"/>
      <c r="W685" s="8"/>
      <c r="X685" s="8"/>
      <c r="Y685" s="8"/>
      <c r="Z685" s="8"/>
    </row>
    <row r="686" ht="16.5" customHeight="1">
      <c r="A686" s="8"/>
      <c r="B686" s="27"/>
      <c r="C686" s="27"/>
      <c r="D686" s="27"/>
      <c r="E686" s="28"/>
      <c r="F686" s="29"/>
      <c r="G686" s="28"/>
      <c r="H686" s="30"/>
      <c r="I686" s="31"/>
      <c r="J686" s="28"/>
      <c r="K686" s="27"/>
      <c r="L686" s="8"/>
      <c r="M686" s="8"/>
      <c r="N686" s="8"/>
      <c r="O686" s="8"/>
      <c r="P686" s="8"/>
      <c r="Q686" s="8"/>
      <c r="R686" s="8"/>
      <c r="S686" s="8"/>
      <c r="T686" s="8"/>
      <c r="U686" s="8"/>
      <c r="V686" s="8"/>
      <c r="W686" s="8"/>
      <c r="X686" s="8"/>
      <c r="Y686" s="8"/>
      <c r="Z686" s="8"/>
    </row>
    <row r="687" ht="16.5" customHeight="1">
      <c r="A687" s="8"/>
      <c r="B687" s="27"/>
      <c r="C687" s="27"/>
      <c r="D687" s="27"/>
      <c r="E687" s="28"/>
      <c r="F687" s="29"/>
      <c r="G687" s="28"/>
      <c r="H687" s="30"/>
      <c r="I687" s="31"/>
      <c r="J687" s="28"/>
      <c r="K687" s="27"/>
      <c r="L687" s="8"/>
      <c r="M687" s="8"/>
      <c r="N687" s="8"/>
      <c r="O687" s="8"/>
      <c r="P687" s="8"/>
      <c r="Q687" s="8"/>
      <c r="R687" s="8"/>
      <c r="S687" s="8"/>
      <c r="T687" s="8"/>
      <c r="U687" s="8"/>
      <c r="V687" s="8"/>
      <c r="W687" s="8"/>
      <c r="X687" s="8"/>
      <c r="Y687" s="8"/>
      <c r="Z687" s="8"/>
    </row>
    <row r="688" ht="16.5" customHeight="1">
      <c r="A688" s="8"/>
      <c r="B688" s="27"/>
      <c r="C688" s="27"/>
      <c r="D688" s="27"/>
      <c r="E688" s="28"/>
      <c r="F688" s="29"/>
      <c r="G688" s="28"/>
      <c r="H688" s="30"/>
      <c r="I688" s="31"/>
      <c r="J688" s="28"/>
      <c r="K688" s="27"/>
      <c r="L688" s="8"/>
      <c r="M688" s="8"/>
      <c r="N688" s="8"/>
      <c r="O688" s="8"/>
      <c r="P688" s="8"/>
      <c r="Q688" s="8"/>
      <c r="R688" s="8"/>
      <c r="S688" s="8"/>
      <c r="T688" s="8"/>
      <c r="U688" s="8"/>
      <c r="V688" s="8"/>
      <c r="W688" s="8"/>
      <c r="X688" s="8"/>
      <c r="Y688" s="8"/>
      <c r="Z688" s="8"/>
    </row>
    <row r="689" ht="16.5" customHeight="1">
      <c r="A689" s="8"/>
      <c r="B689" s="27"/>
      <c r="C689" s="27"/>
      <c r="D689" s="27"/>
      <c r="E689" s="28"/>
      <c r="F689" s="29"/>
      <c r="G689" s="28"/>
      <c r="H689" s="30"/>
      <c r="I689" s="31"/>
      <c r="J689" s="28"/>
      <c r="K689" s="27"/>
      <c r="L689" s="8"/>
      <c r="M689" s="8"/>
      <c r="N689" s="8"/>
      <c r="O689" s="8"/>
      <c r="P689" s="8"/>
      <c r="Q689" s="8"/>
      <c r="R689" s="8"/>
      <c r="S689" s="8"/>
      <c r="T689" s="8"/>
      <c r="U689" s="8"/>
      <c r="V689" s="8"/>
      <c r="W689" s="8"/>
      <c r="X689" s="8"/>
      <c r="Y689" s="8"/>
      <c r="Z689" s="8"/>
    </row>
    <row r="690" ht="16.5" customHeight="1">
      <c r="A690" s="8"/>
      <c r="B690" s="27"/>
      <c r="C690" s="27"/>
      <c r="D690" s="27"/>
      <c r="E690" s="28"/>
      <c r="F690" s="29"/>
      <c r="G690" s="28"/>
      <c r="H690" s="30"/>
      <c r="I690" s="31"/>
      <c r="J690" s="28"/>
      <c r="K690" s="27"/>
      <c r="L690" s="8"/>
      <c r="M690" s="8"/>
      <c r="N690" s="8"/>
      <c r="O690" s="8"/>
      <c r="P690" s="8"/>
      <c r="Q690" s="8"/>
      <c r="R690" s="8"/>
      <c r="S690" s="8"/>
      <c r="T690" s="8"/>
      <c r="U690" s="8"/>
      <c r="V690" s="8"/>
      <c r="W690" s="8"/>
      <c r="X690" s="8"/>
      <c r="Y690" s="8"/>
      <c r="Z690" s="8"/>
    </row>
    <row r="691" ht="16.5" customHeight="1">
      <c r="A691" s="8"/>
      <c r="B691" s="27"/>
      <c r="C691" s="27"/>
      <c r="D691" s="27"/>
      <c r="E691" s="28"/>
      <c r="F691" s="29"/>
      <c r="G691" s="28"/>
      <c r="H691" s="30"/>
      <c r="I691" s="31"/>
      <c r="J691" s="28"/>
      <c r="K691" s="27"/>
      <c r="L691" s="8"/>
      <c r="M691" s="8"/>
      <c r="N691" s="8"/>
      <c r="O691" s="8"/>
      <c r="P691" s="8"/>
      <c r="Q691" s="8"/>
      <c r="R691" s="8"/>
      <c r="S691" s="8"/>
      <c r="T691" s="8"/>
      <c r="U691" s="8"/>
      <c r="V691" s="8"/>
      <c r="W691" s="8"/>
      <c r="X691" s="8"/>
      <c r="Y691" s="8"/>
      <c r="Z691" s="8"/>
    </row>
    <row r="692" ht="16.5" customHeight="1">
      <c r="A692" s="8"/>
      <c r="B692" s="27"/>
      <c r="C692" s="27"/>
      <c r="D692" s="27"/>
      <c r="E692" s="28"/>
      <c r="F692" s="29"/>
      <c r="G692" s="28"/>
      <c r="H692" s="30"/>
      <c r="I692" s="31"/>
      <c r="J692" s="28"/>
      <c r="K692" s="27"/>
      <c r="L692" s="8"/>
      <c r="M692" s="8"/>
      <c r="N692" s="8"/>
      <c r="O692" s="8"/>
      <c r="P692" s="8"/>
      <c r="Q692" s="8"/>
      <c r="R692" s="8"/>
      <c r="S692" s="8"/>
      <c r="T692" s="8"/>
      <c r="U692" s="8"/>
      <c r="V692" s="8"/>
      <c r="W692" s="8"/>
      <c r="X692" s="8"/>
      <c r="Y692" s="8"/>
      <c r="Z692" s="8"/>
    </row>
    <row r="693" ht="16.5" customHeight="1">
      <c r="A693" s="8"/>
      <c r="B693" s="27"/>
      <c r="C693" s="27"/>
      <c r="D693" s="27"/>
      <c r="E693" s="28"/>
      <c r="F693" s="29"/>
      <c r="G693" s="28"/>
      <c r="H693" s="30"/>
      <c r="I693" s="31"/>
      <c r="J693" s="28"/>
      <c r="K693" s="27"/>
      <c r="L693" s="8"/>
      <c r="M693" s="8"/>
      <c r="N693" s="8"/>
      <c r="O693" s="8"/>
      <c r="P693" s="8"/>
      <c r="Q693" s="8"/>
      <c r="R693" s="8"/>
      <c r="S693" s="8"/>
      <c r="T693" s="8"/>
      <c r="U693" s="8"/>
      <c r="V693" s="8"/>
      <c r="W693" s="8"/>
      <c r="X693" s="8"/>
      <c r="Y693" s="8"/>
      <c r="Z693" s="8"/>
    </row>
    <row r="694" ht="16.5" customHeight="1">
      <c r="A694" s="8"/>
      <c r="B694" s="27"/>
      <c r="C694" s="27"/>
      <c r="D694" s="27"/>
      <c r="E694" s="28"/>
      <c r="F694" s="29"/>
      <c r="G694" s="28"/>
      <c r="H694" s="30"/>
      <c r="I694" s="31"/>
      <c r="J694" s="28"/>
      <c r="K694" s="27"/>
      <c r="L694" s="8"/>
      <c r="M694" s="8"/>
      <c r="N694" s="8"/>
      <c r="O694" s="8"/>
      <c r="P694" s="8"/>
      <c r="Q694" s="8"/>
      <c r="R694" s="8"/>
      <c r="S694" s="8"/>
      <c r="T694" s="8"/>
      <c r="U694" s="8"/>
      <c r="V694" s="8"/>
      <c r="W694" s="8"/>
      <c r="X694" s="8"/>
      <c r="Y694" s="8"/>
      <c r="Z694" s="8"/>
    </row>
    <row r="695" ht="16.5" customHeight="1">
      <c r="A695" s="8"/>
      <c r="B695" s="27"/>
      <c r="C695" s="27"/>
      <c r="D695" s="27"/>
      <c r="E695" s="28"/>
      <c r="F695" s="29"/>
      <c r="G695" s="28"/>
      <c r="H695" s="30"/>
      <c r="I695" s="31"/>
      <c r="J695" s="28"/>
      <c r="K695" s="27"/>
      <c r="L695" s="8"/>
      <c r="M695" s="8"/>
      <c r="N695" s="8"/>
      <c r="O695" s="8"/>
      <c r="P695" s="8"/>
      <c r="Q695" s="8"/>
      <c r="R695" s="8"/>
      <c r="S695" s="8"/>
      <c r="T695" s="8"/>
      <c r="U695" s="8"/>
      <c r="V695" s="8"/>
      <c r="W695" s="8"/>
      <c r="X695" s="8"/>
      <c r="Y695" s="8"/>
      <c r="Z695" s="8"/>
    </row>
    <row r="696" ht="16.5" customHeight="1">
      <c r="A696" s="8"/>
      <c r="B696" s="27"/>
      <c r="C696" s="27"/>
      <c r="D696" s="27"/>
      <c r="E696" s="28"/>
      <c r="F696" s="29"/>
      <c r="G696" s="28"/>
      <c r="H696" s="30"/>
      <c r="I696" s="31"/>
      <c r="J696" s="28"/>
      <c r="K696" s="27"/>
      <c r="L696" s="8"/>
      <c r="M696" s="8"/>
      <c r="N696" s="8"/>
      <c r="O696" s="8"/>
      <c r="P696" s="8"/>
      <c r="Q696" s="8"/>
      <c r="R696" s="8"/>
      <c r="S696" s="8"/>
      <c r="T696" s="8"/>
      <c r="U696" s="8"/>
      <c r="V696" s="8"/>
      <c r="W696" s="8"/>
      <c r="X696" s="8"/>
      <c r="Y696" s="8"/>
      <c r="Z696" s="8"/>
    </row>
    <row r="697" ht="16.5" customHeight="1">
      <c r="A697" s="8"/>
      <c r="B697" s="27"/>
      <c r="C697" s="27"/>
      <c r="D697" s="27"/>
      <c r="E697" s="28"/>
      <c r="F697" s="29"/>
      <c r="G697" s="28"/>
      <c r="H697" s="30"/>
      <c r="I697" s="31"/>
      <c r="J697" s="28"/>
      <c r="K697" s="27"/>
      <c r="L697" s="8"/>
      <c r="M697" s="8"/>
      <c r="N697" s="8"/>
      <c r="O697" s="8"/>
      <c r="P697" s="8"/>
      <c r="Q697" s="8"/>
      <c r="R697" s="8"/>
      <c r="S697" s="8"/>
      <c r="T697" s="8"/>
      <c r="U697" s="8"/>
      <c r="V697" s="8"/>
      <c r="W697" s="8"/>
      <c r="X697" s="8"/>
      <c r="Y697" s="8"/>
      <c r="Z697" s="8"/>
    </row>
    <row r="698" ht="16.5" customHeight="1">
      <c r="A698" s="8"/>
      <c r="B698" s="27"/>
      <c r="C698" s="27"/>
      <c r="D698" s="27"/>
      <c r="E698" s="28"/>
      <c r="F698" s="29"/>
      <c r="G698" s="28"/>
      <c r="H698" s="30"/>
      <c r="I698" s="31"/>
      <c r="J698" s="28"/>
      <c r="K698" s="27"/>
      <c r="L698" s="8"/>
      <c r="M698" s="8"/>
      <c r="N698" s="8"/>
      <c r="O698" s="8"/>
      <c r="P698" s="8"/>
      <c r="Q698" s="8"/>
      <c r="R698" s="8"/>
      <c r="S698" s="8"/>
      <c r="T698" s="8"/>
      <c r="U698" s="8"/>
      <c r="V698" s="8"/>
      <c r="W698" s="8"/>
      <c r="X698" s="8"/>
      <c r="Y698" s="8"/>
      <c r="Z698" s="8"/>
    </row>
    <row r="699" ht="16.5" customHeight="1">
      <c r="A699" s="8"/>
      <c r="B699" s="27"/>
      <c r="C699" s="27"/>
      <c r="D699" s="27"/>
      <c r="E699" s="28"/>
      <c r="F699" s="29"/>
      <c r="G699" s="28"/>
      <c r="H699" s="30"/>
      <c r="I699" s="31"/>
      <c r="J699" s="28"/>
      <c r="K699" s="27"/>
      <c r="L699" s="8"/>
      <c r="M699" s="8"/>
      <c r="N699" s="8"/>
      <c r="O699" s="8"/>
      <c r="P699" s="8"/>
      <c r="Q699" s="8"/>
      <c r="R699" s="8"/>
      <c r="S699" s="8"/>
      <c r="T699" s="8"/>
      <c r="U699" s="8"/>
      <c r="V699" s="8"/>
      <c r="W699" s="8"/>
      <c r="X699" s="8"/>
      <c r="Y699" s="8"/>
      <c r="Z699" s="8"/>
    </row>
    <row r="700" ht="16.5" customHeight="1">
      <c r="A700" s="8"/>
      <c r="B700" s="27"/>
      <c r="C700" s="27"/>
      <c r="D700" s="27"/>
      <c r="E700" s="28"/>
      <c r="F700" s="29"/>
      <c r="G700" s="28"/>
      <c r="H700" s="30"/>
      <c r="I700" s="31"/>
      <c r="J700" s="28"/>
      <c r="K700" s="27"/>
      <c r="L700" s="8"/>
      <c r="M700" s="8"/>
      <c r="N700" s="8"/>
      <c r="O700" s="8"/>
      <c r="P700" s="8"/>
      <c r="Q700" s="8"/>
      <c r="R700" s="8"/>
      <c r="S700" s="8"/>
      <c r="T700" s="8"/>
      <c r="U700" s="8"/>
      <c r="V700" s="8"/>
      <c r="W700" s="8"/>
      <c r="X700" s="8"/>
      <c r="Y700" s="8"/>
      <c r="Z700" s="8"/>
    </row>
    <row r="701" ht="16.5" customHeight="1">
      <c r="A701" s="8"/>
      <c r="B701" s="27"/>
      <c r="C701" s="27"/>
      <c r="D701" s="27"/>
      <c r="E701" s="28"/>
      <c r="F701" s="29"/>
      <c r="G701" s="28"/>
      <c r="H701" s="30"/>
      <c r="I701" s="31"/>
      <c r="J701" s="28"/>
      <c r="K701" s="27"/>
      <c r="L701" s="8"/>
      <c r="M701" s="8"/>
      <c r="N701" s="8"/>
      <c r="O701" s="8"/>
      <c r="P701" s="8"/>
      <c r="Q701" s="8"/>
      <c r="R701" s="8"/>
      <c r="S701" s="8"/>
      <c r="T701" s="8"/>
      <c r="U701" s="8"/>
      <c r="V701" s="8"/>
      <c r="W701" s="8"/>
      <c r="X701" s="8"/>
      <c r="Y701" s="8"/>
      <c r="Z701" s="8"/>
    </row>
    <row r="702" ht="16.5" customHeight="1">
      <c r="A702" s="8"/>
      <c r="B702" s="27"/>
      <c r="C702" s="27"/>
      <c r="D702" s="27"/>
      <c r="E702" s="28"/>
      <c r="F702" s="29"/>
      <c r="G702" s="28"/>
      <c r="H702" s="30"/>
      <c r="I702" s="31"/>
      <c r="J702" s="28"/>
      <c r="K702" s="27"/>
      <c r="L702" s="8"/>
      <c r="M702" s="8"/>
      <c r="N702" s="8"/>
      <c r="O702" s="8"/>
      <c r="P702" s="8"/>
      <c r="Q702" s="8"/>
      <c r="R702" s="8"/>
      <c r="S702" s="8"/>
      <c r="T702" s="8"/>
      <c r="U702" s="8"/>
      <c r="V702" s="8"/>
      <c r="W702" s="8"/>
      <c r="X702" s="8"/>
      <c r="Y702" s="8"/>
      <c r="Z702" s="8"/>
    </row>
    <row r="703" ht="16.5" customHeight="1">
      <c r="A703" s="8"/>
      <c r="B703" s="27"/>
      <c r="C703" s="27"/>
      <c r="D703" s="27"/>
      <c r="E703" s="28"/>
      <c r="F703" s="29"/>
      <c r="G703" s="28"/>
      <c r="H703" s="30"/>
      <c r="I703" s="31"/>
      <c r="J703" s="28"/>
      <c r="K703" s="27"/>
      <c r="L703" s="8"/>
      <c r="M703" s="8"/>
      <c r="N703" s="8"/>
      <c r="O703" s="8"/>
      <c r="P703" s="8"/>
      <c r="Q703" s="8"/>
      <c r="R703" s="8"/>
      <c r="S703" s="8"/>
      <c r="T703" s="8"/>
      <c r="U703" s="8"/>
      <c r="V703" s="8"/>
      <c r="W703" s="8"/>
      <c r="X703" s="8"/>
      <c r="Y703" s="8"/>
      <c r="Z703" s="8"/>
    </row>
    <row r="704" ht="16.5" customHeight="1">
      <c r="A704" s="8"/>
      <c r="B704" s="27"/>
      <c r="C704" s="27"/>
      <c r="D704" s="27"/>
      <c r="E704" s="28"/>
      <c r="F704" s="29"/>
      <c r="G704" s="28"/>
      <c r="H704" s="30"/>
      <c r="I704" s="31"/>
      <c r="J704" s="28"/>
      <c r="K704" s="27"/>
      <c r="L704" s="8"/>
      <c r="M704" s="8"/>
      <c r="N704" s="8"/>
      <c r="O704" s="8"/>
      <c r="P704" s="8"/>
      <c r="Q704" s="8"/>
      <c r="R704" s="8"/>
      <c r="S704" s="8"/>
      <c r="T704" s="8"/>
      <c r="U704" s="8"/>
      <c r="V704" s="8"/>
      <c r="W704" s="8"/>
      <c r="X704" s="8"/>
      <c r="Y704" s="8"/>
      <c r="Z704" s="8"/>
    </row>
    <row r="705" ht="16.5" customHeight="1">
      <c r="A705" s="8"/>
      <c r="B705" s="27"/>
      <c r="C705" s="27"/>
      <c r="D705" s="27"/>
      <c r="E705" s="28"/>
      <c r="F705" s="29"/>
      <c r="G705" s="28"/>
      <c r="H705" s="30"/>
      <c r="I705" s="31"/>
      <c r="J705" s="28"/>
      <c r="K705" s="27"/>
      <c r="L705" s="8"/>
      <c r="M705" s="8"/>
      <c r="N705" s="8"/>
      <c r="O705" s="8"/>
      <c r="P705" s="8"/>
      <c r="Q705" s="8"/>
      <c r="R705" s="8"/>
      <c r="S705" s="8"/>
      <c r="T705" s="8"/>
      <c r="U705" s="8"/>
      <c r="V705" s="8"/>
      <c r="W705" s="8"/>
      <c r="X705" s="8"/>
      <c r="Y705" s="8"/>
      <c r="Z705" s="8"/>
    </row>
    <row r="706" ht="16.5" customHeight="1">
      <c r="A706" s="8"/>
      <c r="B706" s="27"/>
      <c r="C706" s="27"/>
      <c r="D706" s="27"/>
      <c r="E706" s="28"/>
      <c r="F706" s="29"/>
      <c r="G706" s="28"/>
      <c r="H706" s="30"/>
      <c r="I706" s="31"/>
      <c r="J706" s="28"/>
      <c r="K706" s="27"/>
      <c r="L706" s="8"/>
      <c r="M706" s="8"/>
      <c r="N706" s="8"/>
      <c r="O706" s="8"/>
      <c r="P706" s="8"/>
      <c r="Q706" s="8"/>
      <c r="R706" s="8"/>
      <c r="S706" s="8"/>
      <c r="T706" s="8"/>
      <c r="U706" s="8"/>
      <c r="V706" s="8"/>
      <c r="W706" s="8"/>
      <c r="X706" s="8"/>
      <c r="Y706" s="8"/>
      <c r="Z706" s="8"/>
    </row>
    <row r="707" ht="16.5" customHeight="1">
      <c r="A707" s="8"/>
      <c r="B707" s="27"/>
      <c r="C707" s="27"/>
      <c r="D707" s="27"/>
      <c r="E707" s="28"/>
      <c r="F707" s="29"/>
      <c r="G707" s="28"/>
      <c r="H707" s="30"/>
      <c r="I707" s="31"/>
      <c r="J707" s="28"/>
      <c r="K707" s="27"/>
      <c r="L707" s="8"/>
      <c r="M707" s="8"/>
      <c r="N707" s="8"/>
      <c r="O707" s="8"/>
      <c r="P707" s="8"/>
      <c r="Q707" s="8"/>
      <c r="R707" s="8"/>
      <c r="S707" s="8"/>
      <c r="T707" s="8"/>
      <c r="U707" s="8"/>
      <c r="V707" s="8"/>
      <c r="W707" s="8"/>
      <c r="X707" s="8"/>
      <c r="Y707" s="8"/>
      <c r="Z707" s="8"/>
    </row>
    <row r="708" ht="16.5" customHeight="1">
      <c r="A708" s="8"/>
      <c r="B708" s="27"/>
      <c r="C708" s="27"/>
      <c r="D708" s="27"/>
      <c r="E708" s="28"/>
      <c r="F708" s="29"/>
      <c r="G708" s="28"/>
      <c r="H708" s="30"/>
      <c r="I708" s="31"/>
      <c r="J708" s="28"/>
      <c r="K708" s="27"/>
      <c r="L708" s="8"/>
      <c r="M708" s="8"/>
      <c r="N708" s="8"/>
      <c r="O708" s="8"/>
      <c r="P708" s="8"/>
      <c r="Q708" s="8"/>
      <c r="R708" s="8"/>
      <c r="S708" s="8"/>
      <c r="T708" s="8"/>
      <c r="U708" s="8"/>
      <c r="V708" s="8"/>
      <c r="W708" s="8"/>
      <c r="X708" s="8"/>
      <c r="Y708" s="8"/>
      <c r="Z708" s="8"/>
    </row>
    <row r="709" ht="16.5" customHeight="1">
      <c r="A709" s="8"/>
      <c r="B709" s="27"/>
      <c r="C709" s="27"/>
      <c r="D709" s="27"/>
      <c r="E709" s="28"/>
      <c r="F709" s="29"/>
      <c r="G709" s="28"/>
      <c r="H709" s="30"/>
      <c r="I709" s="31"/>
      <c r="J709" s="28"/>
      <c r="K709" s="27"/>
      <c r="L709" s="8"/>
      <c r="M709" s="8"/>
      <c r="N709" s="8"/>
      <c r="O709" s="8"/>
      <c r="P709" s="8"/>
      <c r="Q709" s="8"/>
      <c r="R709" s="8"/>
      <c r="S709" s="8"/>
      <c r="T709" s="8"/>
      <c r="U709" s="8"/>
      <c r="V709" s="8"/>
      <c r="W709" s="8"/>
      <c r="X709" s="8"/>
      <c r="Y709" s="8"/>
      <c r="Z709" s="8"/>
    </row>
    <row r="710" ht="16.5" customHeight="1">
      <c r="A710" s="8"/>
      <c r="B710" s="27"/>
      <c r="C710" s="27"/>
      <c r="D710" s="27"/>
      <c r="E710" s="28"/>
      <c r="F710" s="29"/>
      <c r="G710" s="28"/>
      <c r="H710" s="30"/>
      <c r="I710" s="31"/>
      <c r="J710" s="28"/>
      <c r="K710" s="27"/>
      <c r="L710" s="8"/>
      <c r="M710" s="8"/>
      <c r="N710" s="8"/>
      <c r="O710" s="8"/>
      <c r="P710" s="8"/>
      <c r="Q710" s="8"/>
      <c r="R710" s="8"/>
      <c r="S710" s="8"/>
      <c r="T710" s="8"/>
      <c r="U710" s="8"/>
      <c r="V710" s="8"/>
      <c r="W710" s="8"/>
      <c r="X710" s="8"/>
      <c r="Y710" s="8"/>
      <c r="Z710" s="8"/>
    </row>
    <row r="711" ht="16.5" customHeight="1">
      <c r="A711" s="8"/>
      <c r="B711" s="27"/>
      <c r="C711" s="27"/>
      <c r="D711" s="27"/>
      <c r="E711" s="28"/>
      <c r="F711" s="29"/>
      <c r="G711" s="28"/>
      <c r="H711" s="30"/>
      <c r="I711" s="31"/>
      <c r="J711" s="28"/>
      <c r="K711" s="27"/>
      <c r="L711" s="8"/>
      <c r="M711" s="8"/>
      <c r="N711" s="8"/>
      <c r="O711" s="8"/>
      <c r="P711" s="8"/>
      <c r="Q711" s="8"/>
      <c r="R711" s="8"/>
      <c r="S711" s="8"/>
      <c r="T711" s="8"/>
      <c r="U711" s="8"/>
      <c r="V711" s="8"/>
      <c r="W711" s="8"/>
      <c r="X711" s="8"/>
      <c r="Y711" s="8"/>
      <c r="Z711" s="8"/>
    </row>
    <row r="712" ht="16.5" customHeight="1">
      <c r="A712" s="8"/>
      <c r="B712" s="27"/>
      <c r="C712" s="27"/>
      <c r="D712" s="27"/>
      <c r="E712" s="28"/>
      <c r="F712" s="29"/>
      <c r="G712" s="28"/>
      <c r="H712" s="30"/>
      <c r="I712" s="31"/>
      <c r="J712" s="28"/>
      <c r="K712" s="27"/>
      <c r="L712" s="8"/>
      <c r="M712" s="8"/>
      <c r="N712" s="8"/>
      <c r="O712" s="8"/>
      <c r="P712" s="8"/>
      <c r="Q712" s="8"/>
      <c r="R712" s="8"/>
      <c r="S712" s="8"/>
      <c r="T712" s="8"/>
      <c r="U712" s="8"/>
      <c r="V712" s="8"/>
      <c r="W712" s="8"/>
      <c r="X712" s="8"/>
      <c r="Y712" s="8"/>
      <c r="Z712" s="8"/>
    </row>
    <row r="713" ht="16.5" customHeight="1">
      <c r="A713" s="8"/>
      <c r="B713" s="27"/>
      <c r="C713" s="27"/>
      <c r="D713" s="27"/>
      <c r="E713" s="28"/>
      <c r="F713" s="29"/>
      <c r="G713" s="28"/>
      <c r="H713" s="30"/>
      <c r="I713" s="31"/>
      <c r="J713" s="28"/>
      <c r="K713" s="27"/>
      <c r="L713" s="8"/>
      <c r="M713" s="8"/>
      <c r="N713" s="8"/>
      <c r="O713" s="8"/>
      <c r="P713" s="8"/>
      <c r="Q713" s="8"/>
      <c r="R713" s="8"/>
      <c r="S713" s="8"/>
      <c r="T713" s="8"/>
      <c r="U713" s="8"/>
      <c r="V713" s="8"/>
      <c r="W713" s="8"/>
      <c r="X713" s="8"/>
      <c r="Y713" s="8"/>
      <c r="Z713" s="8"/>
    </row>
    <row r="714" ht="16.5" customHeight="1">
      <c r="A714" s="8"/>
      <c r="B714" s="27"/>
      <c r="C714" s="27"/>
      <c r="D714" s="27"/>
      <c r="E714" s="28"/>
      <c r="F714" s="29"/>
      <c r="G714" s="28"/>
      <c r="H714" s="30"/>
      <c r="I714" s="31"/>
      <c r="J714" s="28"/>
      <c r="K714" s="27"/>
      <c r="L714" s="8"/>
      <c r="M714" s="8"/>
      <c r="N714" s="8"/>
      <c r="O714" s="8"/>
      <c r="P714" s="8"/>
      <c r="Q714" s="8"/>
      <c r="R714" s="8"/>
      <c r="S714" s="8"/>
      <c r="T714" s="8"/>
      <c r="U714" s="8"/>
      <c r="V714" s="8"/>
      <c r="W714" s="8"/>
      <c r="X714" s="8"/>
      <c r="Y714" s="8"/>
      <c r="Z714" s="8"/>
    </row>
    <row r="715" ht="16.5" customHeight="1">
      <c r="A715" s="8"/>
      <c r="B715" s="27"/>
      <c r="C715" s="27"/>
      <c r="D715" s="27"/>
      <c r="E715" s="28"/>
      <c r="F715" s="29"/>
      <c r="G715" s="28"/>
      <c r="H715" s="30"/>
      <c r="I715" s="31"/>
      <c r="J715" s="28"/>
      <c r="K715" s="27"/>
      <c r="L715" s="8"/>
      <c r="M715" s="8"/>
      <c r="N715" s="8"/>
      <c r="O715" s="8"/>
      <c r="P715" s="8"/>
      <c r="Q715" s="8"/>
      <c r="R715" s="8"/>
      <c r="S715" s="8"/>
      <c r="T715" s="8"/>
      <c r="U715" s="8"/>
      <c r="V715" s="8"/>
      <c r="W715" s="8"/>
      <c r="X715" s="8"/>
      <c r="Y715" s="8"/>
      <c r="Z715" s="8"/>
    </row>
    <row r="716" ht="16.5" customHeight="1">
      <c r="A716" s="8"/>
      <c r="B716" s="27"/>
      <c r="C716" s="27"/>
      <c r="D716" s="27"/>
      <c r="E716" s="28"/>
      <c r="F716" s="29"/>
      <c r="G716" s="28"/>
      <c r="H716" s="30"/>
      <c r="I716" s="31"/>
      <c r="J716" s="28"/>
      <c r="K716" s="27"/>
      <c r="L716" s="8"/>
      <c r="M716" s="8"/>
      <c r="N716" s="8"/>
      <c r="O716" s="8"/>
      <c r="P716" s="8"/>
      <c r="Q716" s="8"/>
      <c r="R716" s="8"/>
      <c r="S716" s="8"/>
      <c r="T716" s="8"/>
      <c r="U716" s="8"/>
      <c r="V716" s="8"/>
      <c r="W716" s="8"/>
      <c r="X716" s="8"/>
      <c r="Y716" s="8"/>
      <c r="Z716" s="8"/>
    </row>
    <row r="717" ht="16.5" customHeight="1">
      <c r="A717" s="8"/>
      <c r="B717" s="27"/>
      <c r="C717" s="27"/>
      <c r="D717" s="27"/>
      <c r="E717" s="28"/>
      <c r="F717" s="29"/>
      <c r="G717" s="28"/>
      <c r="H717" s="30"/>
      <c r="I717" s="31"/>
      <c r="J717" s="28"/>
      <c r="K717" s="27"/>
      <c r="L717" s="8"/>
      <c r="M717" s="8"/>
      <c r="N717" s="8"/>
      <c r="O717" s="8"/>
      <c r="P717" s="8"/>
      <c r="Q717" s="8"/>
      <c r="R717" s="8"/>
      <c r="S717" s="8"/>
      <c r="T717" s="8"/>
      <c r="U717" s="8"/>
      <c r="V717" s="8"/>
      <c r="W717" s="8"/>
      <c r="X717" s="8"/>
      <c r="Y717" s="8"/>
      <c r="Z717" s="8"/>
    </row>
    <row r="718" ht="16.5" customHeight="1">
      <c r="A718" s="8"/>
      <c r="B718" s="27"/>
      <c r="C718" s="27"/>
      <c r="D718" s="27"/>
      <c r="E718" s="28"/>
      <c r="F718" s="29"/>
      <c r="G718" s="28"/>
      <c r="H718" s="30"/>
      <c r="I718" s="31"/>
      <c r="J718" s="28"/>
      <c r="K718" s="27"/>
      <c r="L718" s="8"/>
      <c r="M718" s="8"/>
      <c r="N718" s="8"/>
      <c r="O718" s="8"/>
      <c r="P718" s="8"/>
      <c r="Q718" s="8"/>
      <c r="R718" s="8"/>
      <c r="S718" s="8"/>
      <c r="T718" s="8"/>
      <c r="U718" s="8"/>
      <c r="V718" s="8"/>
      <c r="W718" s="8"/>
      <c r="X718" s="8"/>
      <c r="Y718" s="8"/>
      <c r="Z718" s="8"/>
    </row>
    <row r="719" ht="16.5" customHeight="1">
      <c r="A719" s="8"/>
      <c r="B719" s="27"/>
      <c r="C719" s="27"/>
      <c r="D719" s="27"/>
      <c r="E719" s="28"/>
      <c r="F719" s="29"/>
      <c r="G719" s="28"/>
      <c r="H719" s="30"/>
      <c r="I719" s="31"/>
      <c r="J719" s="28"/>
      <c r="K719" s="27"/>
      <c r="L719" s="8"/>
      <c r="M719" s="8"/>
      <c r="N719" s="8"/>
      <c r="O719" s="8"/>
      <c r="P719" s="8"/>
      <c r="Q719" s="8"/>
      <c r="R719" s="8"/>
      <c r="S719" s="8"/>
      <c r="T719" s="8"/>
      <c r="U719" s="8"/>
      <c r="V719" s="8"/>
      <c r="W719" s="8"/>
      <c r="X719" s="8"/>
      <c r="Y719" s="8"/>
      <c r="Z719" s="8"/>
    </row>
    <row r="720" ht="16.5" customHeight="1">
      <c r="A720" s="8"/>
      <c r="B720" s="27"/>
      <c r="C720" s="27"/>
      <c r="D720" s="27"/>
      <c r="E720" s="28"/>
      <c r="F720" s="29"/>
      <c r="G720" s="28"/>
      <c r="H720" s="30"/>
      <c r="I720" s="31"/>
      <c r="J720" s="28"/>
      <c r="K720" s="27"/>
      <c r="L720" s="8"/>
      <c r="M720" s="8"/>
      <c r="N720" s="8"/>
      <c r="O720" s="8"/>
      <c r="P720" s="8"/>
      <c r="Q720" s="8"/>
      <c r="R720" s="8"/>
      <c r="S720" s="8"/>
      <c r="T720" s="8"/>
      <c r="U720" s="8"/>
      <c r="V720" s="8"/>
      <c r="W720" s="8"/>
      <c r="X720" s="8"/>
      <c r="Y720" s="8"/>
      <c r="Z720" s="8"/>
    </row>
    <row r="721" ht="16.5" customHeight="1">
      <c r="A721" s="8"/>
      <c r="B721" s="27"/>
      <c r="C721" s="27"/>
      <c r="D721" s="27"/>
      <c r="E721" s="28"/>
      <c r="F721" s="29"/>
      <c r="G721" s="28"/>
      <c r="H721" s="30"/>
      <c r="I721" s="31"/>
      <c r="J721" s="28"/>
      <c r="K721" s="27"/>
      <c r="L721" s="8"/>
      <c r="M721" s="8"/>
      <c r="N721" s="8"/>
      <c r="O721" s="8"/>
      <c r="P721" s="8"/>
      <c r="Q721" s="8"/>
      <c r="R721" s="8"/>
      <c r="S721" s="8"/>
      <c r="T721" s="8"/>
      <c r="U721" s="8"/>
      <c r="V721" s="8"/>
      <c r="W721" s="8"/>
      <c r="X721" s="8"/>
      <c r="Y721" s="8"/>
      <c r="Z721" s="8"/>
    </row>
    <row r="722" ht="16.5" customHeight="1">
      <c r="A722" s="8"/>
      <c r="B722" s="27"/>
      <c r="C722" s="27"/>
      <c r="D722" s="27"/>
      <c r="E722" s="28"/>
      <c r="F722" s="29"/>
      <c r="G722" s="28"/>
      <c r="H722" s="30"/>
      <c r="I722" s="31"/>
      <c r="J722" s="28"/>
      <c r="K722" s="27"/>
      <c r="L722" s="8"/>
      <c r="M722" s="8"/>
      <c r="N722" s="8"/>
      <c r="O722" s="8"/>
      <c r="P722" s="8"/>
      <c r="Q722" s="8"/>
      <c r="R722" s="8"/>
      <c r="S722" s="8"/>
      <c r="T722" s="8"/>
      <c r="U722" s="8"/>
      <c r="V722" s="8"/>
      <c r="W722" s="8"/>
      <c r="X722" s="8"/>
      <c r="Y722" s="8"/>
      <c r="Z722" s="8"/>
    </row>
    <row r="723" ht="16.5" customHeight="1">
      <c r="A723" s="8"/>
      <c r="B723" s="27"/>
      <c r="C723" s="27"/>
      <c r="D723" s="27"/>
      <c r="E723" s="28"/>
      <c r="F723" s="29"/>
      <c r="G723" s="28"/>
      <c r="H723" s="30"/>
      <c r="I723" s="31"/>
      <c r="J723" s="28"/>
      <c r="K723" s="27"/>
      <c r="L723" s="8"/>
      <c r="M723" s="8"/>
      <c r="N723" s="8"/>
      <c r="O723" s="8"/>
      <c r="P723" s="8"/>
      <c r="Q723" s="8"/>
      <c r="R723" s="8"/>
      <c r="S723" s="8"/>
      <c r="T723" s="8"/>
      <c r="U723" s="8"/>
      <c r="V723" s="8"/>
      <c r="W723" s="8"/>
      <c r="X723" s="8"/>
      <c r="Y723" s="8"/>
      <c r="Z723" s="8"/>
    </row>
    <row r="724" ht="16.5" customHeight="1">
      <c r="A724" s="8"/>
      <c r="B724" s="27"/>
      <c r="C724" s="27"/>
      <c r="D724" s="27"/>
      <c r="E724" s="28"/>
      <c r="F724" s="29"/>
      <c r="G724" s="28"/>
      <c r="H724" s="30"/>
      <c r="I724" s="31"/>
      <c r="J724" s="28"/>
      <c r="K724" s="27"/>
      <c r="L724" s="8"/>
      <c r="M724" s="8"/>
      <c r="N724" s="8"/>
      <c r="O724" s="8"/>
      <c r="P724" s="8"/>
      <c r="Q724" s="8"/>
      <c r="R724" s="8"/>
      <c r="S724" s="8"/>
      <c r="T724" s="8"/>
      <c r="U724" s="8"/>
      <c r="V724" s="8"/>
      <c r="W724" s="8"/>
      <c r="X724" s="8"/>
      <c r="Y724" s="8"/>
      <c r="Z724" s="8"/>
    </row>
    <row r="725" ht="16.5" customHeight="1">
      <c r="A725" s="8"/>
      <c r="B725" s="27"/>
      <c r="C725" s="27"/>
      <c r="D725" s="27"/>
      <c r="E725" s="28"/>
      <c r="F725" s="29"/>
      <c r="G725" s="28"/>
      <c r="H725" s="30"/>
      <c r="I725" s="31"/>
      <c r="J725" s="28"/>
      <c r="K725" s="27"/>
      <c r="L725" s="8"/>
      <c r="M725" s="8"/>
      <c r="N725" s="8"/>
      <c r="O725" s="8"/>
      <c r="P725" s="8"/>
      <c r="Q725" s="8"/>
      <c r="R725" s="8"/>
      <c r="S725" s="8"/>
      <c r="T725" s="8"/>
      <c r="U725" s="8"/>
      <c r="V725" s="8"/>
      <c r="W725" s="8"/>
      <c r="X725" s="8"/>
      <c r="Y725" s="8"/>
      <c r="Z725" s="8"/>
    </row>
    <row r="726" ht="16.5" customHeight="1">
      <c r="A726" s="8"/>
      <c r="B726" s="27"/>
      <c r="C726" s="27"/>
      <c r="D726" s="27"/>
      <c r="E726" s="28"/>
      <c r="F726" s="29"/>
      <c r="G726" s="28"/>
      <c r="H726" s="30"/>
      <c r="I726" s="31"/>
      <c r="J726" s="28"/>
      <c r="K726" s="27"/>
      <c r="L726" s="8"/>
      <c r="M726" s="8"/>
      <c r="N726" s="8"/>
      <c r="O726" s="8"/>
      <c r="P726" s="8"/>
      <c r="Q726" s="8"/>
      <c r="R726" s="8"/>
      <c r="S726" s="8"/>
      <c r="T726" s="8"/>
      <c r="U726" s="8"/>
      <c r="V726" s="8"/>
      <c r="W726" s="8"/>
      <c r="X726" s="8"/>
      <c r="Y726" s="8"/>
      <c r="Z726" s="8"/>
    </row>
    <row r="727" ht="16.5" customHeight="1">
      <c r="A727" s="8"/>
      <c r="B727" s="27"/>
      <c r="C727" s="27"/>
      <c r="D727" s="27"/>
      <c r="E727" s="28"/>
      <c r="F727" s="29"/>
      <c r="G727" s="28"/>
      <c r="H727" s="30"/>
      <c r="I727" s="31"/>
      <c r="J727" s="28"/>
      <c r="K727" s="27"/>
      <c r="L727" s="8"/>
      <c r="M727" s="8"/>
      <c r="N727" s="8"/>
      <c r="O727" s="8"/>
      <c r="P727" s="8"/>
      <c r="Q727" s="8"/>
      <c r="R727" s="8"/>
      <c r="S727" s="8"/>
      <c r="T727" s="8"/>
      <c r="U727" s="8"/>
      <c r="V727" s="8"/>
      <c r="W727" s="8"/>
      <c r="X727" s="8"/>
      <c r="Y727" s="8"/>
      <c r="Z727" s="8"/>
    </row>
    <row r="728" ht="16.5" customHeight="1">
      <c r="A728" s="8"/>
      <c r="B728" s="27"/>
      <c r="C728" s="27"/>
      <c r="D728" s="27"/>
      <c r="E728" s="28"/>
      <c r="F728" s="29"/>
      <c r="G728" s="28"/>
      <c r="H728" s="30"/>
      <c r="I728" s="31"/>
      <c r="J728" s="28"/>
      <c r="K728" s="27"/>
      <c r="L728" s="8"/>
      <c r="M728" s="8"/>
      <c r="N728" s="8"/>
      <c r="O728" s="8"/>
      <c r="P728" s="8"/>
      <c r="Q728" s="8"/>
      <c r="R728" s="8"/>
      <c r="S728" s="8"/>
      <c r="T728" s="8"/>
      <c r="U728" s="8"/>
      <c r="V728" s="8"/>
      <c r="W728" s="8"/>
      <c r="X728" s="8"/>
      <c r="Y728" s="8"/>
      <c r="Z728" s="8"/>
    </row>
    <row r="729" ht="16.5" customHeight="1">
      <c r="A729" s="8"/>
      <c r="B729" s="27"/>
      <c r="C729" s="27"/>
      <c r="D729" s="27"/>
      <c r="E729" s="28"/>
      <c r="F729" s="29"/>
      <c r="G729" s="28"/>
      <c r="H729" s="30"/>
      <c r="I729" s="31"/>
      <c r="J729" s="28"/>
      <c r="K729" s="27"/>
      <c r="L729" s="8"/>
      <c r="M729" s="8"/>
      <c r="N729" s="8"/>
      <c r="O729" s="8"/>
      <c r="P729" s="8"/>
      <c r="Q729" s="8"/>
      <c r="R729" s="8"/>
      <c r="S729" s="8"/>
      <c r="T729" s="8"/>
      <c r="U729" s="8"/>
      <c r="V729" s="8"/>
      <c r="W729" s="8"/>
      <c r="X729" s="8"/>
      <c r="Y729" s="8"/>
      <c r="Z729" s="8"/>
    </row>
    <row r="730" ht="16.5" customHeight="1">
      <c r="A730" s="8"/>
      <c r="B730" s="27"/>
      <c r="C730" s="27"/>
      <c r="D730" s="27"/>
      <c r="E730" s="28"/>
      <c r="F730" s="29"/>
      <c r="G730" s="28"/>
      <c r="H730" s="30"/>
      <c r="I730" s="31"/>
      <c r="J730" s="28"/>
      <c r="K730" s="27"/>
      <c r="L730" s="8"/>
      <c r="M730" s="8"/>
      <c r="N730" s="8"/>
      <c r="O730" s="8"/>
      <c r="P730" s="8"/>
      <c r="Q730" s="8"/>
      <c r="R730" s="8"/>
      <c r="S730" s="8"/>
      <c r="T730" s="8"/>
      <c r="U730" s="8"/>
      <c r="V730" s="8"/>
      <c r="W730" s="8"/>
      <c r="X730" s="8"/>
      <c r="Y730" s="8"/>
      <c r="Z730" s="8"/>
    </row>
    <row r="731" ht="16.5" customHeight="1">
      <c r="A731" s="8"/>
      <c r="B731" s="27"/>
      <c r="C731" s="27"/>
      <c r="D731" s="27"/>
      <c r="E731" s="28"/>
      <c r="F731" s="29"/>
      <c r="G731" s="28"/>
      <c r="H731" s="30"/>
      <c r="I731" s="31"/>
      <c r="J731" s="28"/>
      <c r="K731" s="27"/>
      <c r="L731" s="8"/>
      <c r="M731" s="8"/>
      <c r="N731" s="8"/>
      <c r="O731" s="8"/>
      <c r="P731" s="8"/>
      <c r="Q731" s="8"/>
      <c r="R731" s="8"/>
      <c r="S731" s="8"/>
      <c r="T731" s="8"/>
      <c r="U731" s="8"/>
      <c r="V731" s="8"/>
      <c r="W731" s="8"/>
      <c r="X731" s="8"/>
      <c r="Y731" s="8"/>
      <c r="Z731" s="8"/>
    </row>
    <row r="732" ht="16.5" customHeight="1">
      <c r="A732" s="8"/>
      <c r="B732" s="27"/>
      <c r="C732" s="27"/>
      <c r="D732" s="27"/>
      <c r="E732" s="28"/>
      <c r="F732" s="29"/>
      <c r="G732" s="28"/>
      <c r="H732" s="30"/>
      <c r="I732" s="31"/>
      <c r="J732" s="28"/>
      <c r="K732" s="27"/>
      <c r="L732" s="8"/>
      <c r="M732" s="8"/>
      <c r="N732" s="8"/>
      <c r="O732" s="8"/>
      <c r="P732" s="8"/>
      <c r="Q732" s="8"/>
      <c r="R732" s="8"/>
      <c r="S732" s="8"/>
      <c r="T732" s="8"/>
      <c r="U732" s="8"/>
      <c r="V732" s="8"/>
      <c r="W732" s="8"/>
      <c r="X732" s="8"/>
      <c r="Y732" s="8"/>
      <c r="Z732" s="8"/>
    </row>
    <row r="733" ht="16.5" customHeight="1">
      <c r="A733" s="8"/>
      <c r="B733" s="27"/>
      <c r="C733" s="27"/>
      <c r="D733" s="27"/>
      <c r="E733" s="28"/>
      <c r="F733" s="29"/>
      <c r="G733" s="28"/>
      <c r="H733" s="30"/>
      <c r="I733" s="31"/>
      <c r="J733" s="28"/>
      <c r="K733" s="27"/>
      <c r="L733" s="8"/>
      <c r="M733" s="8"/>
      <c r="N733" s="8"/>
      <c r="O733" s="8"/>
      <c r="P733" s="8"/>
      <c r="Q733" s="8"/>
      <c r="R733" s="8"/>
      <c r="S733" s="8"/>
      <c r="T733" s="8"/>
      <c r="U733" s="8"/>
      <c r="V733" s="8"/>
      <c r="W733" s="8"/>
      <c r="X733" s="8"/>
      <c r="Y733" s="8"/>
      <c r="Z733" s="8"/>
    </row>
    <row r="734" ht="16.5" customHeight="1">
      <c r="A734" s="8"/>
      <c r="B734" s="27"/>
      <c r="C734" s="27"/>
      <c r="D734" s="27"/>
      <c r="E734" s="28"/>
      <c r="F734" s="29"/>
      <c r="G734" s="28"/>
      <c r="H734" s="30"/>
      <c r="I734" s="31"/>
      <c r="J734" s="28"/>
      <c r="K734" s="27"/>
      <c r="L734" s="8"/>
      <c r="M734" s="8"/>
      <c r="N734" s="8"/>
      <c r="O734" s="8"/>
      <c r="P734" s="8"/>
      <c r="Q734" s="8"/>
      <c r="R734" s="8"/>
      <c r="S734" s="8"/>
      <c r="T734" s="8"/>
      <c r="U734" s="8"/>
      <c r="V734" s="8"/>
      <c r="W734" s="8"/>
      <c r="X734" s="8"/>
      <c r="Y734" s="8"/>
      <c r="Z734" s="8"/>
    </row>
    <row r="735" ht="16.5" customHeight="1">
      <c r="A735" s="8"/>
      <c r="B735" s="27"/>
      <c r="C735" s="27"/>
      <c r="D735" s="27"/>
      <c r="E735" s="28"/>
      <c r="F735" s="29"/>
      <c r="G735" s="28"/>
      <c r="H735" s="30"/>
      <c r="I735" s="31"/>
      <c r="J735" s="28"/>
      <c r="K735" s="27"/>
      <c r="L735" s="8"/>
      <c r="M735" s="8"/>
      <c r="N735" s="8"/>
      <c r="O735" s="8"/>
      <c r="P735" s="8"/>
      <c r="Q735" s="8"/>
      <c r="R735" s="8"/>
      <c r="S735" s="8"/>
      <c r="T735" s="8"/>
      <c r="U735" s="8"/>
      <c r="V735" s="8"/>
      <c r="W735" s="8"/>
      <c r="X735" s="8"/>
      <c r="Y735" s="8"/>
      <c r="Z735" s="8"/>
    </row>
    <row r="736" ht="16.5" customHeight="1">
      <c r="A736" s="8"/>
      <c r="B736" s="27"/>
      <c r="C736" s="27"/>
      <c r="D736" s="27"/>
      <c r="E736" s="28"/>
      <c r="F736" s="29"/>
      <c r="G736" s="28"/>
      <c r="H736" s="30"/>
      <c r="I736" s="31"/>
      <c r="J736" s="28"/>
      <c r="K736" s="27"/>
      <c r="L736" s="8"/>
      <c r="M736" s="8"/>
      <c r="N736" s="8"/>
      <c r="O736" s="8"/>
      <c r="P736" s="8"/>
      <c r="Q736" s="8"/>
      <c r="R736" s="8"/>
      <c r="S736" s="8"/>
      <c r="T736" s="8"/>
      <c r="U736" s="8"/>
      <c r="V736" s="8"/>
      <c r="W736" s="8"/>
      <c r="X736" s="8"/>
      <c r="Y736" s="8"/>
      <c r="Z736" s="8"/>
    </row>
    <row r="737" ht="16.5" customHeight="1">
      <c r="A737" s="8"/>
      <c r="B737" s="27"/>
      <c r="C737" s="27"/>
      <c r="D737" s="27"/>
      <c r="E737" s="28"/>
      <c r="F737" s="29"/>
      <c r="G737" s="28"/>
      <c r="H737" s="30"/>
      <c r="I737" s="31"/>
      <c r="J737" s="28"/>
      <c r="K737" s="27"/>
      <c r="L737" s="8"/>
      <c r="M737" s="8"/>
      <c r="N737" s="8"/>
      <c r="O737" s="8"/>
      <c r="P737" s="8"/>
      <c r="Q737" s="8"/>
      <c r="R737" s="8"/>
      <c r="S737" s="8"/>
      <c r="T737" s="8"/>
      <c r="U737" s="8"/>
      <c r="V737" s="8"/>
      <c r="W737" s="8"/>
      <c r="X737" s="8"/>
      <c r="Y737" s="8"/>
      <c r="Z737" s="8"/>
    </row>
    <row r="738" ht="16.5" customHeight="1">
      <c r="A738" s="8"/>
      <c r="B738" s="27"/>
      <c r="C738" s="27"/>
      <c r="D738" s="27"/>
      <c r="E738" s="28"/>
      <c r="F738" s="29"/>
      <c r="G738" s="28"/>
      <c r="H738" s="30"/>
      <c r="I738" s="31"/>
      <c r="J738" s="28"/>
      <c r="K738" s="27"/>
      <c r="L738" s="8"/>
      <c r="M738" s="8"/>
      <c r="N738" s="8"/>
      <c r="O738" s="8"/>
      <c r="P738" s="8"/>
      <c r="Q738" s="8"/>
      <c r="R738" s="8"/>
      <c r="S738" s="8"/>
      <c r="T738" s="8"/>
      <c r="U738" s="8"/>
      <c r="V738" s="8"/>
      <c r="W738" s="8"/>
      <c r="X738" s="8"/>
      <c r="Y738" s="8"/>
      <c r="Z738" s="8"/>
    </row>
    <row r="739" ht="16.5" customHeight="1">
      <c r="A739" s="8"/>
      <c r="B739" s="27"/>
      <c r="C739" s="27"/>
      <c r="D739" s="27"/>
      <c r="E739" s="28"/>
      <c r="F739" s="29"/>
      <c r="G739" s="28"/>
      <c r="H739" s="30"/>
      <c r="I739" s="31"/>
      <c r="J739" s="28"/>
      <c r="K739" s="27"/>
      <c r="L739" s="8"/>
      <c r="M739" s="8"/>
      <c r="N739" s="8"/>
      <c r="O739" s="8"/>
      <c r="P739" s="8"/>
      <c r="Q739" s="8"/>
      <c r="R739" s="8"/>
      <c r="S739" s="8"/>
      <c r="T739" s="8"/>
      <c r="U739" s="8"/>
      <c r="V739" s="8"/>
      <c r="W739" s="8"/>
      <c r="X739" s="8"/>
      <c r="Y739" s="8"/>
      <c r="Z739" s="8"/>
    </row>
    <row r="740" ht="16.5" customHeight="1">
      <c r="A740" s="8"/>
      <c r="B740" s="27"/>
      <c r="C740" s="27"/>
      <c r="D740" s="27"/>
      <c r="E740" s="28"/>
      <c r="F740" s="29"/>
      <c r="G740" s="28"/>
      <c r="H740" s="30"/>
      <c r="I740" s="31"/>
      <c r="J740" s="28"/>
      <c r="K740" s="27"/>
      <c r="L740" s="8"/>
      <c r="M740" s="8"/>
      <c r="N740" s="8"/>
      <c r="O740" s="8"/>
      <c r="P740" s="8"/>
      <c r="Q740" s="8"/>
      <c r="R740" s="8"/>
      <c r="S740" s="8"/>
      <c r="T740" s="8"/>
      <c r="U740" s="8"/>
      <c r="V740" s="8"/>
      <c r="W740" s="8"/>
      <c r="X740" s="8"/>
      <c r="Y740" s="8"/>
      <c r="Z740" s="8"/>
    </row>
    <row r="741" ht="16.5" customHeight="1">
      <c r="A741" s="8"/>
      <c r="B741" s="27"/>
      <c r="C741" s="27"/>
      <c r="D741" s="27"/>
      <c r="E741" s="28"/>
      <c r="F741" s="29"/>
      <c r="G741" s="28"/>
      <c r="H741" s="30"/>
      <c r="I741" s="31"/>
      <c r="J741" s="28"/>
      <c r="K741" s="27"/>
      <c r="L741" s="8"/>
      <c r="M741" s="8"/>
      <c r="N741" s="8"/>
      <c r="O741" s="8"/>
      <c r="P741" s="8"/>
      <c r="Q741" s="8"/>
      <c r="R741" s="8"/>
      <c r="S741" s="8"/>
      <c r="T741" s="8"/>
      <c r="U741" s="8"/>
      <c r="V741" s="8"/>
      <c r="W741" s="8"/>
      <c r="X741" s="8"/>
      <c r="Y741" s="8"/>
      <c r="Z741" s="8"/>
    </row>
    <row r="742" ht="16.5" customHeight="1">
      <c r="A742" s="8"/>
      <c r="B742" s="27"/>
      <c r="C742" s="27"/>
      <c r="D742" s="27"/>
      <c r="E742" s="28"/>
      <c r="F742" s="29"/>
      <c r="G742" s="28"/>
      <c r="H742" s="30"/>
      <c r="I742" s="31"/>
      <c r="J742" s="28"/>
      <c r="K742" s="27"/>
      <c r="L742" s="8"/>
      <c r="M742" s="8"/>
      <c r="N742" s="8"/>
      <c r="O742" s="8"/>
      <c r="P742" s="8"/>
      <c r="Q742" s="8"/>
      <c r="R742" s="8"/>
      <c r="S742" s="8"/>
      <c r="T742" s="8"/>
      <c r="U742" s="8"/>
      <c r="V742" s="8"/>
      <c r="W742" s="8"/>
      <c r="X742" s="8"/>
      <c r="Y742" s="8"/>
      <c r="Z742" s="8"/>
    </row>
    <row r="743" ht="16.5" customHeight="1">
      <c r="A743" s="8"/>
      <c r="B743" s="27"/>
      <c r="C743" s="27"/>
      <c r="D743" s="27"/>
      <c r="E743" s="28"/>
      <c r="F743" s="29"/>
      <c r="G743" s="28"/>
      <c r="H743" s="30"/>
      <c r="I743" s="31"/>
      <c r="J743" s="28"/>
      <c r="K743" s="27"/>
      <c r="L743" s="8"/>
      <c r="M743" s="8"/>
      <c r="N743" s="8"/>
      <c r="O743" s="8"/>
      <c r="P743" s="8"/>
      <c r="Q743" s="8"/>
      <c r="R743" s="8"/>
      <c r="S743" s="8"/>
      <c r="T743" s="8"/>
      <c r="U743" s="8"/>
      <c r="V743" s="8"/>
      <c r="W743" s="8"/>
      <c r="X743" s="8"/>
      <c r="Y743" s="8"/>
      <c r="Z743" s="8"/>
    </row>
    <row r="744" ht="16.5" customHeight="1">
      <c r="A744" s="8"/>
      <c r="B744" s="27"/>
      <c r="C744" s="27"/>
      <c r="D744" s="27"/>
      <c r="E744" s="28"/>
      <c r="F744" s="29"/>
      <c r="G744" s="28"/>
      <c r="H744" s="30"/>
      <c r="I744" s="31"/>
      <c r="J744" s="28"/>
      <c r="K744" s="27"/>
      <c r="L744" s="8"/>
      <c r="M744" s="8"/>
      <c r="N744" s="8"/>
      <c r="O744" s="8"/>
      <c r="P744" s="8"/>
      <c r="Q744" s="8"/>
      <c r="R744" s="8"/>
      <c r="S744" s="8"/>
      <c r="T744" s="8"/>
      <c r="U744" s="8"/>
      <c r="V744" s="8"/>
      <c r="W744" s="8"/>
      <c r="X744" s="8"/>
      <c r="Y744" s="8"/>
      <c r="Z744" s="8"/>
    </row>
    <row r="745" ht="16.5" customHeight="1">
      <c r="A745" s="8"/>
      <c r="B745" s="27"/>
      <c r="C745" s="27"/>
      <c r="D745" s="27"/>
      <c r="E745" s="28"/>
      <c r="F745" s="29"/>
      <c r="G745" s="28"/>
      <c r="H745" s="30"/>
      <c r="I745" s="31"/>
      <c r="J745" s="28"/>
      <c r="K745" s="27"/>
      <c r="L745" s="8"/>
      <c r="M745" s="8"/>
      <c r="N745" s="8"/>
      <c r="O745" s="8"/>
      <c r="P745" s="8"/>
      <c r="Q745" s="8"/>
      <c r="R745" s="8"/>
      <c r="S745" s="8"/>
      <c r="T745" s="8"/>
      <c r="U745" s="8"/>
      <c r="V745" s="8"/>
      <c r="W745" s="8"/>
      <c r="X745" s="8"/>
      <c r="Y745" s="8"/>
      <c r="Z745" s="8"/>
    </row>
    <row r="746" ht="16.5" customHeight="1">
      <c r="A746" s="8"/>
      <c r="B746" s="27"/>
      <c r="C746" s="27"/>
      <c r="D746" s="27"/>
      <c r="E746" s="28"/>
      <c r="F746" s="29"/>
      <c r="G746" s="28"/>
      <c r="H746" s="30"/>
      <c r="I746" s="31"/>
      <c r="J746" s="28"/>
      <c r="K746" s="27"/>
      <c r="L746" s="8"/>
      <c r="M746" s="8"/>
      <c r="N746" s="8"/>
      <c r="O746" s="8"/>
      <c r="P746" s="8"/>
      <c r="Q746" s="8"/>
      <c r="R746" s="8"/>
      <c r="S746" s="8"/>
      <c r="T746" s="8"/>
      <c r="U746" s="8"/>
      <c r="V746" s="8"/>
      <c r="W746" s="8"/>
      <c r="X746" s="8"/>
      <c r="Y746" s="8"/>
      <c r="Z746" s="8"/>
    </row>
    <row r="747" ht="16.5" customHeight="1">
      <c r="A747" s="8"/>
      <c r="B747" s="27"/>
      <c r="C747" s="27"/>
      <c r="D747" s="27"/>
      <c r="E747" s="28"/>
      <c r="F747" s="29"/>
      <c r="G747" s="28"/>
      <c r="H747" s="30"/>
      <c r="I747" s="31"/>
      <c r="J747" s="28"/>
      <c r="K747" s="27"/>
      <c r="L747" s="8"/>
      <c r="M747" s="8"/>
      <c r="N747" s="8"/>
      <c r="O747" s="8"/>
      <c r="P747" s="8"/>
      <c r="Q747" s="8"/>
      <c r="R747" s="8"/>
      <c r="S747" s="8"/>
      <c r="T747" s="8"/>
      <c r="U747" s="8"/>
      <c r="V747" s="8"/>
      <c r="W747" s="8"/>
      <c r="X747" s="8"/>
      <c r="Y747" s="8"/>
      <c r="Z747" s="8"/>
    </row>
    <row r="748" ht="16.5" customHeight="1">
      <c r="A748" s="8"/>
      <c r="B748" s="27"/>
      <c r="C748" s="27"/>
      <c r="D748" s="27"/>
      <c r="E748" s="28"/>
      <c r="F748" s="29"/>
      <c r="G748" s="28"/>
      <c r="H748" s="30"/>
      <c r="I748" s="31"/>
      <c r="J748" s="28"/>
      <c r="K748" s="27"/>
      <c r="L748" s="8"/>
      <c r="M748" s="8"/>
      <c r="N748" s="8"/>
      <c r="O748" s="8"/>
      <c r="P748" s="8"/>
      <c r="Q748" s="8"/>
      <c r="R748" s="8"/>
      <c r="S748" s="8"/>
      <c r="T748" s="8"/>
      <c r="U748" s="8"/>
      <c r="V748" s="8"/>
      <c r="W748" s="8"/>
      <c r="X748" s="8"/>
      <c r="Y748" s="8"/>
      <c r="Z748" s="8"/>
    </row>
    <row r="749" ht="16.5" customHeight="1">
      <c r="A749" s="8"/>
      <c r="B749" s="27"/>
      <c r="C749" s="27"/>
      <c r="D749" s="27"/>
      <c r="E749" s="28"/>
      <c r="F749" s="29"/>
      <c r="G749" s="28"/>
      <c r="H749" s="30"/>
      <c r="I749" s="31"/>
      <c r="J749" s="28"/>
      <c r="K749" s="27"/>
      <c r="L749" s="8"/>
      <c r="M749" s="8"/>
      <c r="N749" s="8"/>
      <c r="O749" s="8"/>
      <c r="P749" s="8"/>
      <c r="Q749" s="8"/>
      <c r="R749" s="8"/>
      <c r="S749" s="8"/>
      <c r="T749" s="8"/>
      <c r="U749" s="8"/>
      <c r="V749" s="8"/>
      <c r="W749" s="8"/>
      <c r="X749" s="8"/>
      <c r="Y749" s="8"/>
      <c r="Z749" s="8"/>
    </row>
    <row r="750" ht="16.5" customHeight="1">
      <c r="A750" s="8"/>
      <c r="B750" s="27"/>
      <c r="C750" s="27"/>
      <c r="D750" s="27"/>
      <c r="E750" s="28"/>
      <c r="F750" s="29"/>
      <c r="G750" s="28"/>
      <c r="H750" s="30"/>
      <c r="I750" s="31"/>
      <c r="J750" s="28"/>
      <c r="K750" s="27"/>
      <c r="L750" s="8"/>
      <c r="M750" s="8"/>
      <c r="N750" s="8"/>
      <c r="O750" s="8"/>
      <c r="P750" s="8"/>
      <c r="Q750" s="8"/>
      <c r="R750" s="8"/>
      <c r="S750" s="8"/>
      <c r="T750" s="8"/>
      <c r="U750" s="8"/>
      <c r="V750" s="8"/>
      <c r="W750" s="8"/>
      <c r="X750" s="8"/>
      <c r="Y750" s="8"/>
      <c r="Z750" s="8"/>
    </row>
    <row r="751" ht="16.5" customHeight="1">
      <c r="A751" s="8"/>
      <c r="B751" s="27"/>
      <c r="C751" s="27"/>
      <c r="D751" s="27"/>
      <c r="E751" s="28"/>
      <c r="F751" s="29"/>
      <c r="G751" s="28"/>
      <c r="H751" s="30"/>
      <c r="I751" s="31"/>
      <c r="J751" s="28"/>
      <c r="K751" s="27"/>
      <c r="L751" s="8"/>
      <c r="M751" s="8"/>
      <c r="N751" s="8"/>
      <c r="O751" s="8"/>
      <c r="P751" s="8"/>
      <c r="Q751" s="8"/>
      <c r="R751" s="8"/>
      <c r="S751" s="8"/>
      <c r="T751" s="8"/>
      <c r="U751" s="8"/>
      <c r="V751" s="8"/>
      <c r="W751" s="8"/>
      <c r="X751" s="8"/>
      <c r="Y751" s="8"/>
      <c r="Z751" s="8"/>
    </row>
    <row r="752" ht="16.5" customHeight="1">
      <c r="A752" s="8"/>
      <c r="B752" s="27"/>
      <c r="C752" s="27"/>
      <c r="D752" s="27"/>
      <c r="E752" s="28"/>
      <c r="F752" s="29"/>
      <c r="G752" s="28"/>
      <c r="H752" s="30"/>
      <c r="I752" s="31"/>
      <c r="J752" s="28"/>
      <c r="K752" s="27"/>
      <c r="L752" s="8"/>
      <c r="M752" s="8"/>
      <c r="N752" s="8"/>
      <c r="O752" s="8"/>
      <c r="P752" s="8"/>
      <c r="Q752" s="8"/>
      <c r="R752" s="8"/>
      <c r="S752" s="8"/>
      <c r="T752" s="8"/>
      <c r="U752" s="8"/>
      <c r="V752" s="8"/>
      <c r="W752" s="8"/>
      <c r="X752" s="8"/>
      <c r="Y752" s="8"/>
      <c r="Z752" s="8"/>
    </row>
    <row r="753" ht="16.5" customHeight="1">
      <c r="A753" s="8"/>
      <c r="B753" s="27"/>
      <c r="C753" s="27"/>
      <c r="D753" s="27"/>
      <c r="E753" s="28"/>
      <c r="F753" s="29"/>
      <c r="G753" s="28"/>
      <c r="H753" s="30"/>
      <c r="I753" s="31"/>
      <c r="J753" s="28"/>
      <c r="K753" s="27"/>
      <c r="L753" s="8"/>
      <c r="M753" s="8"/>
      <c r="N753" s="8"/>
      <c r="O753" s="8"/>
      <c r="P753" s="8"/>
      <c r="Q753" s="8"/>
      <c r="R753" s="8"/>
      <c r="S753" s="8"/>
      <c r="T753" s="8"/>
      <c r="U753" s="8"/>
      <c r="V753" s="8"/>
      <c r="W753" s="8"/>
      <c r="X753" s="8"/>
      <c r="Y753" s="8"/>
      <c r="Z753" s="8"/>
    </row>
    <row r="754" ht="16.5" customHeight="1">
      <c r="A754" s="8"/>
      <c r="B754" s="27"/>
      <c r="C754" s="27"/>
      <c r="D754" s="27"/>
      <c r="E754" s="28"/>
      <c r="F754" s="29"/>
      <c r="G754" s="28"/>
      <c r="H754" s="30"/>
      <c r="I754" s="31"/>
      <c r="J754" s="28"/>
      <c r="K754" s="27"/>
      <c r="L754" s="8"/>
      <c r="M754" s="8"/>
      <c r="N754" s="8"/>
      <c r="O754" s="8"/>
      <c r="P754" s="8"/>
      <c r="Q754" s="8"/>
      <c r="R754" s="8"/>
      <c r="S754" s="8"/>
      <c r="T754" s="8"/>
      <c r="U754" s="8"/>
      <c r="V754" s="8"/>
      <c r="W754" s="8"/>
      <c r="X754" s="8"/>
      <c r="Y754" s="8"/>
      <c r="Z754" s="8"/>
    </row>
    <row r="755" ht="16.5" customHeight="1">
      <c r="A755" s="8"/>
      <c r="B755" s="27"/>
      <c r="C755" s="27"/>
      <c r="D755" s="27"/>
      <c r="E755" s="28"/>
      <c r="F755" s="29"/>
      <c r="G755" s="28"/>
      <c r="H755" s="30"/>
      <c r="I755" s="31"/>
      <c r="J755" s="28"/>
      <c r="K755" s="27"/>
      <c r="L755" s="8"/>
      <c r="M755" s="8"/>
      <c r="N755" s="8"/>
      <c r="O755" s="8"/>
      <c r="P755" s="8"/>
      <c r="Q755" s="8"/>
      <c r="R755" s="8"/>
      <c r="S755" s="8"/>
      <c r="T755" s="8"/>
      <c r="U755" s="8"/>
      <c r="V755" s="8"/>
      <c r="W755" s="8"/>
      <c r="X755" s="8"/>
      <c r="Y755" s="8"/>
      <c r="Z755" s="8"/>
    </row>
    <row r="756" ht="16.5" customHeight="1">
      <c r="A756" s="8"/>
      <c r="B756" s="27"/>
      <c r="C756" s="27"/>
      <c r="D756" s="27"/>
      <c r="E756" s="28"/>
      <c r="F756" s="29"/>
      <c r="G756" s="28"/>
      <c r="H756" s="30"/>
      <c r="I756" s="31"/>
      <c r="J756" s="28"/>
      <c r="K756" s="27"/>
      <c r="L756" s="8"/>
      <c r="M756" s="8"/>
      <c r="N756" s="8"/>
      <c r="O756" s="8"/>
      <c r="P756" s="8"/>
      <c r="Q756" s="8"/>
      <c r="R756" s="8"/>
      <c r="S756" s="8"/>
      <c r="T756" s="8"/>
      <c r="U756" s="8"/>
      <c r="V756" s="8"/>
      <c r="W756" s="8"/>
      <c r="X756" s="8"/>
      <c r="Y756" s="8"/>
      <c r="Z756" s="8"/>
    </row>
    <row r="757" ht="16.5" customHeight="1">
      <c r="A757" s="8"/>
      <c r="B757" s="27"/>
      <c r="C757" s="27"/>
      <c r="D757" s="27"/>
      <c r="E757" s="28"/>
      <c r="F757" s="29"/>
      <c r="G757" s="28"/>
      <c r="H757" s="30"/>
      <c r="I757" s="31"/>
      <c r="J757" s="28"/>
      <c r="K757" s="27"/>
      <c r="L757" s="8"/>
      <c r="M757" s="8"/>
      <c r="N757" s="8"/>
      <c r="O757" s="8"/>
      <c r="P757" s="8"/>
      <c r="Q757" s="8"/>
      <c r="R757" s="8"/>
      <c r="S757" s="8"/>
      <c r="T757" s="8"/>
      <c r="U757" s="8"/>
      <c r="V757" s="8"/>
      <c r="W757" s="8"/>
      <c r="X757" s="8"/>
      <c r="Y757" s="8"/>
      <c r="Z757" s="8"/>
    </row>
    <row r="758" ht="16.5" customHeight="1">
      <c r="A758" s="8"/>
      <c r="B758" s="27"/>
      <c r="C758" s="27"/>
      <c r="D758" s="27"/>
      <c r="E758" s="28"/>
      <c r="F758" s="29"/>
      <c r="G758" s="28"/>
      <c r="H758" s="30"/>
      <c r="I758" s="31"/>
      <c r="J758" s="28"/>
      <c r="K758" s="27"/>
      <c r="L758" s="8"/>
      <c r="M758" s="8"/>
      <c r="N758" s="8"/>
      <c r="O758" s="8"/>
      <c r="P758" s="8"/>
      <c r="Q758" s="8"/>
      <c r="R758" s="8"/>
      <c r="S758" s="8"/>
      <c r="T758" s="8"/>
      <c r="U758" s="8"/>
      <c r="V758" s="8"/>
      <c r="W758" s="8"/>
      <c r="X758" s="8"/>
      <c r="Y758" s="8"/>
      <c r="Z758" s="8"/>
    </row>
    <row r="759" ht="16.5" customHeight="1">
      <c r="A759" s="8"/>
      <c r="B759" s="27"/>
      <c r="C759" s="27"/>
      <c r="D759" s="27"/>
      <c r="E759" s="28"/>
      <c r="F759" s="29"/>
      <c r="G759" s="28"/>
      <c r="H759" s="30"/>
      <c r="I759" s="31"/>
      <c r="J759" s="28"/>
      <c r="K759" s="27"/>
      <c r="L759" s="8"/>
      <c r="M759" s="8"/>
      <c r="N759" s="8"/>
      <c r="O759" s="8"/>
      <c r="P759" s="8"/>
      <c r="Q759" s="8"/>
      <c r="R759" s="8"/>
      <c r="S759" s="8"/>
      <c r="T759" s="8"/>
      <c r="U759" s="8"/>
      <c r="V759" s="8"/>
      <c r="W759" s="8"/>
      <c r="X759" s="8"/>
      <c r="Y759" s="8"/>
      <c r="Z759" s="8"/>
    </row>
    <row r="760" ht="16.5" customHeight="1">
      <c r="A760" s="8"/>
      <c r="B760" s="27"/>
      <c r="C760" s="27"/>
      <c r="D760" s="27"/>
      <c r="E760" s="28"/>
      <c r="F760" s="29"/>
      <c r="G760" s="28"/>
      <c r="H760" s="30"/>
      <c r="I760" s="31"/>
      <c r="J760" s="28"/>
      <c r="K760" s="27"/>
      <c r="L760" s="8"/>
      <c r="M760" s="8"/>
      <c r="N760" s="8"/>
      <c r="O760" s="8"/>
      <c r="P760" s="8"/>
      <c r="Q760" s="8"/>
      <c r="R760" s="8"/>
      <c r="S760" s="8"/>
      <c r="T760" s="8"/>
      <c r="U760" s="8"/>
      <c r="V760" s="8"/>
      <c r="W760" s="8"/>
      <c r="X760" s="8"/>
      <c r="Y760" s="8"/>
      <c r="Z760" s="8"/>
    </row>
    <row r="761" ht="16.5" customHeight="1">
      <c r="A761" s="8"/>
      <c r="B761" s="27"/>
      <c r="C761" s="27"/>
      <c r="D761" s="27"/>
      <c r="E761" s="28"/>
      <c r="F761" s="29"/>
      <c r="G761" s="28"/>
      <c r="H761" s="30"/>
      <c r="I761" s="31"/>
      <c r="J761" s="28"/>
      <c r="K761" s="27"/>
      <c r="L761" s="8"/>
      <c r="M761" s="8"/>
      <c r="N761" s="8"/>
      <c r="O761" s="8"/>
      <c r="P761" s="8"/>
      <c r="Q761" s="8"/>
      <c r="R761" s="8"/>
      <c r="S761" s="8"/>
      <c r="T761" s="8"/>
      <c r="U761" s="8"/>
      <c r="V761" s="8"/>
      <c r="W761" s="8"/>
      <c r="X761" s="8"/>
      <c r="Y761" s="8"/>
      <c r="Z761" s="8"/>
    </row>
    <row r="762" ht="16.5" customHeight="1">
      <c r="A762" s="8"/>
      <c r="B762" s="27"/>
      <c r="C762" s="27"/>
      <c r="D762" s="27"/>
      <c r="E762" s="28"/>
      <c r="F762" s="29"/>
      <c r="G762" s="28"/>
      <c r="H762" s="30"/>
      <c r="I762" s="31"/>
      <c r="J762" s="28"/>
      <c r="K762" s="27"/>
      <c r="L762" s="8"/>
      <c r="M762" s="8"/>
      <c r="N762" s="8"/>
      <c r="O762" s="8"/>
      <c r="P762" s="8"/>
      <c r="Q762" s="8"/>
      <c r="R762" s="8"/>
      <c r="S762" s="8"/>
      <c r="T762" s="8"/>
      <c r="U762" s="8"/>
      <c r="V762" s="8"/>
      <c r="W762" s="8"/>
      <c r="X762" s="8"/>
      <c r="Y762" s="8"/>
      <c r="Z762" s="8"/>
    </row>
    <row r="763" ht="16.5" customHeight="1">
      <c r="A763" s="8"/>
      <c r="B763" s="27"/>
      <c r="C763" s="27"/>
      <c r="D763" s="27"/>
      <c r="E763" s="28"/>
      <c r="F763" s="29"/>
      <c r="G763" s="28"/>
      <c r="H763" s="30"/>
      <c r="I763" s="31"/>
      <c r="J763" s="28"/>
      <c r="K763" s="27"/>
      <c r="L763" s="8"/>
      <c r="M763" s="8"/>
      <c r="N763" s="8"/>
      <c r="O763" s="8"/>
      <c r="P763" s="8"/>
      <c r="Q763" s="8"/>
      <c r="R763" s="8"/>
      <c r="S763" s="8"/>
      <c r="T763" s="8"/>
      <c r="U763" s="8"/>
      <c r="V763" s="8"/>
      <c r="W763" s="8"/>
      <c r="X763" s="8"/>
      <c r="Y763" s="8"/>
      <c r="Z763" s="8"/>
    </row>
    <row r="764" ht="16.5" customHeight="1">
      <c r="A764" s="8"/>
      <c r="B764" s="27"/>
      <c r="C764" s="27"/>
      <c r="D764" s="27"/>
      <c r="E764" s="28"/>
      <c r="F764" s="29"/>
      <c r="G764" s="28"/>
      <c r="H764" s="30"/>
      <c r="I764" s="31"/>
      <c r="J764" s="28"/>
      <c r="K764" s="27"/>
      <c r="L764" s="8"/>
      <c r="M764" s="8"/>
      <c r="N764" s="8"/>
      <c r="O764" s="8"/>
      <c r="P764" s="8"/>
      <c r="Q764" s="8"/>
      <c r="R764" s="8"/>
      <c r="S764" s="8"/>
      <c r="T764" s="8"/>
      <c r="U764" s="8"/>
      <c r="V764" s="8"/>
      <c r="W764" s="8"/>
      <c r="X764" s="8"/>
      <c r="Y764" s="8"/>
      <c r="Z764" s="8"/>
    </row>
    <row r="765" ht="16.5" customHeight="1">
      <c r="A765" s="8"/>
      <c r="B765" s="27"/>
      <c r="C765" s="27"/>
      <c r="D765" s="27"/>
      <c r="E765" s="28"/>
      <c r="F765" s="29"/>
      <c r="G765" s="28"/>
      <c r="H765" s="30"/>
      <c r="I765" s="31"/>
      <c r="J765" s="28"/>
      <c r="K765" s="27"/>
      <c r="L765" s="8"/>
      <c r="M765" s="8"/>
      <c r="N765" s="8"/>
      <c r="O765" s="8"/>
      <c r="P765" s="8"/>
      <c r="Q765" s="8"/>
      <c r="R765" s="8"/>
      <c r="S765" s="8"/>
      <c r="T765" s="8"/>
      <c r="U765" s="8"/>
      <c r="V765" s="8"/>
      <c r="W765" s="8"/>
      <c r="X765" s="8"/>
      <c r="Y765" s="8"/>
      <c r="Z765" s="8"/>
    </row>
    <row r="766" ht="16.5" customHeight="1">
      <c r="A766" s="8"/>
      <c r="B766" s="27"/>
      <c r="C766" s="27"/>
      <c r="D766" s="27"/>
      <c r="E766" s="28"/>
      <c r="F766" s="29"/>
      <c r="G766" s="28"/>
      <c r="H766" s="30"/>
      <c r="I766" s="31"/>
      <c r="J766" s="28"/>
      <c r="K766" s="27"/>
      <c r="L766" s="8"/>
      <c r="M766" s="8"/>
      <c r="N766" s="8"/>
      <c r="O766" s="8"/>
      <c r="P766" s="8"/>
      <c r="Q766" s="8"/>
      <c r="R766" s="8"/>
      <c r="S766" s="8"/>
      <c r="T766" s="8"/>
      <c r="U766" s="8"/>
      <c r="V766" s="8"/>
      <c r="W766" s="8"/>
      <c r="X766" s="8"/>
      <c r="Y766" s="8"/>
      <c r="Z766" s="8"/>
    </row>
    <row r="767" ht="16.5" customHeight="1">
      <c r="A767" s="8"/>
      <c r="B767" s="27"/>
      <c r="C767" s="27"/>
      <c r="D767" s="27"/>
      <c r="E767" s="28"/>
      <c r="F767" s="29"/>
      <c r="G767" s="28"/>
      <c r="H767" s="30"/>
      <c r="I767" s="31"/>
      <c r="J767" s="28"/>
      <c r="K767" s="27"/>
      <c r="L767" s="8"/>
      <c r="M767" s="8"/>
      <c r="N767" s="8"/>
      <c r="O767" s="8"/>
      <c r="P767" s="8"/>
      <c r="Q767" s="8"/>
      <c r="R767" s="8"/>
      <c r="S767" s="8"/>
      <c r="T767" s="8"/>
      <c r="U767" s="8"/>
      <c r="V767" s="8"/>
      <c r="W767" s="8"/>
      <c r="X767" s="8"/>
      <c r="Y767" s="8"/>
      <c r="Z767" s="8"/>
    </row>
    <row r="768" ht="16.5" customHeight="1">
      <c r="A768" s="8"/>
      <c r="B768" s="27"/>
      <c r="C768" s="27"/>
      <c r="D768" s="27"/>
      <c r="E768" s="28"/>
      <c r="F768" s="29"/>
      <c r="G768" s="28"/>
      <c r="H768" s="30"/>
      <c r="I768" s="31"/>
      <c r="J768" s="28"/>
      <c r="K768" s="27"/>
      <c r="L768" s="8"/>
      <c r="M768" s="8"/>
      <c r="N768" s="8"/>
      <c r="O768" s="8"/>
      <c r="P768" s="8"/>
      <c r="Q768" s="8"/>
      <c r="R768" s="8"/>
      <c r="S768" s="8"/>
      <c r="T768" s="8"/>
      <c r="U768" s="8"/>
      <c r="V768" s="8"/>
      <c r="W768" s="8"/>
      <c r="X768" s="8"/>
      <c r="Y768" s="8"/>
      <c r="Z768" s="8"/>
    </row>
    <row r="769" ht="16.5" customHeight="1">
      <c r="A769" s="8"/>
      <c r="B769" s="27"/>
      <c r="C769" s="27"/>
      <c r="D769" s="27"/>
      <c r="E769" s="28"/>
      <c r="F769" s="29"/>
      <c r="G769" s="28"/>
      <c r="H769" s="30"/>
      <c r="I769" s="31"/>
      <c r="J769" s="28"/>
      <c r="K769" s="27"/>
      <c r="L769" s="8"/>
      <c r="M769" s="8"/>
      <c r="N769" s="8"/>
      <c r="O769" s="8"/>
      <c r="P769" s="8"/>
      <c r="Q769" s="8"/>
      <c r="R769" s="8"/>
      <c r="S769" s="8"/>
      <c r="T769" s="8"/>
      <c r="U769" s="8"/>
      <c r="V769" s="8"/>
      <c r="W769" s="8"/>
      <c r="X769" s="8"/>
      <c r="Y769" s="8"/>
      <c r="Z769" s="8"/>
    </row>
    <row r="770" ht="16.5" customHeight="1">
      <c r="A770" s="8"/>
      <c r="B770" s="27"/>
      <c r="C770" s="27"/>
      <c r="D770" s="27"/>
      <c r="E770" s="28"/>
      <c r="F770" s="29"/>
      <c r="G770" s="28"/>
      <c r="H770" s="30"/>
      <c r="I770" s="31"/>
      <c r="J770" s="28"/>
      <c r="K770" s="27"/>
      <c r="L770" s="8"/>
      <c r="M770" s="8"/>
      <c r="N770" s="8"/>
      <c r="O770" s="8"/>
      <c r="P770" s="8"/>
      <c r="Q770" s="8"/>
      <c r="R770" s="8"/>
      <c r="S770" s="8"/>
      <c r="T770" s="8"/>
      <c r="U770" s="8"/>
      <c r="V770" s="8"/>
      <c r="W770" s="8"/>
      <c r="X770" s="8"/>
      <c r="Y770" s="8"/>
      <c r="Z770" s="8"/>
    </row>
    <row r="771" ht="16.5" customHeight="1">
      <c r="A771" s="8"/>
      <c r="B771" s="27"/>
      <c r="C771" s="27"/>
      <c r="D771" s="27"/>
      <c r="E771" s="28"/>
      <c r="F771" s="29"/>
      <c r="G771" s="28"/>
      <c r="H771" s="30"/>
      <c r="I771" s="31"/>
      <c r="J771" s="28"/>
      <c r="K771" s="27"/>
      <c r="L771" s="8"/>
      <c r="M771" s="8"/>
      <c r="N771" s="8"/>
      <c r="O771" s="8"/>
      <c r="P771" s="8"/>
      <c r="Q771" s="8"/>
      <c r="R771" s="8"/>
      <c r="S771" s="8"/>
      <c r="T771" s="8"/>
      <c r="U771" s="8"/>
      <c r="V771" s="8"/>
      <c r="W771" s="8"/>
      <c r="X771" s="8"/>
      <c r="Y771" s="8"/>
      <c r="Z771" s="8"/>
    </row>
    <row r="772" ht="16.5" customHeight="1">
      <c r="A772" s="8"/>
      <c r="B772" s="27"/>
      <c r="C772" s="27"/>
      <c r="D772" s="27"/>
      <c r="E772" s="28"/>
      <c r="F772" s="29"/>
      <c r="G772" s="28"/>
      <c r="H772" s="30"/>
      <c r="I772" s="31"/>
      <c r="J772" s="28"/>
      <c r="K772" s="27"/>
      <c r="L772" s="8"/>
      <c r="M772" s="8"/>
      <c r="N772" s="8"/>
      <c r="O772" s="8"/>
      <c r="P772" s="8"/>
      <c r="Q772" s="8"/>
      <c r="R772" s="8"/>
      <c r="S772" s="8"/>
      <c r="T772" s="8"/>
      <c r="U772" s="8"/>
      <c r="V772" s="8"/>
      <c r="W772" s="8"/>
      <c r="X772" s="8"/>
      <c r="Y772" s="8"/>
      <c r="Z772" s="8"/>
    </row>
    <row r="773" ht="16.5" customHeight="1">
      <c r="A773" s="8"/>
      <c r="B773" s="27"/>
      <c r="C773" s="27"/>
      <c r="D773" s="27"/>
      <c r="E773" s="28"/>
      <c r="F773" s="29"/>
      <c r="G773" s="28"/>
      <c r="H773" s="30"/>
      <c r="I773" s="31"/>
      <c r="J773" s="28"/>
      <c r="K773" s="27"/>
      <c r="L773" s="8"/>
      <c r="M773" s="8"/>
      <c r="N773" s="8"/>
      <c r="O773" s="8"/>
      <c r="P773" s="8"/>
      <c r="Q773" s="8"/>
      <c r="R773" s="8"/>
      <c r="S773" s="8"/>
      <c r="T773" s="8"/>
      <c r="U773" s="8"/>
      <c r="V773" s="8"/>
      <c r="W773" s="8"/>
      <c r="X773" s="8"/>
      <c r="Y773" s="8"/>
      <c r="Z773" s="8"/>
    </row>
    <row r="774" ht="16.5" customHeight="1">
      <c r="A774" s="8"/>
      <c r="B774" s="27"/>
      <c r="C774" s="27"/>
      <c r="D774" s="27"/>
      <c r="E774" s="28"/>
      <c r="F774" s="29"/>
      <c r="G774" s="28"/>
      <c r="H774" s="30"/>
      <c r="I774" s="31"/>
      <c r="J774" s="28"/>
      <c r="K774" s="27"/>
      <c r="L774" s="8"/>
      <c r="M774" s="8"/>
      <c r="N774" s="8"/>
      <c r="O774" s="8"/>
      <c r="P774" s="8"/>
      <c r="Q774" s="8"/>
      <c r="R774" s="8"/>
      <c r="S774" s="8"/>
      <c r="T774" s="8"/>
      <c r="U774" s="8"/>
      <c r="V774" s="8"/>
      <c r="W774" s="8"/>
      <c r="X774" s="8"/>
      <c r="Y774" s="8"/>
      <c r="Z774" s="8"/>
    </row>
    <row r="775" ht="16.5" customHeight="1">
      <c r="A775" s="8"/>
      <c r="B775" s="27"/>
      <c r="C775" s="27"/>
      <c r="D775" s="27"/>
      <c r="E775" s="28"/>
      <c r="F775" s="29"/>
      <c r="G775" s="28"/>
      <c r="H775" s="30"/>
      <c r="I775" s="31"/>
      <c r="J775" s="28"/>
      <c r="K775" s="27"/>
      <c r="L775" s="8"/>
      <c r="M775" s="8"/>
      <c r="N775" s="8"/>
      <c r="O775" s="8"/>
      <c r="P775" s="8"/>
      <c r="Q775" s="8"/>
      <c r="R775" s="8"/>
      <c r="S775" s="8"/>
      <c r="T775" s="8"/>
      <c r="U775" s="8"/>
      <c r="V775" s="8"/>
      <c r="W775" s="8"/>
      <c r="X775" s="8"/>
      <c r="Y775" s="8"/>
      <c r="Z775" s="8"/>
    </row>
    <row r="776" ht="16.5" customHeight="1">
      <c r="A776" s="8"/>
      <c r="B776" s="27"/>
      <c r="C776" s="27"/>
      <c r="D776" s="27"/>
      <c r="E776" s="28"/>
      <c r="F776" s="29"/>
      <c r="G776" s="28"/>
      <c r="H776" s="30"/>
      <c r="I776" s="31"/>
      <c r="J776" s="28"/>
      <c r="K776" s="27"/>
      <c r="L776" s="8"/>
      <c r="M776" s="8"/>
      <c r="N776" s="8"/>
      <c r="O776" s="8"/>
      <c r="P776" s="8"/>
      <c r="Q776" s="8"/>
      <c r="R776" s="8"/>
      <c r="S776" s="8"/>
      <c r="T776" s="8"/>
      <c r="U776" s="8"/>
      <c r="V776" s="8"/>
      <c r="W776" s="8"/>
      <c r="X776" s="8"/>
      <c r="Y776" s="8"/>
      <c r="Z776" s="8"/>
    </row>
    <row r="777" ht="16.5" customHeight="1">
      <c r="A777" s="8"/>
      <c r="B777" s="27"/>
      <c r="C777" s="27"/>
      <c r="D777" s="27"/>
      <c r="E777" s="28"/>
      <c r="F777" s="29"/>
      <c r="G777" s="28"/>
      <c r="H777" s="30"/>
      <c r="I777" s="31"/>
      <c r="J777" s="28"/>
      <c r="K777" s="27"/>
      <c r="L777" s="8"/>
      <c r="M777" s="8"/>
      <c r="N777" s="8"/>
      <c r="O777" s="8"/>
      <c r="P777" s="8"/>
      <c r="Q777" s="8"/>
      <c r="R777" s="8"/>
      <c r="S777" s="8"/>
      <c r="T777" s="8"/>
      <c r="U777" s="8"/>
      <c r="V777" s="8"/>
      <c r="W777" s="8"/>
      <c r="X777" s="8"/>
      <c r="Y777" s="8"/>
      <c r="Z777" s="8"/>
    </row>
    <row r="778" ht="16.5" customHeight="1">
      <c r="A778" s="8"/>
      <c r="B778" s="27"/>
      <c r="C778" s="27"/>
      <c r="D778" s="27"/>
      <c r="E778" s="28"/>
      <c r="F778" s="29"/>
      <c r="G778" s="28"/>
      <c r="H778" s="30"/>
      <c r="I778" s="31"/>
      <c r="J778" s="28"/>
      <c r="K778" s="27"/>
      <c r="L778" s="8"/>
      <c r="M778" s="8"/>
      <c r="N778" s="8"/>
      <c r="O778" s="8"/>
      <c r="P778" s="8"/>
      <c r="Q778" s="8"/>
      <c r="R778" s="8"/>
      <c r="S778" s="8"/>
      <c r="T778" s="8"/>
      <c r="U778" s="8"/>
      <c r="V778" s="8"/>
      <c r="W778" s="8"/>
      <c r="X778" s="8"/>
      <c r="Y778" s="8"/>
      <c r="Z778" s="8"/>
    </row>
    <row r="779" ht="16.5" customHeight="1">
      <c r="A779" s="8"/>
      <c r="B779" s="27"/>
      <c r="C779" s="27"/>
      <c r="D779" s="27"/>
      <c r="E779" s="28"/>
      <c r="F779" s="29"/>
      <c r="G779" s="28"/>
      <c r="H779" s="30"/>
      <c r="I779" s="31"/>
      <c r="J779" s="28"/>
      <c r="K779" s="27"/>
      <c r="L779" s="8"/>
      <c r="M779" s="8"/>
      <c r="N779" s="8"/>
      <c r="O779" s="8"/>
      <c r="P779" s="8"/>
      <c r="Q779" s="8"/>
      <c r="R779" s="8"/>
      <c r="S779" s="8"/>
      <c r="T779" s="8"/>
      <c r="U779" s="8"/>
      <c r="V779" s="8"/>
      <c r="W779" s="8"/>
      <c r="X779" s="8"/>
      <c r="Y779" s="8"/>
      <c r="Z779" s="8"/>
    </row>
    <row r="780" ht="16.5" customHeight="1">
      <c r="A780" s="8"/>
      <c r="B780" s="27"/>
      <c r="C780" s="27"/>
      <c r="D780" s="27"/>
      <c r="E780" s="28"/>
      <c r="F780" s="29"/>
      <c r="G780" s="28"/>
      <c r="H780" s="30"/>
      <c r="I780" s="31"/>
      <c r="J780" s="28"/>
      <c r="K780" s="27"/>
      <c r="L780" s="8"/>
      <c r="M780" s="8"/>
      <c r="N780" s="8"/>
      <c r="O780" s="8"/>
      <c r="P780" s="8"/>
      <c r="Q780" s="8"/>
      <c r="R780" s="8"/>
      <c r="S780" s="8"/>
      <c r="T780" s="8"/>
      <c r="U780" s="8"/>
      <c r="V780" s="8"/>
      <c r="W780" s="8"/>
      <c r="X780" s="8"/>
      <c r="Y780" s="8"/>
      <c r="Z780" s="8"/>
    </row>
    <row r="781" ht="16.5" customHeight="1">
      <c r="A781" s="8"/>
      <c r="B781" s="27"/>
      <c r="C781" s="27"/>
      <c r="D781" s="27"/>
      <c r="E781" s="28"/>
      <c r="F781" s="29"/>
      <c r="G781" s="28"/>
      <c r="H781" s="30"/>
      <c r="I781" s="31"/>
      <c r="J781" s="28"/>
      <c r="K781" s="27"/>
      <c r="L781" s="8"/>
      <c r="M781" s="8"/>
      <c r="N781" s="8"/>
      <c r="O781" s="8"/>
      <c r="P781" s="8"/>
      <c r="Q781" s="8"/>
      <c r="R781" s="8"/>
      <c r="S781" s="8"/>
      <c r="T781" s="8"/>
      <c r="U781" s="8"/>
      <c r="V781" s="8"/>
      <c r="W781" s="8"/>
      <c r="X781" s="8"/>
      <c r="Y781" s="8"/>
      <c r="Z781" s="8"/>
    </row>
    <row r="782" ht="16.5" customHeight="1">
      <c r="A782" s="8"/>
      <c r="B782" s="27"/>
      <c r="C782" s="27"/>
      <c r="D782" s="27"/>
      <c r="E782" s="28"/>
      <c r="F782" s="29"/>
      <c r="G782" s="28"/>
      <c r="H782" s="30"/>
      <c r="I782" s="31"/>
      <c r="J782" s="28"/>
      <c r="K782" s="27"/>
      <c r="L782" s="8"/>
      <c r="M782" s="8"/>
      <c r="N782" s="8"/>
      <c r="O782" s="8"/>
      <c r="P782" s="8"/>
      <c r="Q782" s="8"/>
      <c r="R782" s="8"/>
      <c r="S782" s="8"/>
      <c r="T782" s="8"/>
      <c r="U782" s="8"/>
      <c r="V782" s="8"/>
      <c r="W782" s="8"/>
      <c r="X782" s="8"/>
      <c r="Y782" s="8"/>
      <c r="Z782" s="8"/>
    </row>
    <row r="783" ht="16.5" customHeight="1">
      <c r="A783" s="8"/>
      <c r="B783" s="27"/>
      <c r="C783" s="27"/>
      <c r="D783" s="27"/>
      <c r="E783" s="28"/>
      <c r="F783" s="29"/>
      <c r="G783" s="28"/>
      <c r="H783" s="30"/>
      <c r="I783" s="31"/>
      <c r="J783" s="28"/>
      <c r="K783" s="27"/>
      <c r="L783" s="8"/>
      <c r="M783" s="8"/>
      <c r="N783" s="8"/>
      <c r="O783" s="8"/>
      <c r="P783" s="8"/>
      <c r="Q783" s="8"/>
      <c r="R783" s="8"/>
      <c r="S783" s="8"/>
      <c r="T783" s="8"/>
      <c r="U783" s="8"/>
      <c r="V783" s="8"/>
      <c r="W783" s="8"/>
      <c r="X783" s="8"/>
      <c r="Y783" s="8"/>
      <c r="Z783" s="8"/>
    </row>
    <row r="784" ht="16.5" customHeight="1">
      <c r="A784" s="8"/>
      <c r="B784" s="27"/>
      <c r="C784" s="27"/>
      <c r="D784" s="27"/>
      <c r="E784" s="28"/>
      <c r="F784" s="29"/>
      <c r="G784" s="28"/>
      <c r="H784" s="30"/>
      <c r="I784" s="31"/>
      <c r="J784" s="28"/>
      <c r="K784" s="27"/>
      <c r="L784" s="8"/>
      <c r="M784" s="8"/>
      <c r="N784" s="8"/>
      <c r="O784" s="8"/>
      <c r="P784" s="8"/>
      <c r="Q784" s="8"/>
      <c r="R784" s="8"/>
      <c r="S784" s="8"/>
      <c r="T784" s="8"/>
      <c r="U784" s="8"/>
      <c r="V784" s="8"/>
      <c r="W784" s="8"/>
      <c r="X784" s="8"/>
      <c r="Y784" s="8"/>
      <c r="Z784" s="8"/>
    </row>
    <row r="785" ht="16.5" customHeight="1">
      <c r="A785" s="8"/>
      <c r="B785" s="27"/>
      <c r="C785" s="27"/>
      <c r="D785" s="27"/>
      <c r="E785" s="28"/>
      <c r="F785" s="29"/>
      <c r="G785" s="28"/>
      <c r="H785" s="30"/>
      <c r="I785" s="31"/>
      <c r="J785" s="28"/>
      <c r="K785" s="27"/>
      <c r="L785" s="8"/>
      <c r="M785" s="8"/>
      <c r="N785" s="8"/>
      <c r="O785" s="8"/>
      <c r="P785" s="8"/>
      <c r="Q785" s="8"/>
      <c r="R785" s="8"/>
      <c r="S785" s="8"/>
      <c r="T785" s="8"/>
      <c r="U785" s="8"/>
      <c r="V785" s="8"/>
      <c r="W785" s="8"/>
      <c r="X785" s="8"/>
      <c r="Y785" s="8"/>
      <c r="Z785" s="8"/>
    </row>
    <row r="786" ht="16.5" customHeight="1">
      <c r="A786" s="8"/>
      <c r="B786" s="27"/>
      <c r="C786" s="27"/>
      <c r="D786" s="27"/>
      <c r="E786" s="28"/>
      <c r="F786" s="29"/>
      <c r="G786" s="28"/>
      <c r="H786" s="30"/>
      <c r="I786" s="31"/>
      <c r="J786" s="28"/>
      <c r="K786" s="27"/>
      <c r="L786" s="8"/>
      <c r="M786" s="8"/>
      <c r="N786" s="8"/>
      <c r="O786" s="8"/>
      <c r="P786" s="8"/>
      <c r="Q786" s="8"/>
      <c r="R786" s="8"/>
      <c r="S786" s="8"/>
      <c r="T786" s="8"/>
      <c r="U786" s="8"/>
      <c r="V786" s="8"/>
      <c r="W786" s="8"/>
      <c r="X786" s="8"/>
      <c r="Y786" s="8"/>
      <c r="Z786" s="8"/>
    </row>
    <row r="787" ht="16.5" customHeight="1">
      <c r="A787" s="8"/>
      <c r="B787" s="27"/>
      <c r="C787" s="27"/>
      <c r="D787" s="27"/>
      <c r="E787" s="28"/>
      <c r="F787" s="29"/>
      <c r="G787" s="28"/>
      <c r="H787" s="30"/>
      <c r="I787" s="31"/>
      <c r="J787" s="28"/>
      <c r="K787" s="27"/>
      <c r="L787" s="8"/>
      <c r="M787" s="8"/>
      <c r="N787" s="8"/>
      <c r="O787" s="8"/>
      <c r="P787" s="8"/>
      <c r="Q787" s="8"/>
      <c r="R787" s="8"/>
      <c r="S787" s="8"/>
      <c r="T787" s="8"/>
      <c r="U787" s="8"/>
      <c r="V787" s="8"/>
      <c r="W787" s="8"/>
      <c r="X787" s="8"/>
      <c r="Y787" s="8"/>
      <c r="Z787" s="8"/>
    </row>
    <row r="788" ht="16.5" customHeight="1">
      <c r="A788" s="8"/>
      <c r="B788" s="27"/>
      <c r="C788" s="27"/>
      <c r="D788" s="27"/>
      <c r="E788" s="28"/>
      <c r="F788" s="29"/>
      <c r="G788" s="28"/>
      <c r="H788" s="30"/>
      <c r="I788" s="31"/>
      <c r="J788" s="28"/>
      <c r="K788" s="27"/>
      <c r="L788" s="8"/>
      <c r="M788" s="8"/>
      <c r="N788" s="8"/>
      <c r="O788" s="8"/>
      <c r="P788" s="8"/>
      <c r="Q788" s="8"/>
      <c r="R788" s="8"/>
      <c r="S788" s="8"/>
      <c r="T788" s="8"/>
      <c r="U788" s="8"/>
      <c r="V788" s="8"/>
      <c r="W788" s="8"/>
      <c r="X788" s="8"/>
      <c r="Y788" s="8"/>
      <c r="Z788" s="8"/>
    </row>
    <row r="789" ht="16.5" customHeight="1">
      <c r="A789" s="8"/>
      <c r="B789" s="27"/>
      <c r="C789" s="27"/>
      <c r="D789" s="27"/>
      <c r="E789" s="28"/>
      <c r="F789" s="29"/>
      <c r="G789" s="28"/>
      <c r="H789" s="30"/>
      <c r="I789" s="31"/>
      <c r="J789" s="28"/>
      <c r="K789" s="27"/>
      <c r="L789" s="8"/>
      <c r="M789" s="8"/>
      <c r="N789" s="8"/>
      <c r="O789" s="8"/>
      <c r="P789" s="8"/>
      <c r="Q789" s="8"/>
      <c r="R789" s="8"/>
      <c r="S789" s="8"/>
      <c r="T789" s="8"/>
      <c r="U789" s="8"/>
      <c r="V789" s="8"/>
      <c r="W789" s="8"/>
      <c r="X789" s="8"/>
      <c r="Y789" s="8"/>
      <c r="Z789" s="8"/>
    </row>
    <row r="790" ht="16.5" customHeight="1">
      <c r="A790" s="8"/>
      <c r="B790" s="27"/>
      <c r="C790" s="27"/>
      <c r="D790" s="27"/>
      <c r="E790" s="28"/>
      <c r="F790" s="29"/>
      <c r="G790" s="28"/>
      <c r="H790" s="30"/>
      <c r="I790" s="31"/>
      <c r="J790" s="28"/>
      <c r="K790" s="27"/>
      <c r="L790" s="8"/>
      <c r="M790" s="8"/>
      <c r="N790" s="8"/>
      <c r="O790" s="8"/>
      <c r="P790" s="8"/>
      <c r="Q790" s="8"/>
      <c r="R790" s="8"/>
      <c r="S790" s="8"/>
      <c r="T790" s="8"/>
      <c r="U790" s="8"/>
      <c r="V790" s="8"/>
      <c r="W790" s="8"/>
      <c r="X790" s="8"/>
      <c r="Y790" s="8"/>
      <c r="Z790" s="8"/>
    </row>
    <row r="791" ht="16.5" customHeight="1">
      <c r="A791" s="8"/>
      <c r="B791" s="27"/>
      <c r="C791" s="27"/>
      <c r="D791" s="27"/>
      <c r="E791" s="28"/>
      <c r="F791" s="29"/>
      <c r="G791" s="28"/>
      <c r="H791" s="30"/>
      <c r="I791" s="31"/>
      <c r="J791" s="28"/>
      <c r="K791" s="27"/>
      <c r="L791" s="8"/>
      <c r="M791" s="8"/>
      <c r="N791" s="8"/>
      <c r="O791" s="8"/>
      <c r="P791" s="8"/>
      <c r="Q791" s="8"/>
      <c r="R791" s="8"/>
      <c r="S791" s="8"/>
      <c r="T791" s="8"/>
      <c r="U791" s="8"/>
      <c r="V791" s="8"/>
      <c r="W791" s="8"/>
      <c r="X791" s="8"/>
      <c r="Y791" s="8"/>
      <c r="Z791" s="8"/>
    </row>
    <row r="792" ht="16.5" customHeight="1">
      <c r="A792" s="8"/>
      <c r="B792" s="27"/>
      <c r="C792" s="27"/>
      <c r="D792" s="27"/>
      <c r="E792" s="28"/>
      <c r="F792" s="29"/>
      <c r="G792" s="28"/>
      <c r="H792" s="30"/>
      <c r="I792" s="31"/>
      <c r="J792" s="28"/>
      <c r="K792" s="27"/>
      <c r="L792" s="8"/>
      <c r="M792" s="8"/>
      <c r="N792" s="8"/>
      <c r="O792" s="8"/>
      <c r="P792" s="8"/>
      <c r="Q792" s="8"/>
      <c r="R792" s="8"/>
      <c r="S792" s="8"/>
      <c r="T792" s="8"/>
      <c r="U792" s="8"/>
      <c r="V792" s="8"/>
      <c r="W792" s="8"/>
      <c r="X792" s="8"/>
      <c r="Y792" s="8"/>
      <c r="Z792" s="8"/>
    </row>
    <row r="793" ht="16.5" customHeight="1">
      <c r="A793" s="8"/>
      <c r="B793" s="27"/>
      <c r="C793" s="27"/>
      <c r="D793" s="27"/>
      <c r="E793" s="28"/>
      <c r="F793" s="29"/>
      <c r="G793" s="28"/>
      <c r="H793" s="30"/>
      <c r="I793" s="31"/>
      <c r="J793" s="28"/>
      <c r="K793" s="27"/>
      <c r="L793" s="8"/>
      <c r="M793" s="8"/>
      <c r="N793" s="8"/>
      <c r="O793" s="8"/>
      <c r="P793" s="8"/>
      <c r="Q793" s="8"/>
      <c r="R793" s="8"/>
      <c r="S793" s="8"/>
      <c r="T793" s="8"/>
      <c r="U793" s="8"/>
      <c r="V793" s="8"/>
      <c r="W793" s="8"/>
      <c r="X793" s="8"/>
      <c r="Y793" s="8"/>
      <c r="Z793" s="8"/>
    </row>
    <row r="794" ht="16.5" customHeight="1">
      <c r="A794" s="8"/>
      <c r="B794" s="27"/>
      <c r="C794" s="27"/>
      <c r="D794" s="27"/>
      <c r="E794" s="28"/>
      <c r="F794" s="29"/>
      <c r="G794" s="28"/>
      <c r="H794" s="30"/>
      <c r="I794" s="31"/>
      <c r="J794" s="28"/>
      <c r="K794" s="27"/>
      <c r="L794" s="8"/>
      <c r="M794" s="8"/>
      <c r="N794" s="8"/>
      <c r="O794" s="8"/>
      <c r="P794" s="8"/>
      <c r="Q794" s="8"/>
      <c r="R794" s="8"/>
      <c r="S794" s="8"/>
      <c r="T794" s="8"/>
      <c r="U794" s="8"/>
      <c r="V794" s="8"/>
      <c r="W794" s="8"/>
      <c r="X794" s="8"/>
      <c r="Y794" s="8"/>
      <c r="Z794" s="8"/>
    </row>
    <row r="795" ht="16.5" customHeight="1">
      <c r="A795" s="8"/>
      <c r="B795" s="27"/>
      <c r="C795" s="27"/>
      <c r="D795" s="27"/>
      <c r="E795" s="28"/>
      <c r="F795" s="29"/>
      <c r="G795" s="28"/>
      <c r="H795" s="30"/>
      <c r="I795" s="31"/>
      <c r="J795" s="28"/>
      <c r="K795" s="27"/>
      <c r="L795" s="8"/>
      <c r="M795" s="8"/>
      <c r="N795" s="8"/>
      <c r="O795" s="8"/>
      <c r="P795" s="8"/>
      <c r="Q795" s="8"/>
      <c r="R795" s="8"/>
      <c r="S795" s="8"/>
      <c r="T795" s="8"/>
      <c r="U795" s="8"/>
      <c r="V795" s="8"/>
      <c r="W795" s="8"/>
      <c r="X795" s="8"/>
      <c r="Y795" s="8"/>
      <c r="Z795" s="8"/>
    </row>
    <row r="796" ht="16.5" customHeight="1">
      <c r="A796" s="8"/>
      <c r="B796" s="27"/>
      <c r="C796" s="27"/>
      <c r="D796" s="27"/>
      <c r="E796" s="28"/>
      <c r="F796" s="29"/>
      <c r="G796" s="28"/>
      <c r="H796" s="30"/>
      <c r="I796" s="31"/>
      <c r="J796" s="28"/>
      <c r="K796" s="27"/>
      <c r="L796" s="8"/>
      <c r="M796" s="8"/>
      <c r="N796" s="8"/>
      <c r="O796" s="8"/>
      <c r="P796" s="8"/>
      <c r="Q796" s="8"/>
      <c r="R796" s="8"/>
      <c r="S796" s="8"/>
      <c r="T796" s="8"/>
      <c r="U796" s="8"/>
      <c r="V796" s="8"/>
      <c r="W796" s="8"/>
      <c r="X796" s="8"/>
      <c r="Y796" s="8"/>
      <c r="Z796" s="8"/>
    </row>
    <row r="797" ht="16.5" customHeight="1">
      <c r="A797" s="8"/>
      <c r="B797" s="27"/>
      <c r="C797" s="27"/>
      <c r="D797" s="27"/>
      <c r="E797" s="28"/>
      <c r="F797" s="29"/>
      <c r="G797" s="28"/>
      <c r="H797" s="30"/>
      <c r="I797" s="31"/>
      <c r="J797" s="28"/>
      <c r="K797" s="27"/>
      <c r="L797" s="8"/>
      <c r="M797" s="8"/>
      <c r="N797" s="8"/>
      <c r="O797" s="8"/>
      <c r="P797" s="8"/>
      <c r="Q797" s="8"/>
      <c r="R797" s="8"/>
      <c r="S797" s="8"/>
      <c r="T797" s="8"/>
      <c r="U797" s="8"/>
      <c r="V797" s="8"/>
      <c r="W797" s="8"/>
      <c r="X797" s="8"/>
      <c r="Y797" s="8"/>
      <c r="Z797" s="8"/>
    </row>
    <row r="798" ht="16.5" customHeight="1">
      <c r="A798" s="8"/>
      <c r="B798" s="27"/>
      <c r="C798" s="27"/>
      <c r="D798" s="27"/>
      <c r="E798" s="28"/>
      <c r="F798" s="29"/>
      <c r="G798" s="28"/>
      <c r="H798" s="30"/>
      <c r="I798" s="31"/>
      <c r="J798" s="28"/>
      <c r="K798" s="27"/>
      <c r="L798" s="8"/>
      <c r="M798" s="8"/>
      <c r="N798" s="8"/>
      <c r="O798" s="8"/>
      <c r="P798" s="8"/>
      <c r="Q798" s="8"/>
      <c r="R798" s="8"/>
      <c r="S798" s="8"/>
      <c r="T798" s="8"/>
      <c r="U798" s="8"/>
      <c r="V798" s="8"/>
      <c r="W798" s="8"/>
      <c r="X798" s="8"/>
      <c r="Y798" s="8"/>
      <c r="Z798" s="8"/>
    </row>
    <row r="799" ht="16.5" customHeight="1">
      <c r="A799" s="8"/>
      <c r="B799" s="27"/>
      <c r="C799" s="27"/>
      <c r="D799" s="27"/>
      <c r="E799" s="28"/>
      <c r="F799" s="29"/>
      <c r="G799" s="28"/>
      <c r="H799" s="30"/>
      <c r="I799" s="31"/>
      <c r="J799" s="28"/>
      <c r="K799" s="27"/>
      <c r="L799" s="8"/>
      <c r="M799" s="8"/>
      <c r="N799" s="8"/>
      <c r="O799" s="8"/>
      <c r="P799" s="8"/>
      <c r="Q799" s="8"/>
      <c r="R799" s="8"/>
      <c r="S799" s="8"/>
      <c r="T799" s="8"/>
      <c r="U799" s="8"/>
      <c r="V799" s="8"/>
      <c r="W799" s="8"/>
      <c r="X799" s="8"/>
      <c r="Y799" s="8"/>
      <c r="Z799" s="8"/>
    </row>
    <row r="800" ht="16.5" customHeight="1">
      <c r="A800" s="8"/>
      <c r="B800" s="27"/>
      <c r="C800" s="27"/>
      <c r="D800" s="27"/>
      <c r="E800" s="28"/>
      <c r="F800" s="29"/>
      <c r="G800" s="28"/>
      <c r="H800" s="30"/>
      <c r="I800" s="31"/>
      <c r="J800" s="28"/>
      <c r="K800" s="27"/>
      <c r="L800" s="8"/>
      <c r="M800" s="8"/>
      <c r="N800" s="8"/>
      <c r="O800" s="8"/>
      <c r="P800" s="8"/>
      <c r="Q800" s="8"/>
      <c r="R800" s="8"/>
      <c r="S800" s="8"/>
      <c r="T800" s="8"/>
      <c r="U800" s="8"/>
      <c r="V800" s="8"/>
      <c r="W800" s="8"/>
      <c r="X800" s="8"/>
      <c r="Y800" s="8"/>
      <c r="Z800" s="8"/>
    </row>
    <row r="801" ht="16.5" customHeight="1">
      <c r="A801" s="8"/>
      <c r="B801" s="27"/>
      <c r="C801" s="27"/>
      <c r="D801" s="27"/>
      <c r="E801" s="28"/>
      <c r="F801" s="29"/>
      <c r="G801" s="28"/>
      <c r="H801" s="30"/>
      <c r="I801" s="31"/>
      <c r="J801" s="28"/>
      <c r="K801" s="27"/>
      <c r="L801" s="8"/>
      <c r="M801" s="8"/>
      <c r="N801" s="8"/>
      <c r="O801" s="8"/>
      <c r="P801" s="8"/>
      <c r="Q801" s="8"/>
      <c r="R801" s="8"/>
      <c r="S801" s="8"/>
      <c r="T801" s="8"/>
      <c r="U801" s="8"/>
      <c r="V801" s="8"/>
      <c r="W801" s="8"/>
      <c r="X801" s="8"/>
      <c r="Y801" s="8"/>
      <c r="Z801" s="8"/>
    </row>
    <row r="802" ht="16.5" customHeight="1">
      <c r="A802" s="8"/>
      <c r="B802" s="27"/>
      <c r="C802" s="27"/>
      <c r="D802" s="27"/>
      <c r="E802" s="28"/>
      <c r="F802" s="29"/>
      <c r="G802" s="28"/>
      <c r="H802" s="30"/>
      <c r="I802" s="31"/>
      <c r="J802" s="28"/>
      <c r="K802" s="27"/>
      <c r="L802" s="8"/>
      <c r="M802" s="8"/>
      <c r="N802" s="8"/>
      <c r="O802" s="8"/>
      <c r="P802" s="8"/>
      <c r="Q802" s="8"/>
      <c r="R802" s="8"/>
      <c r="S802" s="8"/>
      <c r="T802" s="8"/>
      <c r="U802" s="8"/>
      <c r="V802" s="8"/>
      <c r="W802" s="8"/>
      <c r="X802" s="8"/>
      <c r="Y802" s="8"/>
      <c r="Z802" s="8"/>
    </row>
    <row r="803" ht="16.5" customHeight="1">
      <c r="A803" s="8"/>
      <c r="B803" s="27"/>
      <c r="C803" s="27"/>
      <c r="D803" s="27"/>
      <c r="E803" s="28"/>
      <c r="F803" s="29"/>
      <c r="G803" s="28"/>
      <c r="H803" s="30"/>
      <c r="I803" s="31"/>
      <c r="J803" s="28"/>
      <c r="K803" s="27"/>
      <c r="L803" s="8"/>
      <c r="M803" s="8"/>
      <c r="N803" s="8"/>
      <c r="O803" s="8"/>
      <c r="P803" s="8"/>
      <c r="Q803" s="8"/>
      <c r="R803" s="8"/>
      <c r="S803" s="8"/>
      <c r="T803" s="8"/>
      <c r="U803" s="8"/>
      <c r="V803" s="8"/>
      <c r="W803" s="8"/>
      <c r="X803" s="8"/>
      <c r="Y803" s="8"/>
      <c r="Z803" s="8"/>
    </row>
    <row r="804" ht="16.5" customHeight="1">
      <c r="A804" s="8"/>
      <c r="B804" s="27"/>
      <c r="C804" s="27"/>
      <c r="D804" s="27"/>
      <c r="E804" s="28"/>
      <c r="F804" s="29"/>
      <c r="G804" s="28"/>
      <c r="H804" s="30"/>
      <c r="I804" s="31"/>
      <c r="J804" s="28"/>
      <c r="K804" s="27"/>
      <c r="L804" s="8"/>
      <c r="M804" s="8"/>
      <c r="N804" s="8"/>
      <c r="O804" s="8"/>
      <c r="P804" s="8"/>
      <c r="Q804" s="8"/>
      <c r="R804" s="8"/>
      <c r="S804" s="8"/>
      <c r="T804" s="8"/>
      <c r="U804" s="8"/>
      <c r="V804" s="8"/>
      <c r="W804" s="8"/>
      <c r="X804" s="8"/>
      <c r="Y804" s="8"/>
      <c r="Z804" s="8"/>
    </row>
    <row r="805" ht="16.5" customHeight="1">
      <c r="A805" s="8"/>
      <c r="B805" s="27"/>
      <c r="C805" s="27"/>
      <c r="D805" s="27"/>
      <c r="E805" s="28"/>
      <c r="F805" s="29"/>
      <c r="G805" s="28"/>
      <c r="H805" s="30"/>
      <c r="I805" s="31"/>
      <c r="J805" s="28"/>
      <c r="K805" s="27"/>
      <c r="L805" s="8"/>
      <c r="M805" s="8"/>
      <c r="N805" s="8"/>
      <c r="O805" s="8"/>
      <c r="P805" s="8"/>
      <c r="Q805" s="8"/>
      <c r="R805" s="8"/>
      <c r="S805" s="8"/>
      <c r="T805" s="8"/>
      <c r="U805" s="8"/>
      <c r="V805" s="8"/>
      <c r="W805" s="8"/>
      <c r="X805" s="8"/>
      <c r="Y805" s="8"/>
      <c r="Z805" s="8"/>
    </row>
    <row r="806" ht="16.5" customHeight="1">
      <c r="A806" s="8"/>
      <c r="B806" s="27"/>
      <c r="C806" s="27"/>
      <c r="D806" s="27"/>
      <c r="E806" s="28"/>
      <c r="F806" s="29"/>
      <c r="G806" s="28"/>
      <c r="H806" s="30"/>
      <c r="I806" s="31"/>
      <c r="J806" s="28"/>
      <c r="K806" s="27"/>
      <c r="L806" s="8"/>
      <c r="M806" s="8"/>
      <c r="N806" s="8"/>
      <c r="O806" s="8"/>
      <c r="P806" s="8"/>
      <c r="Q806" s="8"/>
      <c r="R806" s="8"/>
      <c r="S806" s="8"/>
      <c r="T806" s="8"/>
      <c r="U806" s="8"/>
      <c r="V806" s="8"/>
      <c r="W806" s="8"/>
      <c r="X806" s="8"/>
      <c r="Y806" s="8"/>
      <c r="Z806" s="8"/>
    </row>
    <row r="807" ht="16.5" customHeight="1">
      <c r="A807" s="8"/>
      <c r="B807" s="27"/>
      <c r="C807" s="27"/>
      <c r="D807" s="27"/>
      <c r="E807" s="28"/>
      <c r="F807" s="29"/>
      <c r="G807" s="28"/>
      <c r="H807" s="30"/>
      <c r="I807" s="31"/>
      <c r="J807" s="28"/>
      <c r="K807" s="27"/>
      <c r="L807" s="8"/>
      <c r="M807" s="8"/>
      <c r="N807" s="8"/>
      <c r="O807" s="8"/>
      <c r="P807" s="8"/>
      <c r="Q807" s="8"/>
      <c r="R807" s="8"/>
      <c r="S807" s="8"/>
      <c r="T807" s="8"/>
      <c r="U807" s="8"/>
      <c r="V807" s="8"/>
      <c r="W807" s="8"/>
      <c r="X807" s="8"/>
      <c r="Y807" s="8"/>
      <c r="Z807" s="8"/>
    </row>
    <row r="808" ht="16.5" customHeight="1">
      <c r="A808" s="8"/>
      <c r="B808" s="27"/>
      <c r="C808" s="27"/>
      <c r="D808" s="27"/>
      <c r="E808" s="28"/>
      <c r="F808" s="29"/>
      <c r="G808" s="28"/>
      <c r="H808" s="30"/>
      <c r="I808" s="31"/>
      <c r="J808" s="28"/>
      <c r="K808" s="27"/>
      <c r="L808" s="8"/>
      <c r="M808" s="8"/>
      <c r="N808" s="8"/>
      <c r="O808" s="8"/>
      <c r="P808" s="8"/>
      <c r="Q808" s="8"/>
      <c r="R808" s="8"/>
      <c r="S808" s="8"/>
      <c r="T808" s="8"/>
      <c r="U808" s="8"/>
      <c r="V808" s="8"/>
      <c r="W808" s="8"/>
      <c r="X808" s="8"/>
      <c r="Y808" s="8"/>
      <c r="Z808" s="8"/>
    </row>
    <row r="809" ht="16.5" customHeight="1">
      <c r="A809" s="8"/>
      <c r="B809" s="27"/>
      <c r="C809" s="27"/>
      <c r="D809" s="27"/>
      <c r="E809" s="28"/>
      <c r="F809" s="29"/>
      <c r="G809" s="28"/>
      <c r="H809" s="30"/>
      <c r="I809" s="31"/>
      <c r="J809" s="28"/>
      <c r="K809" s="27"/>
      <c r="L809" s="8"/>
      <c r="M809" s="8"/>
      <c r="N809" s="8"/>
      <c r="O809" s="8"/>
      <c r="P809" s="8"/>
      <c r="Q809" s="8"/>
      <c r="R809" s="8"/>
      <c r="S809" s="8"/>
      <c r="T809" s="8"/>
      <c r="U809" s="8"/>
      <c r="V809" s="8"/>
      <c r="W809" s="8"/>
      <c r="X809" s="8"/>
      <c r="Y809" s="8"/>
      <c r="Z809" s="8"/>
    </row>
    <row r="810" ht="16.5" customHeight="1">
      <c r="A810" s="8"/>
      <c r="B810" s="27"/>
      <c r="C810" s="27"/>
      <c r="D810" s="27"/>
      <c r="E810" s="28"/>
      <c r="F810" s="29"/>
      <c r="G810" s="28"/>
      <c r="H810" s="30"/>
      <c r="I810" s="31"/>
      <c r="J810" s="28"/>
      <c r="K810" s="27"/>
      <c r="L810" s="8"/>
      <c r="M810" s="8"/>
      <c r="N810" s="8"/>
      <c r="O810" s="8"/>
      <c r="P810" s="8"/>
      <c r="Q810" s="8"/>
      <c r="R810" s="8"/>
      <c r="S810" s="8"/>
      <c r="T810" s="8"/>
      <c r="U810" s="8"/>
      <c r="V810" s="8"/>
      <c r="W810" s="8"/>
      <c r="X810" s="8"/>
      <c r="Y810" s="8"/>
      <c r="Z810" s="8"/>
    </row>
    <row r="811" ht="16.5" customHeight="1">
      <c r="A811" s="8"/>
      <c r="B811" s="27"/>
      <c r="C811" s="27"/>
      <c r="D811" s="27"/>
      <c r="E811" s="28"/>
      <c r="F811" s="29"/>
      <c r="G811" s="28"/>
      <c r="H811" s="30"/>
      <c r="I811" s="31"/>
      <c r="J811" s="28"/>
      <c r="K811" s="27"/>
      <c r="L811" s="8"/>
      <c r="M811" s="8"/>
      <c r="N811" s="8"/>
      <c r="O811" s="8"/>
      <c r="P811" s="8"/>
      <c r="Q811" s="8"/>
      <c r="R811" s="8"/>
      <c r="S811" s="8"/>
      <c r="T811" s="8"/>
      <c r="U811" s="8"/>
      <c r="V811" s="8"/>
      <c r="W811" s="8"/>
      <c r="X811" s="8"/>
      <c r="Y811" s="8"/>
      <c r="Z811" s="8"/>
    </row>
    <row r="812" ht="16.5" customHeight="1">
      <c r="A812" s="8"/>
      <c r="B812" s="27"/>
      <c r="C812" s="27"/>
      <c r="D812" s="27"/>
      <c r="E812" s="28"/>
      <c r="F812" s="29"/>
      <c r="G812" s="28"/>
      <c r="H812" s="30"/>
      <c r="I812" s="31"/>
      <c r="J812" s="28"/>
      <c r="K812" s="27"/>
      <c r="L812" s="8"/>
      <c r="M812" s="8"/>
      <c r="N812" s="8"/>
      <c r="O812" s="8"/>
      <c r="P812" s="8"/>
      <c r="Q812" s="8"/>
      <c r="R812" s="8"/>
      <c r="S812" s="8"/>
      <c r="T812" s="8"/>
      <c r="U812" s="8"/>
      <c r="V812" s="8"/>
      <c r="W812" s="8"/>
      <c r="X812" s="8"/>
      <c r="Y812" s="8"/>
      <c r="Z812" s="8"/>
    </row>
    <row r="813" ht="16.5" customHeight="1">
      <c r="A813" s="8"/>
      <c r="B813" s="27"/>
      <c r="C813" s="27"/>
      <c r="D813" s="27"/>
      <c r="E813" s="28"/>
      <c r="F813" s="29"/>
      <c r="G813" s="28"/>
      <c r="H813" s="30"/>
      <c r="I813" s="31"/>
      <c r="J813" s="28"/>
      <c r="K813" s="27"/>
      <c r="L813" s="8"/>
      <c r="M813" s="8"/>
      <c r="N813" s="8"/>
      <c r="O813" s="8"/>
      <c r="P813" s="8"/>
      <c r="Q813" s="8"/>
      <c r="R813" s="8"/>
      <c r="S813" s="8"/>
      <c r="T813" s="8"/>
      <c r="U813" s="8"/>
      <c r="V813" s="8"/>
      <c r="W813" s="8"/>
      <c r="X813" s="8"/>
      <c r="Y813" s="8"/>
      <c r="Z813" s="8"/>
    </row>
    <row r="814" ht="16.5" customHeight="1">
      <c r="A814" s="8"/>
      <c r="B814" s="27"/>
      <c r="C814" s="27"/>
      <c r="D814" s="27"/>
      <c r="E814" s="28"/>
      <c r="F814" s="29"/>
      <c r="G814" s="28"/>
      <c r="H814" s="30"/>
      <c r="I814" s="31"/>
      <c r="J814" s="28"/>
      <c r="K814" s="27"/>
      <c r="L814" s="8"/>
      <c r="M814" s="8"/>
      <c r="N814" s="8"/>
      <c r="O814" s="8"/>
      <c r="P814" s="8"/>
      <c r="Q814" s="8"/>
      <c r="R814" s="8"/>
      <c r="S814" s="8"/>
      <c r="T814" s="8"/>
      <c r="U814" s="8"/>
      <c r="V814" s="8"/>
      <c r="W814" s="8"/>
      <c r="X814" s="8"/>
      <c r="Y814" s="8"/>
      <c r="Z814" s="8"/>
    </row>
    <row r="815" ht="16.5" customHeight="1">
      <c r="A815" s="8"/>
      <c r="B815" s="27"/>
      <c r="C815" s="27"/>
      <c r="D815" s="27"/>
      <c r="E815" s="28"/>
      <c r="F815" s="29"/>
      <c r="G815" s="28"/>
      <c r="H815" s="30"/>
      <c r="I815" s="31"/>
      <c r="J815" s="28"/>
      <c r="K815" s="27"/>
      <c r="L815" s="8"/>
      <c r="M815" s="8"/>
      <c r="N815" s="8"/>
      <c r="O815" s="8"/>
      <c r="P815" s="8"/>
      <c r="Q815" s="8"/>
      <c r="R815" s="8"/>
      <c r="S815" s="8"/>
      <c r="T815" s="8"/>
      <c r="U815" s="8"/>
      <c r="V815" s="8"/>
      <c r="W815" s="8"/>
      <c r="X815" s="8"/>
      <c r="Y815" s="8"/>
      <c r="Z815" s="8"/>
    </row>
    <row r="816" ht="16.5" customHeight="1">
      <c r="A816" s="8"/>
      <c r="B816" s="27"/>
      <c r="C816" s="27"/>
      <c r="D816" s="27"/>
      <c r="E816" s="28"/>
      <c r="F816" s="29"/>
      <c r="G816" s="28"/>
      <c r="H816" s="30"/>
      <c r="I816" s="31"/>
      <c r="J816" s="28"/>
      <c r="K816" s="27"/>
      <c r="L816" s="8"/>
      <c r="M816" s="8"/>
      <c r="N816" s="8"/>
      <c r="O816" s="8"/>
      <c r="P816" s="8"/>
      <c r="Q816" s="8"/>
      <c r="R816" s="8"/>
      <c r="S816" s="8"/>
      <c r="T816" s="8"/>
      <c r="U816" s="8"/>
      <c r="V816" s="8"/>
      <c r="W816" s="8"/>
      <c r="X816" s="8"/>
      <c r="Y816" s="8"/>
      <c r="Z816" s="8"/>
    </row>
    <row r="817" ht="16.5" customHeight="1">
      <c r="A817" s="8"/>
      <c r="B817" s="27"/>
      <c r="C817" s="27"/>
      <c r="D817" s="27"/>
      <c r="E817" s="28"/>
      <c r="F817" s="29"/>
      <c r="G817" s="28"/>
      <c r="H817" s="30"/>
      <c r="I817" s="31"/>
      <c r="J817" s="28"/>
      <c r="K817" s="27"/>
      <c r="L817" s="8"/>
      <c r="M817" s="8"/>
      <c r="N817" s="8"/>
      <c r="O817" s="8"/>
      <c r="P817" s="8"/>
      <c r="Q817" s="8"/>
      <c r="R817" s="8"/>
      <c r="S817" s="8"/>
      <c r="T817" s="8"/>
      <c r="U817" s="8"/>
      <c r="V817" s="8"/>
      <c r="W817" s="8"/>
      <c r="X817" s="8"/>
      <c r="Y817" s="8"/>
      <c r="Z817" s="8"/>
    </row>
    <row r="818" ht="16.5" customHeight="1">
      <c r="A818" s="8"/>
      <c r="B818" s="27"/>
      <c r="C818" s="27"/>
      <c r="D818" s="27"/>
      <c r="E818" s="28"/>
      <c r="F818" s="29"/>
      <c r="G818" s="28"/>
      <c r="H818" s="30"/>
      <c r="I818" s="31"/>
      <c r="J818" s="28"/>
      <c r="K818" s="27"/>
      <c r="L818" s="8"/>
      <c r="M818" s="8"/>
      <c r="N818" s="8"/>
      <c r="O818" s="8"/>
      <c r="P818" s="8"/>
      <c r="Q818" s="8"/>
      <c r="R818" s="8"/>
      <c r="S818" s="8"/>
      <c r="T818" s="8"/>
      <c r="U818" s="8"/>
      <c r="V818" s="8"/>
      <c r="W818" s="8"/>
      <c r="X818" s="8"/>
      <c r="Y818" s="8"/>
      <c r="Z818" s="8"/>
    </row>
    <row r="819" ht="16.5" customHeight="1">
      <c r="A819" s="8"/>
      <c r="B819" s="27"/>
      <c r="C819" s="27"/>
      <c r="D819" s="27"/>
      <c r="E819" s="28"/>
      <c r="F819" s="29"/>
      <c r="G819" s="28"/>
      <c r="H819" s="30"/>
      <c r="I819" s="31"/>
      <c r="J819" s="28"/>
      <c r="K819" s="27"/>
      <c r="L819" s="8"/>
      <c r="M819" s="8"/>
      <c r="N819" s="8"/>
      <c r="O819" s="8"/>
      <c r="P819" s="8"/>
      <c r="Q819" s="8"/>
      <c r="R819" s="8"/>
      <c r="S819" s="8"/>
      <c r="T819" s="8"/>
      <c r="U819" s="8"/>
      <c r="V819" s="8"/>
      <c r="W819" s="8"/>
      <c r="X819" s="8"/>
      <c r="Y819" s="8"/>
      <c r="Z819" s="8"/>
    </row>
    <row r="820" ht="16.5" customHeight="1">
      <c r="A820" s="8"/>
      <c r="B820" s="27"/>
      <c r="C820" s="27"/>
      <c r="D820" s="27"/>
      <c r="E820" s="28"/>
      <c r="F820" s="29"/>
      <c r="G820" s="28"/>
      <c r="H820" s="30"/>
      <c r="I820" s="31"/>
      <c r="J820" s="28"/>
      <c r="K820" s="27"/>
      <c r="L820" s="8"/>
      <c r="M820" s="8"/>
      <c r="N820" s="8"/>
      <c r="O820" s="8"/>
      <c r="P820" s="8"/>
      <c r="Q820" s="8"/>
      <c r="R820" s="8"/>
      <c r="S820" s="8"/>
      <c r="T820" s="8"/>
      <c r="U820" s="8"/>
      <c r="V820" s="8"/>
      <c r="W820" s="8"/>
      <c r="X820" s="8"/>
      <c r="Y820" s="8"/>
      <c r="Z820" s="8"/>
    </row>
    <row r="821" ht="16.5" customHeight="1">
      <c r="A821" s="8"/>
      <c r="B821" s="27"/>
      <c r="C821" s="27"/>
      <c r="D821" s="27"/>
      <c r="E821" s="28"/>
      <c r="F821" s="29"/>
      <c r="G821" s="28"/>
      <c r="H821" s="30"/>
      <c r="I821" s="31"/>
      <c r="J821" s="28"/>
      <c r="K821" s="27"/>
      <c r="L821" s="8"/>
      <c r="M821" s="8"/>
      <c r="N821" s="8"/>
      <c r="O821" s="8"/>
      <c r="P821" s="8"/>
      <c r="Q821" s="8"/>
      <c r="R821" s="8"/>
      <c r="S821" s="8"/>
      <c r="T821" s="8"/>
      <c r="U821" s="8"/>
      <c r="V821" s="8"/>
      <c r="W821" s="8"/>
      <c r="X821" s="8"/>
      <c r="Y821" s="8"/>
      <c r="Z821" s="8"/>
    </row>
    <row r="822" ht="16.5" customHeight="1">
      <c r="A822" s="8"/>
      <c r="B822" s="27"/>
      <c r="C822" s="27"/>
      <c r="D822" s="27"/>
      <c r="E822" s="28"/>
      <c r="F822" s="29"/>
      <c r="G822" s="28"/>
      <c r="H822" s="30"/>
      <c r="I822" s="31"/>
      <c r="J822" s="28"/>
      <c r="K822" s="27"/>
      <c r="L822" s="8"/>
      <c r="M822" s="8"/>
      <c r="N822" s="8"/>
      <c r="O822" s="8"/>
      <c r="P822" s="8"/>
      <c r="Q822" s="8"/>
      <c r="R822" s="8"/>
      <c r="S822" s="8"/>
      <c r="T822" s="8"/>
      <c r="U822" s="8"/>
      <c r="V822" s="8"/>
      <c r="W822" s="8"/>
      <c r="X822" s="8"/>
      <c r="Y822" s="8"/>
      <c r="Z822" s="8"/>
    </row>
    <row r="823" ht="16.5" customHeight="1">
      <c r="A823" s="8"/>
      <c r="B823" s="27"/>
      <c r="C823" s="27"/>
      <c r="D823" s="27"/>
      <c r="E823" s="28"/>
      <c r="F823" s="29"/>
      <c r="G823" s="28"/>
      <c r="H823" s="30"/>
      <c r="I823" s="31"/>
      <c r="J823" s="28"/>
      <c r="K823" s="27"/>
      <c r="L823" s="8"/>
      <c r="M823" s="8"/>
      <c r="N823" s="8"/>
      <c r="O823" s="8"/>
      <c r="P823" s="8"/>
      <c r="Q823" s="8"/>
      <c r="R823" s="8"/>
      <c r="S823" s="8"/>
      <c r="T823" s="8"/>
      <c r="U823" s="8"/>
      <c r="V823" s="8"/>
      <c r="W823" s="8"/>
      <c r="X823" s="8"/>
      <c r="Y823" s="8"/>
      <c r="Z823" s="8"/>
    </row>
    <row r="824" ht="16.5" customHeight="1">
      <c r="A824" s="8"/>
      <c r="B824" s="27"/>
      <c r="C824" s="27"/>
      <c r="D824" s="27"/>
      <c r="E824" s="28"/>
      <c r="F824" s="29"/>
      <c r="G824" s="28"/>
      <c r="H824" s="30"/>
      <c r="I824" s="31"/>
      <c r="J824" s="28"/>
      <c r="K824" s="27"/>
      <c r="L824" s="8"/>
      <c r="M824" s="8"/>
      <c r="N824" s="8"/>
      <c r="O824" s="8"/>
      <c r="P824" s="8"/>
      <c r="Q824" s="8"/>
      <c r="R824" s="8"/>
      <c r="S824" s="8"/>
      <c r="T824" s="8"/>
      <c r="U824" s="8"/>
      <c r="V824" s="8"/>
      <c r="W824" s="8"/>
      <c r="X824" s="8"/>
      <c r="Y824" s="8"/>
      <c r="Z824" s="8"/>
    </row>
    <row r="825" ht="16.5" customHeight="1">
      <c r="A825" s="8"/>
      <c r="B825" s="27"/>
      <c r="C825" s="27"/>
      <c r="D825" s="27"/>
      <c r="E825" s="28"/>
      <c r="F825" s="29"/>
      <c r="G825" s="28"/>
      <c r="H825" s="30"/>
      <c r="I825" s="31"/>
      <c r="J825" s="28"/>
      <c r="K825" s="27"/>
      <c r="L825" s="8"/>
      <c r="M825" s="8"/>
      <c r="N825" s="8"/>
      <c r="O825" s="8"/>
      <c r="P825" s="8"/>
      <c r="Q825" s="8"/>
      <c r="R825" s="8"/>
      <c r="S825" s="8"/>
      <c r="T825" s="8"/>
      <c r="U825" s="8"/>
      <c r="V825" s="8"/>
      <c r="W825" s="8"/>
      <c r="X825" s="8"/>
      <c r="Y825" s="8"/>
      <c r="Z825" s="8"/>
    </row>
    <row r="826" ht="16.5" customHeight="1">
      <c r="A826" s="8"/>
      <c r="B826" s="27"/>
      <c r="C826" s="27"/>
      <c r="D826" s="27"/>
      <c r="E826" s="28"/>
      <c r="F826" s="29"/>
      <c r="G826" s="28"/>
      <c r="H826" s="30"/>
      <c r="I826" s="31"/>
      <c r="J826" s="28"/>
      <c r="K826" s="27"/>
      <c r="L826" s="8"/>
      <c r="M826" s="8"/>
      <c r="N826" s="8"/>
      <c r="O826" s="8"/>
      <c r="P826" s="8"/>
      <c r="Q826" s="8"/>
      <c r="R826" s="8"/>
      <c r="S826" s="8"/>
      <c r="T826" s="8"/>
      <c r="U826" s="8"/>
      <c r="V826" s="8"/>
      <c r="W826" s="8"/>
      <c r="X826" s="8"/>
      <c r="Y826" s="8"/>
      <c r="Z826" s="8"/>
    </row>
    <row r="827" ht="16.5" customHeight="1">
      <c r="A827" s="8"/>
      <c r="B827" s="27"/>
      <c r="C827" s="27"/>
      <c r="D827" s="27"/>
      <c r="E827" s="28"/>
      <c r="F827" s="29"/>
      <c r="G827" s="28"/>
      <c r="H827" s="30"/>
      <c r="I827" s="31"/>
      <c r="J827" s="28"/>
      <c r="K827" s="27"/>
      <c r="L827" s="8"/>
      <c r="M827" s="8"/>
      <c r="N827" s="8"/>
      <c r="O827" s="8"/>
      <c r="P827" s="8"/>
      <c r="Q827" s="8"/>
      <c r="R827" s="8"/>
      <c r="S827" s="8"/>
      <c r="T827" s="8"/>
      <c r="U827" s="8"/>
      <c r="V827" s="8"/>
      <c r="W827" s="8"/>
      <c r="X827" s="8"/>
      <c r="Y827" s="8"/>
      <c r="Z827" s="8"/>
    </row>
    <row r="828" ht="16.5" customHeight="1">
      <c r="A828" s="8"/>
      <c r="B828" s="27"/>
      <c r="C828" s="27"/>
      <c r="D828" s="27"/>
      <c r="E828" s="28"/>
      <c r="F828" s="29"/>
      <c r="G828" s="28"/>
      <c r="H828" s="30"/>
      <c r="I828" s="31"/>
      <c r="J828" s="28"/>
      <c r="K828" s="27"/>
      <c r="L828" s="8"/>
      <c r="M828" s="8"/>
      <c r="N828" s="8"/>
      <c r="O828" s="8"/>
      <c r="P828" s="8"/>
      <c r="Q828" s="8"/>
      <c r="R828" s="8"/>
      <c r="S828" s="8"/>
      <c r="T828" s="8"/>
      <c r="U828" s="8"/>
      <c r="V828" s="8"/>
      <c r="W828" s="8"/>
      <c r="X828" s="8"/>
      <c r="Y828" s="8"/>
      <c r="Z828" s="8"/>
    </row>
    <row r="829" ht="16.5" customHeight="1">
      <c r="A829" s="8"/>
      <c r="B829" s="27"/>
      <c r="C829" s="27"/>
      <c r="D829" s="27"/>
      <c r="E829" s="28"/>
      <c r="F829" s="29"/>
      <c r="G829" s="28"/>
      <c r="H829" s="30"/>
      <c r="I829" s="31"/>
      <c r="J829" s="28"/>
      <c r="K829" s="27"/>
      <c r="L829" s="8"/>
      <c r="M829" s="8"/>
      <c r="N829" s="8"/>
      <c r="O829" s="8"/>
      <c r="P829" s="8"/>
      <c r="Q829" s="8"/>
      <c r="R829" s="8"/>
      <c r="S829" s="8"/>
      <c r="T829" s="8"/>
      <c r="U829" s="8"/>
      <c r="V829" s="8"/>
      <c r="W829" s="8"/>
      <c r="X829" s="8"/>
      <c r="Y829" s="8"/>
      <c r="Z829" s="8"/>
    </row>
    <row r="830" ht="16.5" customHeight="1">
      <c r="A830" s="8"/>
      <c r="B830" s="27"/>
      <c r="C830" s="27"/>
      <c r="D830" s="27"/>
      <c r="E830" s="28"/>
      <c r="F830" s="29"/>
      <c r="G830" s="28"/>
      <c r="H830" s="30"/>
      <c r="I830" s="31"/>
      <c r="J830" s="28"/>
      <c r="K830" s="27"/>
      <c r="L830" s="8"/>
      <c r="M830" s="8"/>
      <c r="N830" s="8"/>
      <c r="O830" s="8"/>
      <c r="P830" s="8"/>
      <c r="Q830" s="8"/>
      <c r="R830" s="8"/>
      <c r="S830" s="8"/>
      <c r="T830" s="8"/>
      <c r="U830" s="8"/>
      <c r="V830" s="8"/>
      <c r="W830" s="8"/>
      <c r="X830" s="8"/>
      <c r="Y830" s="8"/>
      <c r="Z830" s="8"/>
    </row>
    <row r="831" ht="16.5" customHeight="1">
      <c r="A831" s="8"/>
      <c r="B831" s="27"/>
      <c r="C831" s="27"/>
      <c r="D831" s="27"/>
      <c r="E831" s="28"/>
      <c r="F831" s="29"/>
      <c r="G831" s="28"/>
      <c r="H831" s="30"/>
      <c r="I831" s="31"/>
      <c r="J831" s="28"/>
      <c r="K831" s="27"/>
      <c r="L831" s="8"/>
      <c r="M831" s="8"/>
      <c r="N831" s="8"/>
      <c r="O831" s="8"/>
      <c r="P831" s="8"/>
      <c r="Q831" s="8"/>
      <c r="R831" s="8"/>
      <c r="S831" s="8"/>
      <c r="T831" s="8"/>
      <c r="U831" s="8"/>
      <c r="V831" s="8"/>
      <c r="W831" s="8"/>
      <c r="X831" s="8"/>
      <c r="Y831" s="8"/>
      <c r="Z831" s="8"/>
    </row>
    <row r="832" ht="16.5" customHeight="1">
      <c r="A832" s="8"/>
      <c r="B832" s="27"/>
      <c r="C832" s="27"/>
      <c r="D832" s="27"/>
      <c r="E832" s="28"/>
      <c r="F832" s="29"/>
      <c r="G832" s="28"/>
      <c r="H832" s="30"/>
      <c r="I832" s="31"/>
      <c r="J832" s="28"/>
      <c r="K832" s="27"/>
      <c r="L832" s="8"/>
      <c r="M832" s="8"/>
      <c r="N832" s="8"/>
      <c r="O832" s="8"/>
      <c r="P832" s="8"/>
      <c r="Q832" s="8"/>
      <c r="R832" s="8"/>
      <c r="S832" s="8"/>
      <c r="T832" s="8"/>
      <c r="U832" s="8"/>
      <c r="V832" s="8"/>
      <c r="W832" s="8"/>
      <c r="X832" s="8"/>
      <c r="Y832" s="8"/>
      <c r="Z832" s="8"/>
    </row>
    <row r="833" ht="16.5" customHeight="1">
      <c r="A833" s="8"/>
      <c r="B833" s="27"/>
      <c r="C833" s="27"/>
      <c r="D833" s="27"/>
      <c r="E833" s="28"/>
      <c r="F833" s="29"/>
      <c r="G833" s="28"/>
      <c r="H833" s="30"/>
      <c r="I833" s="31"/>
      <c r="J833" s="28"/>
      <c r="K833" s="27"/>
      <c r="L833" s="8"/>
      <c r="M833" s="8"/>
      <c r="N833" s="8"/>
      <c r="O833" s="8"/>
      <c r="P833" s="8"/>
      <c r="Q833" s="8"/>
      <c r="R833" s="8"/>
      <c r="S833" s="8"/>
      <c r="T833" s="8"/>
      <c r="U833" s="8"/>
      <c r="V833" s="8"/>
      <c r="W833" s="8"/>
      <c r="X833" s="8"/>
      <c r="Y833" s="8"/>
      <c r="Z833" s="8"/>
    </row>
    <row r="834" ht="16.5" customHeight="1">
      <c r="A834" s="8"/>
      <c r="B834" s="27"/>
      <c r="C834" s="27"/>
      <c r="D834" s="27"/>
      <c r="E834" s="28"/>
      <c r="F834" s="29"/>
      <c r="G834" s="28"/>
      <c r="H834" s="30"/>
      <c r="I834" s="31"/>
      <c r="J834" s="28"/>
      <c r="K834" s="27"/>
      <c r="L834" s="8"/>
      <c r="M834" s="8"/>
      <c r="N834" s="8"/>
      <c r="O834" s="8"/>
      <c r="P834" s="8"/>
      <c r="Q834" s="8"/>
      <c r="R834" s="8"/>
      <c r="S834" s="8"/>
      <c r="T834" s="8"/>
      <c r="U834" s="8"/>
      <c r="V834" s="8"/>
      <c r="W834" s="8"/>
      <c r="X834" s="8"/>
      <c r="Y834" s="8"/>
      <c r="Z834" s="8"/>
    </row>
    <row r="835" ht="16.5" customHeight="1">
      <c r="A835" s="8"/>
      <c r="B835" s="27"/>
      <c r="C835" s="27"/>
      <c r="D835" s="27"/>
      <c r="E835" s="28"/>
      <c r="F835" s="29"/>
      <c r="G835" s="28"/>
      <c r="H835" s="30"/>
      <c r="I835" s="31"/>
      <c r="J835" s="28"/>
      <c r="K835" s="27"/>
      <c r="L835" s="8"/>
      <c r="M835" s="8"/>
      <c r="N835" s="8"/>
      <c r="O835" s="8"/>
      <c r="P835" s="8"/>
      <c r="Q835" s="8"/>
      <c r="R835" s="8"/>
      <c r="S835" s="8"/>
      <c r="T835" s="8"/>
      <c r="U835" s="8"/>
      <c r="V835" s="8"/>
      <c r="W835" s="8"/>
      <c r="X835" s="8"/>
      <c r="Y835" s="8"/>
      <c r="Z835" s="8"/>
    </row>
    <row r="836" ht="16.5" customHeight="1">
      <c r="A836" s="8"/>
      <c r="B836" s="27"/>
      <c r="C836" s="27"/>
      <c r="D836" s="27"/>
      <c r="E836" s="28"/>
      <c r="F836" s="29"/>
      <c r="G836" s="28"/>
      <c r="H836" s="30"/>
      <c r="I836" s="31"/>
      <c r="J836" s="28"/>
      <c r="K836" s="27"/>
      <c r="L836" s="8"/>
      <c r="M836" s="8"/>
      <c r="N836" s="8"/>
      <c r="O836" s="8"/>
      <c r="P836" s="8"/>
      <c r="Q836" s="8"/>
      <c r="R836" s="8"/>
      <c r="S836" s="8"/>
      <c r="T836" s="8"/>
      <c r="U836" s="8"/>
      <c r="V836" s="8"/>
      <c r="W836" s="8"/>
      <c r="X836" s="8"/>
      <c r="Y836" s="8"/>
      <c r="Z836" s="8"/>
    </row>
    <row r="837" ht="16.5" customHeight="1">
      <c r="A837" s="8"/>
      <c r="B837" s="27"/>
      <c r="C837" s="27"/>
      <c r="D837" s="27"/>
      <c r="E837" s="28"/>
      <c r="F837" s="29"/>
      <c r="G837" s="28"/>
      <c r="H837" s="30"/>
      <c r="I837" s="31"/>
      <c r="J837" s="28"/>
      <c r="K837" s="27"/>
      <c r="L837" s="8"/>
      <c r="M837" s="8"/>
      <c r="N837" s="8"/>
      <c r="O837" s="8"/>
      <c r="P837" s="8"/>
      <c r="Q837" s="8"/>
      <c r="R837" s="8"/>
      <c r="S837" s="8"/>
      <c r="T837" s="8"/>
      <c r="U837" s="8"/>
      <c r="V837" s="8"/>
      <c r="W837" s="8"/>
      <c r="X837" s="8"/>
      <c r="Y837" s="8"/>
      <c r="Z837" s="8"/>
    </row>
    <row r="838" ht="16.5" customHeight="1">
      <c r="A838" s="8"/>
      <c r="B838" s="27"/>
      <c r="C838" s="27"/>
      <c r="D838" s="27"/>
      <c r="E838" s="28"/>
      <c r="F838" s="29"/>
      <c r="G838" s="28"/>
      <c r="H838" s="30"/>
      <c r="I838" s="31"/>
      <c r="J838" s="28"/>
      <c r="K838" s="27"/>
      <c r="L838" s="8"/>
      <c r="M838" s="8"/>
      <c r="N838" s="8"/>
      <c r="O838" s="8"/>
      <c r="P838" s="8"/>
      <c r="Q838" s="8"/>
      <c r="R838" s="8"/>
      <c r="S838" s="8"/>
      <c r="T838" s="8"/>
      <c r="U838" s="8"/>
      <c r="V838" s="8"/>
      <c r="W838" s="8"/>
      <c r="X838" s="8"/>
      <c r="Y838" s="8"/>
      <c r="Z838" s="8"/>
    </row>
    <row r="839" ht="16.5" customHeight="1">
      <c r="A839" s="8"/>
      <c r="B839" s="27"/>
      <c r="C839" s="27"/>
      <c r="D839" s="27"/>
      <c r="E839" s="28"/>
      <c r="F839" s="29"/>
      <c r="G839" s="28"/>
      <c r="H839" s="30"/>
      <c r="I839" s="31"/>
      <c r="J839" s="28"/>
      <c r="K839" s="27"/>
      <c r="L839" s="8"/>
      <c r="M839" s="8"/>
      <c r="N839" s="8"/>
      <c r="O839" s="8"/>
      <c r="P839" s="8"/>
      <c r="Q839" s="8"/>
      <c r="R839" s="8"/>
      <c r="S839" s="8"/>
      <c r="T839" s="8"/>
      <c r="U839" s="8"/>
      <c r="V839" s="8"/>
      <c r="W839" s="8"/>
      <c r="X839" s="8"/>
      <c r="Y839" s="8"/>
      <c r="Z839" s="8"/>
    </row>
    <row r="840" ht="16.5" customHeight="1">
      <c r="A840" s="8"/>
      <c r="B840" s="27"/>
      <c r="C840" s="27"/>
      <c r="D840" s="27"/>
      <c r="E840" s="28"/>
      <c r="F840" s="29"/>
      <c r="G840" s="28"/>
      <c r="H840" s="30"/>
      <c r="I840" s="31"/>
      <c r="J840" s="28"/>
      <c r="K840" s="27"/>
      <c r="L840" s="8"/>
      <c r="M840" s="8"/>
      <c r="N840" s="8"/>
      <c r="O840" s="8"/>
      <c r="P840" s="8"/>
      <c r="Q840" s="8"/>
      <c r="R840" s="8"/>
      <c r="S840" s="8"/>
      <c r="T840" s="8"/>
      <c r="U840" s="8"/>
      <c r="V840" s="8"/>
      <c r="W840" s="8"/>
      <c r="X840" s="8"/>
      <c r="Y840" s="8"/>
      <c r="Z840" s="8"/>
    </row>
    <row r="841" ht="16.5" customHeight="1">
      <c r="A841" s="8"/>
      <c r="B841" s="27"/>
      <c r="C841" s="27"/>
      <c r="D841" s="27"/>
      <c r="E841" s="28"/>
      <c r="F841" s="29"/>
      <c r="G841" s="28"/>
      <c r="H841" s="30"/>
      <c r="I841" s="31"/>
      <c r="J841" s="28"/>
      <c r="K841" s="27"/>
      <c r="L841" s="8"/>
      <c r="M841" s="8"/>
      <c r="N841" s="8"/>
      <c r="O841" s="8"/>
      <c r="P841" s="8"/>
      <c r="Q841" s="8"/>
      <c r="R841" s="8"/>
      <c r="S841" s="8"/>
      <c r="T841" s="8"/>
      <c r="U841" s="8"/>
      <c r="V841" s="8"/>
      <c r="W841" s="8"/>
      <c r="X841" s="8"/>
      <c r="Y841" s="8"/>
      <c r="Z841" s="8"/>
    </row>
    <row r="842" ht="16.5" customHeight="1">
      <c r="A842" s="8"/>
      <c r="B842" s="27"/>
      <c r="C842" s="27"/>
      <c r="D842" s="27"/>
      <c r="E842" s="28"/>
      <c r="F842" s="29"/>
      <c r="G842" s="28"/>
      <c r="H842" s="30"/>
      <c r="I842" s="31"/>
      <c r="J842" s="28"/>
      <c r="K842" s="27"/>
      <c r="L842" s="8"/>
      <c r="M842" s="8"/>
      <c r="N842" s="8"/>
      <c r="O842" s="8"/>
      <c r="P842" s="8"/>
      <c r="Q842" s="8"/>
      <c r="R842" s="8"/>
      <c r="S842" s="8"/>
      <c r="T842" s="8"/>
      <c r="U842" s="8"/>
      <c r="V842" s="8"/>
      <c r="W842" s="8"/>
      <c r="X842" s="8"/>
      <c r="Y842" s="8"/>
      <c r="Z842" s="8"/>
    </row>
    <row r="843" ht="16.5" customHeight="1">
      <c r="A843" s="8"/>
      <c r="B843" s="27"/>
      <c r="C843" s="27"/>
      <c r="D843" s="27"/>
      <c r="E843" s="28"/>
      <c r="F843" s="29"/>
      <c r="G843" s="28"/>
      <c r="H843" s="30"/>
      <c r="I843" s="31"/>
      <c r="J843" s="28"/>
      <c r="K843" s="27"/>
      <c r="L843" s="8"/>
      <c r="M843" s="8"/>
      <c r="N843" s="8"/>
      <c r="O843" s="8"/>
      <c r="P843" s="8"/>
      <c r="Q843" s="8"/>
      <c r="R843" s="8"/>
      <c r="S843" s="8"/>
      <c r="T843" s="8"/>
      <c r="U843" s="8"/>
      <c r="V843" s="8"/>
      <c r="W843" s="8"/>
      <c r="X843" s="8"/>
      <c r="Y843" s="8"/>
      <c r="Z843" s="8"/>
    </row>
    <row r="844" ht="16.5" customHeight="1">
      <c r="A844" s="8"/>
      <c r="B844" s="27"/>
      <c r="C844" s="27"/>
      <c r="D844" s="27"/>
      <c r="E844" s="28"/>
      <c r="F844" s="29"/>
      <c r="G844" s="28"/>
      <c r="H844" s="30"/>
      <c r="I844" s="31"/>
      <c r="J844" s="28"/>
      <c r="K844" s="27"/>
      <c r="L844" s="8"/>
      <c r="M844" s="8"/>
      <c r="N844" s="8"/>
      <c r="O844" s="8"/>
      <c r="P844" s="8"/>
      <c r="Q844" s="8"/>
      <c r="R844" s="8"/>
      <c r="S844" s="8"/>
      <c r="T844" s="8"/>
      <c r="U844" s="8"/>
      <c r="V844" s="8"/>
      <c r="W844" s="8"/>
      <c r="X844" s="8"/>
      <c r="Y844" s="8"/>
      <c r="Z844" s="8"/>
    </row>
    <row r="845" ht="16.5" customHeight="1">
      <c r="A845" s="8"/>
      <c r="B845" s="27"/>
      <c r="C845" s="27"/>
      <c r="D845" s="27"/>
      <c r="E845" s="28"/>
      <c r="F845" s="29"/>
      <c r="G845" s="28"/>
      <c r="H845" s="30"/>
      <c r="I845" s="31"/>
      <c r="J845" s="28"/>
      <c r="K845" s="27"/>
      <c r="L845" s="8"/>
      <c r="M845" s="8"/>
      <c r="N845" s="8"/>
      <c r="O845" s="8"/>
      <c r="P845" s="8"/>
      <c r="Q845" s="8"/>
      <c r="R845" s="8"/>
      <c r="S845" s="8"/>
      <c r="T845" s="8"/>
      <c r="U845" s="8"/>
      <c r="V845" s="8"/>
      <c r="W845" s="8"/>
      <c r="X845" s="8"/>
      <c r="Y845" s="8"/>
      <c r="Z845" s="8"/>
    </row>
    <row r="846" ht="16.5" customHeight="1">
      <c r="A846" s="8"/>
      <c r="B846" s="27"/>
      <c r="C846" s="27"/>
      <c r="D846" s="27"/>
      <c r="E846" s="28"/>
      <c r="F846" s="29"/>
      <c r="G846" s="28"/>
      <c r="H846" s="30"/>
      <c r="I846" s="31"/>
      <c r="J846" s="28"/>
      <c r="K846" s="27"/>
      <c r="L846" s="8"/>
      <c r="M846" s="8"/>
      <c r="N846" s="8"/>
      <c r="O846" s="8"/>
      <c r="P846" s="8"/>
      <c r="Q846" s="8"/>
      <c r="R846" s="8"/>
      <c r="S846" s="8"/>
      <c r="T846" s="8"/>
      <c r="U846" s="8"/>
      <c r="V846" s="8"/>
      <c r="W846" s="8"/>
      <c r="X846" s="8"/>
      <c r="Y846" s="8"/>
      <c r="Z846" s="8"/>
    </row>
    <row r="847" ht="16.5" customHeight="1">
      <c r="A847" s="8"/>
      <c r="B847" s="27"/>
      <c r="C847" s="27"/>
      <c r="D847" s="27"/>
      <c r="E847" s="28"/>
      <c r="F847" s="29"/>
      <c r="G847" s="28"/>
      <c r="H847" s="30"/>
      <c r="I847" s="31"/>
      <c r="J847" s="28"/>
      <c r="K847" s="27"/>
      <c r="L847" s="8"/>
      <c r="M847" s="8"/>
      <c r="N847" s="8"/>
      <c r="O847" s="8"/>
      <c r="P847" s="8"/>
      <c r="Q847" s="8"/>
      <c r="R847" s="8"/>
      <c r="S847" s="8"/>
      <c r="T847" s="8"/>
      <c r="U847" s="8"/>
      <c r="V847" s="8"/>
      <c r="W847" s="8"/>
      <c r="X847" s="8"/>
      <c r="Y847" s="8"/>
      <c r="Z847" s="8"/>
    </row>
    <row r="848" ht="16.5" customHeight="1">
      <c r="A848" s="8"/>
      <c r="B848" s="27"/>
      <c r="C848" s="27"/>
      <c r="D848" s="27"/>
      <c r="E848" s="28"/>
      <c r="F848" s="29"/>
      <c r="G848" s="28"/>
      <c r="H848" s="30"/>
      <c r="I848" s="31"/>
      <c r="J848" s="28"/>
      <c r="K848" s="27"/>
      <c r="L848" s="8"/>
      <c r="M848" s="8"/>
      <c r="N848" s="8"/>
      <c r="O848" s="8"/>
      <c r="P848" s="8"/>
      <c r="Q848" s="8"/>
      <c r="R848" s="8"/>
      <c r="S848" s="8"/>
      <c r="T848" s="8"/>
      <c r="U848" s="8"/>
      <c r="V848" s="8"/>
      <c r="W848" s="8"/>
      <c r="X848" s="8"/>
      <c r="Y848" s="8"/>
      <c r="Z848" s="8"/>
    </row>
    <row r="849" ht="16.5" customHeight="1">
      <c r="A849" s="8"/>
      <c r="B849" s="27"/>
      <c r="C849" s="27"/>
      <c r="D849" s="27"/>
      <c r="E849" s="28"/>
      <c r="F849" s="29"/>
      <c r="G849" s="28"/>
      <c r="H849" s="30"/>
      <c r="I849" s="31"/>
      <c r="J849" s="28"/>
      <c r="K849" s="27"/>
      <c r="L849" s="8"/>
      <c r="M849" s="8"/>
      <c r="N849" s="8"/>
      <c r="O849" s="8"/>
      <c r="P849" s="8"/>
      <c r="Q849" s="8"/>
      <c r="R849" s="8"/>
      <c r="S849" s="8"/>
      <c r="T849" s="8"/>
      <c r="U849" s="8"/>
      <c r="V849" s="8"/>
      <c r="W849" s="8"/>
      <c r="X849" s="8"/>
      <c r="Y849" s="8"/>
      <c r="Z849" s="8"/>
    </row>
    <row r="850" ht="16.5" customHeight="1">
      <c r="A850" s="8"/>
      <c r="B850" s="27"/>
      <c r="C850" s="27"/>
      <c r="D850" s="27"/>
      <c r="E850" s="28"/>
      <c r="F850" s="29"/>
      <c r="G850" s="28"/>
      <c r="H850" s="30"/>
      <c r="I850" s="31"/>
      <c r="J850" s="28"/>
      <c r="K850" s="27"/>
      <c r="L850" s="8"/>
      <c r="M850" s="8"/>
      <c r="N850" s="8"/>
      <c r="O850" s="8"/>
      <c r="P850" s="8"/>
      <c r="Q850" s="8"/>
      <c r="R850" s="8"/>
      <c r="S850" s="8"/>
      <c r="T850" s="8"/>
      <c r="U850" s="8"/>
      <c r="V850" s="8"/>
      <c r="W850" s="8"/>
      <c r="X850" s="8"/>
      <c r="Y850" s="8"/>
      <c r="Z850" s="8"/>
    </row>
    <row r="851" ht="16.5" customHeight="1">
      <c r="A851" s="8"/>
      <c r="B851" s="27"/>
      <c r="C851" s="27"/>
      <c r="D851" s="27"/>
      <c r="E851" s="28"/>
      <c r="F851" s="29"/>
      <c r="G851" s="28"/>
      <c r="H851" s="30"/>
      <c r="I851" s="31"/>
      <c r="J851" s="28"/>
      <c r="K851" s="27"/>
      <c r="L851" s="8"/>
      <c r="M851" s="8"/>
      <c r="N851" s="8"/>
      <c r="O851" s="8"/>
      <c r="P851" s="8"/>
      <c r="Q851" s="8"/>
      <c r="R851" s="8"/>
      <c r="S851" s="8"/>
      <c r="T851" s="8"/>
      <c r="U851" s="8"/>
      <c r="V851" s="8"/>
      <c r="W851" s="8"/>
      <c r="X851" s="8"/>
      <c r="Y851" s="8"/>
      <c r="Z851" s="8"/>
    </row>
    <row r="852" ht="16.5" customHeight="1">
      <c r="A852" s="8"/>
      <c r="B852" s="27"/>
      <c r="C852" s="27"/>
      <c r="D852" s="27"/>
      <c r="E852" s="28"/>
      <c r="F852" s="29"/>
      <c r="G852" s="28"/>
      <c r="H852" s="30"/>
      <c r="I852" s="31"/>
      <c r="J852" s="28"/>
      <c r="K852" s="27"/>
      <c r="L852" s="8"/>
      <c r="M852" s="8"/>
      <c r="N852" s="8"/>
      <c r="O852" s="8"/>
      <c r="P852" s="8"/>
      <c r="Q852" s="8"/>
      <c r="R852" s="8"/>
      <c r="S852" s="8"/>
      <c r="T852" s="8"/>
      <c r="U852" s="8"/>
      <c r="V852" s="8"/>
      <c r="W852" s="8"/>
      <c r="X852" s="8"/>
      <c r="Y852" s="8"/>
      <c r="Z852" s="8"/>
    </row>
    <row r="853" ht="16.5" customHeight="1">
      <c r="A853" s="8"/>
      <c r="B853" s="27"/>
      <c r="C853" s="27"/>
      <c r="D853" s="27"/>
      <c r="E853" s="28"/>
      <c r="F853" s="29"/>
      <c r="G853" s="28"/>
      <c r="H853" s="30"/>
      <c r="I853" s="31"/>
      <c r="J853" s="28"/>
      <c r="K853" s="27"/>
      <c r="L853" s="8"/>
      <c r="M853" s="8"/>
      <c r="N853" s="8"/>
      <c r="O853" s="8"/>
      <c r="P853" s="8"/>
      <c r="Q853" s="8"/>
      <c r="R853" s="8"/>
      <c r="S853" s="8"/>
      <c r="T853" s="8"/>
      <c r="U853" s="8"/>
      <c r="V853" s="8"/>
      <c r="W853" s="8"/>
      <c r="X853" s="8"/>
      <c r="Y853" s="8"/>
      <c r="Z853" s="8"/>
    </row>
    <row r="854" ht="16.5" customHeight="1">
      <c r="A854" s="8"/>
      <c r="B854" s="27"/>
      <c r="C854" s="27"/>
      <c r="D854" s="27"/>
      <c r="E854" s="28"/>
      <c r="F854" s="29"/>
      <c r="G854" s="28"/>
      <c r="H854" s="30"/>
      <c r="I854" s="31"/>
      <c r="J854" s="28"/>
      <c r="K854" s="27"/>
      <c r="L854" s="8"/>
      <c r="M854" s="8"/>
      <c r="N854" s="8"/>
      <c r="O854" s="8"/>
      <c r="P854" s="8"/>
      <c r="Q854" s="8"/>
      <c r="R854" s="8"/>
      <c r="S854" s="8"/>
      <c r="T854" s="8"/>
      <c r="U854" s="8"/>
      <c r="V854" s="8"/>
      <c r="W854" s="8"/>
      <c r="X854" s="8"/>
      <c r="Y854" s="8"/>
      <c r="Z854" s="8"/>
    </row>
    <row r="855" ht="16.5" customHeight="1">
      <c r="A855" s="8"/>
      <c r="B855" s="27"/>
      <c r="C855" s="27"/>
      <c r="D855" s="27"/>
      <c r="E855" s="28"/>
      <c r="F855" s="29"/>
      <c r="G855" s="28"/>
      <c r="H855" s="30"/>
      <c r="I855" s="31"/>
      <c r="J855" s="28"/>
      <c r="K855" s="27"/>
      <c r="L855" s="8"/>
      <c r="M855" s="8"/>
      <c r="N855" s="8"/>
      <c r="O855" s="8"/>
      <c r="P855" s="8"/>
      <c r="Q855" s="8"/>
      <c r="R855" s="8"/>
      <c r="S855" s="8"/>
      <c r="T855" s="8"/>
      <c r="U855" s="8"/>
      <c r="V855" s="8"/>
      <c r="W855" s="8"/>
      <c r="X855" s="8"/>
      <c r="Y855" s="8"/>
      <c r="Z855" s="8"/>
    </row>
    <row r="856" ht="16.5" customHeight="1">
      <c r="A856" s="8"/>
      <c r="B856" s="27"/>
      <c r="C856" s="27"/>
      <c r="D856" s="27"/>
      <c r="E856" s="28"/>
      <c r="F856" s="29"/>
      <c r="G856" s="28"/>
      <c r="H856" s="30"/>
      <c r="I856" s="31"/>
      <c r="J856" s="28"/>
      <c r="K856" s="27"/>
      <c r="L856" s="8"/>
      <c r="M856" s="8"/>
      <c r="N856" s="8"/>
      <c r="O856" s="8"/>
      <c r="P856" s="8"/>
      <c r="Q856" s="8"/>
      <c r="R856" s="8"/>
      <c r="S856" s="8"/>
      <c r="T856" s="8"/>
      <c r="U856" s="8"/>
      <c r="V856" s="8"/>
      <c r="W856" s="8"/>
      <c r="X856" s="8"/>
      <c r="Y856" s="8"/>
      <c r="Z856" s="8"/>
    </row>
    <row r="857" ht="16.5" customHeight="1">
      <c r="A857" s="8"/>
      <c r="B857" s="27"/>
      <c r="C857" s="27"/>
      <c r="D857" s="27"/>
      <c r="E857" s="28"/>
      <c r="F857" s="29"/>
      <c r="G857" s="28"/>
      <c r="H857" s="30"/>
      <c r="I857" s="31"/>
      <c r="J857" s="28"/>
      <c r="K857" s="27"/>
      <c r="L857" s="8"/>
      <c r="M857" s="8"/>
      <c r="N857" s="8"/>
      <c r="O857" s="8"/>
      <c r="P857" s="8"/>
      <c r="Q857" s="8"/>
      <c r="R857" s="8"/>
      <c r="S857" s="8"/>
      <c r="T857" s="8"/>
      <c r="U857" s="8"/>
      <c r="V857" s="8"/>
      <c r="W857" s="8"/>
      <c r="X857" s="8"/>
      <c r="Y857" s="8"/>
      <c r="Z857" s="8"/>
    </row>
    <row r="858" ht="16.5" customHeight="1">
      <c r="A858" s="8"/>
      <c r="B858" s="27"/>
      <c r="C858" s="27"/>
      <c r="D858" s="27"/>
      <c r="E858" s="28"/>
      <c r="F858" s="29"/>
      <c r="G858" s="28"/>
      <c r="H858" s="30"/>
      <c r="I858" s="31"/>
      <c r="J858" s="28"/>
      <c r="K858" s="27"/>
      <c r="L858" s="8"/>
      <c r="M858" s="8"/>
      <c r="N858" s="8"/>
      <c r="O858" s="8"/>
      <c r="P858" s="8"/>
      <c r="Q858" s="8"/>
      <c r="R858" s="8"/>
      <c r="S858" s="8"/>
      <c r="T858" s="8"/>
      <c r="U858" s="8"/>
      <c r="V858" s="8"/>
      <c r="W858" s="8"/>
      <c r="X858" s="8"/>
      <c r="Y858" s="8"/>
      <c r="Z858" s="8"/>
    </row>
    <row r="859" ht="16.5" customHeight="1">
      <c r="A859" s="8"/>
      <c r="B859" s="27"/>
      <c r="C859" s="27"/>
      <c r="D859" s="27"/>
      <c r="E859" s="28"/>
      <c r="F859" s="29"/>
      <c r="G859" s="28"/>
      <c r="H859" s="30"/>
      <c r="I859" s="31"/>
      <c r="J859" s="28"/>
      <c r="K859" s="27"/>
      <c r="L859" s="8"/>
      <c r="M859" s="8"/>
      <c r="N859" s="8"/>
      <c r="O859" s="8"/>
      <c r="P859" s="8"/>
      <c r="Q859" s="8"/>
      <c r="R859" s="8"/>
      <c r="S859" s="8"/>
      <c r="T859" s="8"/>
      <c r="U859" s="8"/>
      <c r="V859" s="8"/>
      <c r="W859" s="8"/>
      <c r="X859" s="8"/>
      <c r="Y859" s="8"/>
      <c r="Z859" s="8"/>
    </row>
    <row r="860" ht="16.5" customHeight="1">
      <c r="A860" s="8"/>
      <c r="B860" s="27"/>
      <c r="C860" s="27"/>
      <c r="D860" s="27"/>
      <c r="E860" s="28"/>
      <c r="F860" s="29"/>
      <c r="G860" s="28"/>
      <c r="H860" s="30"/>
      <c r="I860" s="31"/>
      <c r="J860" s="28"/>
      <c r="K860" s="27"/>
      <c r="L860" s="8"/>
      <c r="M860" s="8"/>
      <c r="N860" s="8"/>
      <c r="O860" s="8"/>
      <c r="P860" s="8"/>
      <c r="Q860" s="8"/>
      <c r="R860" s="8"/>
      <c r="S860" s="8"/>
      <c r="T860" s="8"/>
      <c r="U860" s="8"/>
      <c r="V860" s="8"/>
      <c r="W860" s="8"/>
      <c r="X860" s="8"/>
      <c r="Y860" s="8"/>
      <c r="Z860" s="8"/>
    </row>
    <row r="861" ht="16.5" customHeight="1">
      <c r="A861" s="8"/>
      <c r="B861" s="27"/>
      <c r="C861" s="27"/>
      <c r="D861" s="27"/>
      <c r="E861" s="28"/>
      <c r="F861" s="29"/>
      <c r="G861" s="28"/>
      <c r="H861" s="30"/>
      <c r="I861" s="31"/>
      <c r="J861" s="28"/>
      <c r="K861" s="27"/>
      <c r="L861" s="8"/>
      <c r="M861" s="8"/>
      <c r="N861" s="8"/>
      <c r="O861" s="8"/>
      <c r="P861" s="8"/>
      <c r="Q861" s="8"/>
      <c r="R861" s="8"/>
      <c r="S861" s="8"/>
      <c r="T861" s="8"/>
      <c r="U861" s="8"/>
      <c r="V861" s="8"/>
      <c r="W861" s="8"/>
      <c r="X861" s="8"/>
      <c r="Y861" s="8"/>
      <c r="Z861" s="8"/>
    </row>
    <row r="862" ht="16.5" customHeight="1">
      <c r="A862" s="8"/>
      <c r="B862" s="27"/>
      <c r="C862" s="27"/>
      <c r="D862" s="27"/>
      <c r="E862" s="28"/>
      <c r="F862" s="29"/>
      <c r="G862" s="28"/>
      <c r="H862" s="30"/>
      <c r="I862" s="31"/>
      <c r="J862" s="28"/>
      <c r="K862" s="27"/>
      <c r="L862" s="8"/>
      <c r="M862" s="8"/>
      <c r="N862" s="8"/>
      <c r="O862" s="8"/>
      <c r="P862" s="8"/>
      <c r="Q862" s="8"/>
      <c r="R862" s="8"/>
      <c r="S862" s="8"/>
      <c r="T862" s="8"/>
      <c r="U862" s="8"/>
      <c r="V862" s="8"/>
      <c r="W862" s="8"/>
      <c r="X862" s="8"/>
      <c r="Y862" s="8"/>
      <c r="Z862" s="8"/>
    </row>
    <row r="863" ht="16.5" customHeight="1">
      <c r="A863" s="8"/>
      <c r="B863" s="27"/>
      <c r="C863" s="27"/>
      <c r="D863" s="27"/>
      <c r="E863" s="28"/>
      <c r="F863" s="29"/>
      <c r="G863" s="28"/>
      <c r="H863" s="30"/>
      <c r="I863" s="31"/>
      <c r="J863" s="28"/>
      <c r="K863" s="27"/>
      <c r="L863" s="8"/>
      <c r="M863" s="8"/>
      <c r="N863" s="8"/>
      <c r="O863" s="8"/>
      <c r="P863" s="8"/>
      <c r="Q863" s="8"/>
      <c r="R863" s="8"/>
      <c r="S863" s="8"/>
      <c r="T863" s="8"/>
      <c r="U863" s="8"/>
      <c r="V863" s="8"/>
      <c r="W863" s="8"/>
      <c r="X863" s="8"/>
      <c r="Y863" s="8"/>
      <c r="Z863" s="8"/>
    </row>
    <row r="864" ht="16.5" customHeight="1">
      <c r="A864" s="8"/>
      <c r="B864" s="27"/>
      <c r="C864" s="27"/>
      <c r="D864" s="27"/>
      <c r="E864" s="28"/>
      <c r="F864" s="29"/>
      <c r="G864" s="28"/>
      <c r="H864" s="30"/>
      <c r="I864" s="31"/>
      <c r="J864" s="28"/>
      <c r="K864" s="27"/>
      <c r="L864" s="8"/>
      <c r="M864" s="8"/>
      <c r="N864" s="8"/>
      <c r="O864" s="8"/>
      <c r="P864" s="8"/>
      <c r="Q864" s="8"/>
      <c r="R864" s="8"/>
      <c r="S864" s="8"/>
      <c r="T864" s="8"/>
      <c r="U864" s="8"/>
      <c r="V864" s="8"/>
      <c r="W864" s="8"/>
      <c r="X864" s="8"/>
      <c r="Y864" s="8"/>
      <c r="Z864" s="8"/>
    </row>
    <row r="865" ht="16.5" customHeight="1">
      <c r="A865" s="8"/>
      <c r="B865" s="27"/>
      <c r="C865" s="27"/>
      <c r="D865" s="27"/>
      <c r="E865" s="28"/>
      <c r="F865" s="29"/>
      <c r="G865" s="28"/>
      <c r="H865" s="30"/>
      <c r="I865" s="31"/>
      <c r="J865" s="28"/>
      <c r="K865" s="27"/>
      <c r="L865" s="8"/>
      <c r="M865" s="8"/>
      <c r="N865" s="8"/>
      <c r="O865" s="8"/>
      <c r="P865" s="8"/>
      <c r="Q865" s="8"/>
      <c r="R865" s="8"/>
      <c r="S865" s="8"/>
      <c r="T865" s="8"/>
      <c r="U865" s="8"/>
      <c r="V865" s="8"/>
      <c r="W865" s="8"/>
      <c r="X865" s="8"/>
      <c r="Y865" s="8"/>
      <c r="Z865" s="8"/>
    </row>
    <row r="866" ht="16.5" customHeight="1">
      <c r="A866" s="8"/>
      <c r="B866" s="27"/>
      <c r="C866" s="27"/>
      <c r="D866" s="27"/>
      <c r="E866" s="28"/>
      <c r="F866" s="29"/>
      <c r="G866" s="28"/>
      <c r="H866" s="30"/>
      <c r="I866" s="31"/>
      <c r="J866" s="28"/>
      <c r="K866" s="27"/>
      <c r="L866" s="8"/>
      <c r="M866" s="8"/>
      <c r="N866" s="8"/>
      <c r="O866" s="8"/>
      <c r="P866" s="8"/>
      <c r="Q866" s="8"/>
      <c r="R866" s="8"/>
      <c r="S866" s="8"/>
      <c r="T866" s="8"/>
      <c r="U866" s="8"/>
      <c r="V866" s="8"/>
      <c r="W866" s="8"/>
      <c r="X866" s="8"/>
      <c r="Y866" s="8"/>
      <c r="Z866" s="8"/>
    </row>
    <row r="867" ht="16.5" customHeight="1">
      <c r="A867" s="8"/>
      <c r="B867" s="27"/>
      <c r="C867" s="27"/>
      <c r="D867" s="27"/>
      <c r="E867" s="28"/>
      <c r="F867" s="29"/>
      <c r="G867" s="28"/>
      <c r="H867" s="30"/>
      <c r="I867" s="31"/>
      <c r="J867" s="28"/>
      <c r="K867" s="27"/>
      <c r="L867" s="8"/>
      <c r="M867" s="8"/>
      <c r="N867" s="8"/>
      <c r="O867" s="8"/>
      <c r="P867" s="8"/>
      <c r="Q867" s="8"/>
      <c r="R867" s="8"/>
      <c r="S867" s="8"/>
      <c r="T867" s="8"/>
      <c r="U867" s="8"/>
      <c r="V867" s="8"/>
      <c r="W867" s="8"/>
      <c r="X867" s="8"/>
      <c r="Y867" s="8"/>
      <c r="Z867" s="8"/>
    </row>
    <row r="868" ht="16.5" customHeight="1">
      <c r="A868" s="8"/>
      <c r="B868" s="27"/>
      <c r="C868" s="27"/>
      <c r="D868" s="27"/>
      <c r="E868" s="28"/>
      <c r="F868" s="29"/>
      <c r="G868" s="28"/>
      <c r="H868" s="30"/>
      <c r="I868" s="31"/>
      <c r="J868" s="28"/>
      <c r="K868" s="27"/>
      <c r="L868" s="8"/>
      <c r="M868" s="8"/>
      <c r="N868" s="8"/>
      <c r="O868" s="8"/>
      <c r="P868" s="8"/>
      <c r="Q868" s="8"/>
      <c r="R868" s="8"/>
      <c r="S868" s="8"/>
      <c r="T868" s="8"/>
      <c r="U868" s="8"/>
      <c r="V868" s="8"/>
      <c r="W868" s="8"/>
      <c r="X868" s="8"/>
      <c r="Y868" s="8"/>
      <c r="Z868" s="8"/>
    </row>
    <row r="869" ht="16.5" customHeight="1">
      <c r="A869" s="8"/>
      <c r="B869" s="27"/>
      <c r="C869" s="27"/>
      <c r="D869" s="27"/>
      <c r="E869" s="28"/>
      <c r="F869" s="29"/>
      <c r="G869" s="28"/>
      <c r="H869" s="30"/>
      <c r="I869" s="31"/>
      <c r="J869" s="28"/>
      <c r="K869" s="27"/>
      <c r="L869" s="8"/>
      <c r="M869" s="8"/>
      <c r="N869" s="8"/>
      <c r="O869" s="8"/>
      <c r="P869" s="8"/>
      <c r="Q869" s="8"/>
      <c r="R869" s="8"/>
      <c r="S869" s="8"/>
      <c r="T869" s="8"/>
      <c r="U869" s="8"/>
      <c r="V869" s="8"/>
      <c r="W869" s="8"/>
      <c r="X869" s="8"/>
      <c r="Y869" s="8"/>
      <c r="Z869" s="8"/>
    </row>
    <row r="870" ht="16.5" customHeight="1">
      <c r="A870" s="8"/>
      <c r="B870" s="27"/>
      <c r="C870" s="27"/>
      <c r="D870" s="27"/>
      <c r="E870" s="28"/>
      <c r="F870" s="29"/>
      <c r="G870" s="28"/>
      <c r="H870" s="30"/>
      <c r="I870" s="31"/>
      <c r="J870" s="28"/>
      <c r="K870" s="27"/>
      <c r="L870" s="8"/>
      <c r="M870" s="8"/>
      <c r="N870" s="8"/>
      <c r="O870" s="8"/>
      <c r="P870" s="8"/>
      <c r="Q870" s="8"/>
      <c r="R870" s="8"/>
      <c r="S870" s="8"/>
      <c r="T870" s="8"/>
      <c r="U870" s="8"/>
      <c r="V870" s="8"/>
      <c r="W870" s="8"/>
      <c r="X870" s="8"/>
      <c r="Y870" s="8"/>
      <c r="Z870" s="8"/>
    </row>
    <row r="871" ht="16.5" customHeight="1">
      <c r="A871" s="8"/>
      <c r="B871" s="27"/>
      <c r="C871" s="27"/>
      <c r="D871" s="27"/>
      <c r="E871" s="28"/>
      <c r="F871" s="29"/>
      <c r="G871" s="28"/>
      <c r="H871" s="30"/>
      <c r="I871" s="31"/>
      <c r="J871" s="28"/>
      <c r="K871" s="27"/>
      <c r="L871" s="8"/>
      <c r="M871" s="8"/>
      <c r="N871" s="8"/>
      <c r="O871" s="8"/>
      <c r="P871" s="8"/>
      <c r="Q871" s="8"/>
      <c r="R871" s="8"/>
      <c r="S871" s="8"/>
      <c r="T871" s="8"/>
      <c r="U871" s="8"/>
      <c r="V871" s="8"/>
      <c r="W871" s="8"/>
      <c r="X871" s="8"/>
      <c r="Y871" s="8"/>
      <c r="Z871" s="8"/>
    </row>
    <row r="872" ht="16.5" customHeight="1">
      <c r="A872" s="8"/>
      <c r="B872" s="27"/>
      <c r="C872" s="27"/>
      <c r="D872" s="27"/>
      <c r="E872" s="28"/>
      <c r="F872" s="29"/>
      <c r="G872" s="28"/>
      <c r="H872" s="30"/>
      <c r="I872" s="31"/>
      <c r="J872" s="28"/>
      <c r="K872" s="27"/>
      <c r="L872" s="8"/>
      <c r="M872" s="8"/>
      <c r="N872" s="8"/>
      <c r="O872" s="8"/>
      <c r="P872" s="8"/>
      <c r="Q872" s="8"/>
      <c r="R872" s="8"/>
      <c r="S872" s="8"/>
      <c r="T872" s="8"/>
      <c r="U872" s="8"/>
      <c r="V872" s="8"/>
      <c r="W872" s="8"/>
      <c r="X872" s="8"/>
      <c r="Y872" s="8"/>
      <c r="Z872" s="8"/>
    </row>
    <row r="873" ht="16.5" customHeight="1">
      <c r="A873" s="8"/>
      <c r="B873" s="27"/>
      <c r="C873" s="27"/>
      <c r="D873" s="27"/>
      <c r="E873" s="28"/>
      <c r="F873" s="29"/>
      <c r="G873" s="28"/>
      <c r="H873" s="30"/>
      <c r="I873" s="31"/>
      <c r="J873" s="28"/>
      <c r="K873" s="27"/>
      <c r="L873" s="8"/>
      <c r="M873" s="8"/>
      <c r="N873" s="8"/>
      <c r="O873" s="8"/>
      <c r="P873" s="8"/>
      <c r="Q873" s="8"/>
      <c r="R873" s="8"/>
      <c r="S873" s="8"/>
      <c r="T873" s="8"/>
      <c r="U873" s="8"/>
      <c r="V873" s="8"/>
      <c r="W873" s="8"/>
      <c r="X873" s="8"/>
      <c r="Y873" s="8"/>
      <c r="Z873" s="8"/>
    </row>
    <row r="874" ht="16.5" customHeight="1">
      <c r="A874" s="8"/>
      <c r="B874" s="27"/>
      <c r="C874" s="27"/>
      <c r="D874" s="27"/>
      <c r="E874" s="28"/>
      <c r="F874" s="29"/>
      <c r="G874" s="28"/>
      <c r="H874" s="30"/>
      <c r="I874" s="31"/>
      <c r="J874" s="28"/>
      <c r="K874" s="27"/>
      <c r="L874" s="8"/>
      <c r="M874" s="8"/>
      <c r="N874" s="8"/>
      <c r="O874" s="8"/>
      <c r="P874" s="8"/>
      <c r="Q874" s="8"/>
      <c r="R874" s="8"/>
      <c r="S874" s="8"/>
      <c r="T874" s="8"/>
      <c r="U874" s="8"/>
      <c r="V874" s="8"/>
      <c r="W874" s="8"/>
      <c r="X874" s="8"/>
      <c r="Y874" s="8"/>
      <c r="Z874" s="8"/>
    </row>
    <row r="875" ht="16.5" customHeight="1">
      <c r="A875" s="8"/>
      <c r="B875" s="27"/>
      <c r="C875" s="27"/>
      <c r="D875" s="27"/>
      <c r="E875" s="28"/>
      <c r="F875" s="29"/>
      <c r="G875" s="28"/>
      <c r="H875" s="30"/>
      <c r="I875" s="31"/>
      <c r="J875" s="28"/>
      <c r="K875" s="27"/>
      <c r="L875" s="8"/>
      <c r="M875" s="8"/>
      <c r="N875" s="8"/>
      <c r="O875" s="8"/>
      <c r="P875" s="8"/>
      <c r="Q875" s="8"/>
      <c r="R875" s="8"/>
      <c r="S875" s="8"/>
      <c r="T875" s="8"/>
      <c r="U875" s="8"/>
      <c r="V875" s="8"/>
      <c r="W875" s="8"/>
      <c r="X875" s="8"/>
      <c r="Y875" s="8"/>
      <c r="Z875" s="8"/>
    </row>
    <row r="876" ht="16.5" customHeight="1">
      <c r="A876" s="8"/>
      <c r="B876" s="27"/>
      <c r="C876" s="27"/>
      <c r="D876" s="27"/>
      <c r="E876" s="28"/>
      <c r="F876" s="29"/>
      <c r="G876" s="28"/>
      <c r="H876" s="30"/>
      <c r="I876" s="31"/>
      <c r="J876" s="28"/>
      <c r="K876" s="27"/>
      <c r="L876" s="8"/>
      <c r="M876" s="8"/>
      <c r="N876" s="8"/>
      <c r="O876" s="8"/>
      <c r="P876" s="8"/>
      <c r="Q876" s="8"/>
      <c r="R876" s="8"/>
      <c r="S876" s="8"/>
      <c r="T876" s="8"/>
      <c r="U876" s="8"/>
      <c r="V876" s="8"/>
      <c r="W876" s="8"/>
      <c r="X876" s="8"/>
      <c r="Y876" s="8"/>
      <c r="Z876" s="8"/>
    </row>
    <row r="877" ht="16.5" customHeight="1">
      <c r="A877" s="8"/>
      <c r="B877" s="27"/>
      <c r="C877" s="27"/>
      <c r="D877" s="27"/>
      <c r="E877" s="28"/>
      <c r="F877" s="29"/>
      <c r="G877" s="28"/>
      <c r="H877" s="30"/>
      <c r="I877" s="31"/>
      <c r="J877" s="28"/>
      <c r="K877" s="27"/>
      <c r="L877" s="8"/>
      <c r="M877" s="8"/>
      <c r="N877" s="8"/>
      <c r="O877" s="8"/>
      <c r="P877" s="8"/>
      <c r="Q877" s="8"/>
      <c r="R877" s="8"/>
      <c r="S877" s="8"/>
      <c r="T877" s="8"/>
      <c r="U877" s="8"/>
      <c r="V877" s="8"/>
      <c r="W877" s="8"/>
      <c r="X877" s="8"/>
      <c r="Y877" s="8"/>
      <c r="Z877" s="8"/>
    </row>
    <row r="878" ht="16.5" customHeight="1">
      <c r="A878" s="8"/>
      <c r="B878" s="27"/>
      <c r="C878" s="27"/>
      <c r="D878" s="27"/>
      <c r="E878" s="28"/>
      <c r="F878" s="29"/>
      <c r="G878" s="28"/>
      <c r="H878" s="30"/>
      <c r="I878" s="31"/>
      <c r="J878" s="28"/>
      <c r="K878" s="27"/>
      <c r="L878" s="8"/>
      <c r="M878" s="8"/>
      <c r="N878" s="8"/>
      <c r="O878" s="8"/>
      <c r="P878" s="8"/>
      <c r="Q878" s="8"/>
      <c r="R878" s="8"/>
      <c r="S878" s="8"/>
      <c r="T878" s="8"/>
      <c r="U878" s="8"/>
      <c r="V878" s="8"/>
      <c r="W878" s="8"/>
      <c r="X878" s="8"/>
      <c r="Y878" s="8"/>
      <c r="Z878" s="8"/>
    </row>
    <row r="879" ht="16.5" customHeight="1">
      <c r="A879" s="8"/>
      <c r="B879" s="27"/>
      <c r="C879" s="27"/>
      <c r="D879" s="27"/>
      <c r="E879" s="28"/>
      <c r="F879" s="29"/>
      <c r="G879" s="28"/>
      <c r="H879" s="30"/>
      <c r="I879" s="31"/>
      <c r="J879" s="28"/>
      <c r="K879" s="27"/>
      <c r="L879" s="8"/>
      <c r="M879" s="8"/>
      <c r="N879" s="8"/>
      <c r="O879" s="8"/>
      <c r="P879" s="8"/>
      <c r="Q879" s="8"/>
      <c r="R879" s="8"/>
      <c r="S879" s="8"/>
      <c r="T879" s="8"/>
      <c r="U879" s="8"/>
      <c r="V879" s="8"/>
      <c r="W879" s="8"/>
      <c r="X879" s="8"/>
      <c r="Y879" s="8"/>
      <c r="Z879" s="8"/>
    </row>
    <row r="880" ht="16.5" customHeight="1">
      <c r="A880" s="8"/>
      <c r="B880" s="27"/>
      <c r="C880" s="27"/>
      <c r="D880" s="27"/>
      <c r="E880" s="28"/>
      <c r="F880" s="29"/>
      <c r="G880" s="28"/>
      <c r="H880" s="30"/>
      <c r="I880" s="31"/>
      <c r="J880" s="28"/>
      <c r="K880" s="27"/>
      <c r="L880" s="8"/>
      <c r="M880" s="8"/>
      <c r="N880" s="8"/>
      <c r="O880" s="8"/>
      <c r="P880" s="8"/>
      <c r="Q880" s="8"/>
      <c r="R880" s="8"/>
      <c r="S880" s="8"/>
      <c r="T880" s="8"/>
      <c r="U880" s="8"/>
      <c r="V880" s="8"/>
      <c r="W880" s="8"/>
      <c r="X880" s="8"/>
      <c r="Y880" s="8"/>
      <c r="Z880" s="8"/>
    </row>
    <row r="881" ht="16.5" customHeight="1">
      <c r="A881" s="8"/>
      <c r="B881" s="27"/>
      <c r="C881" s="27"/>
      <c r="D881" s="27"/>
      <c r="E881" s="28"/>
      <c r="F881" s="29"/>
      <c r="G881" s="28"/>
      <c r="H881" s="30"/>
      <c r="I881" s="31"/>
      <c r="J881" s="28"/>
      <c r="K881" s="27"/>
      <c r="L881" s="8"/>
      <c r="M881" s="8"/>
      <c r="N881" s="8"/>
      <c r="O881" s="8"/>
      <c r="P881" s="8"/>
      <c r="Q881" s="8"/>
      <c r="R881" s="8"/>
      <c r="S881" s="8"/>
      <c r="T881" s="8"/>
      <c r="U881" s="8"/>
      <c r="V881" s="8"/>
      <c r="W881" s="8"/>
      <c r="X881" s="8"/>
      <c r="Y881" s="8"/>
      <c r="Z881" s="8"/>
    </row>
    <row r="882" ht="16.5" customHeight="1">
      <c r="A882" s="8"/>
      <c r="B882" s="27"/>
      <c r="C882" s="27"/>
      <c r="D882" s="27"/>
      <c r="E882" s="28"/>
      <c r="F882" s="29"/>
      <c r="G882" s="28"/>
      <c r="H882" s="30"/>
      <c r="I882" s="31"/>
      <c r="J882" s="28"/>
      <c r="K882" s="27"/>
      <c r="L882" s="8"/>
      <c r="M882" s="8"/>
      <c r="N882" s="8"/>
      <c r="O882" s="8"/>
      <c r="P882" s="8"/>
      <c r="Q882" s="8"/>
      <c r="R882" s="8"/>
      <c r="S882" s="8"/>
      <c r="T882" s="8"/>
      <c r="U882" s="8"/>
      <c r="V882" s="8"/>
      <c r="W882" s="8"/>
      <c r="X882" s="8"/>
      <c r="Y882" s="8"/>
      <c r="Z882" s="8"/>
    </row>
    <row r="883" ht="16.5" customHeight="1">
      <c r="A883" s="8"/>
      <c r="B883" s="27"/>
      <c r="C883" s="27"/>
      <c r="D883" s="27"/>
      <c r="E883" s="28"/>
      <c r="F883" s="29"/>
      <c r="G883" s="28"/>
      <c r="H883" s="30"/>
      <c r="I883" s="31"/>
      <c r="J883" s="28"/>
      <c r="K883" s="27"/>
      <c r="L883" s="8"/>
      <c r="M883" s="8"/>
      <c r="N883" s="8"/>
      <c r="O883" s="8"/>
      <c r="P883" s="8"/>
      <c r="Q883" s="8"/>
      <c r="R883" s="8"/>
      <c r="S883" s="8"/>
      <c r="T883" s="8"/>
      <c r="U883" s="8"/>
      <c r="V883" s="8"/>
      <c r="W883" s="8"/>
      <c r="X883" s="8"/>
      <c r="Y883" s="8"/>
      <c r="Z883" s="8"/>
    </row>
    <row r="884" ht="16.5" customHeight="1">
      <c r="A884" s="8"/>
      <c r="B884" s="27"/>
      <c r="C884" s="27"/>
      <c r="D884" s="27"/>
      <c r="E884" s="28"/>
      <c r="F884" s="29"/>
      <c r="G884" s="28"/>
      <c r="H884" s="30"/>
      <c r="I884" s="31"/>
      <c r="J884" s="28"/>
      <c r="K884" s="27"/>
      <c r="L884" s="8"/>
      <c r="M884" s="8"/>
      <c r="N884" s="8"/>
      <c r="O884" s="8"/>
      <c r="P884" s="8"/>
      <c r="Q884" s="8"/>
      <c r="R884" s="8"/>
      <c r="S884" s="8"/>
      <c r="T884" s="8"/>
      <c r="U884" s="8"/>
      <c r="V884" s="8"/>
      <c r="W884" s="8"/>
      <c r="X884" s="8"/>
      <c r="Y884" s="8"/>
      <c r="Z884" s="8"/>
    </row>
    <row r="885" ht="16.5" customHeight="1">
      <c r="A885" s="8"/>
      <c r="B885" s="27"/>
      <c r="C885" s="27"/>
      <c r="D885" s="27"/>
      <c r="E885" s="28"/>
      <c r="F885" s="29"/>
      <c r="G885" s="28"/>
      <c r="H885" s="30"/>
      <c r="I885" s="31"/>
      <c r="J885" s="28"/>
      <c r="K885" s="27"/>
      <c r="L885" s="8"/>
      <c r="M885" s="8"/>
      <c r="N885" s="8"/>
      <c r="O885" s="8"/>
      <c r="P885" s="8"/>
      <c r="Q885" s="8"/>
      <c r="R885" s="8"/>
      <c r="S885" s="8"/>
      <c r="T885" s="8"/>
      <c r="U885" s="8"/>
      <c r="V885" s="8"/>
      <c r="W885" s="8"/>
      <c r="X885" s="8"/>
      <c r="Y885" s="8"/>
      <c r="Z885" s="8"/>
    </row>
    <row r="886" ht="16.5" customHeight="1">
      <c r="A886" s="8"/>
      <c r="B886" s="27"/>
      <c r="C886" s="27"/>
      <c r="D886" s="27"/>
      <c r="E886" s="28"/>
      <c r="F886" s="29"/>
      <c r="G886" s="28"/>
      <c r="H886" s="30"/>
      <c r="I886" s="31"/>
      <c r="J886" s="28"/>
      <c r="K886" s="27"/>
      <c r="L886" s="8"/>
      <c r="M886" s="8"/>
      <c r="N886" s="8"/>
      <c r="O886" s="8"/>
      <c r="P886" s="8"/>
      <c r="Q886" s="8"/>
      <c r="R886" s="8"/>
      <c r="S886" s="8"/>
      <c r="T886" s="8"/>
      <c r="U886" s="8"/>
      <c r="V886" s="8"/>
      <c r="W886" s="8"/>
      <c r="X886" s="8"/>
      <c r="Y886" s="8"/>
      <c r="Z886" s="8"/>
    </row>
    <row r="887" ht="16.5" customHeight="1">
      <c r="A887" s="8"/>
      <c r="B887" s="27"/>
      <c r="C887" s="27"/>
      <c r="D887" s="27"/>
      <c r="E887" s="28"/>
      <c r="F887" s="29"/>
      <c r="G887" s="28"/>
      <c r="H887" s="30"/>
      <c r="I887" s="31"/>
      <c r="J887" s="28"/>
      <c r="K887" s="27"/>
      <c r="L887" s="8"/>
      <c r="M887" s="8"/>
      <c r="N887" s="8"/>
      <c r="O887" s="8"/>
      <c r="P887" s="8"/>
      <c r="Q887" s="8"/>
      <c r="R887" s="8"/>
      <c r="S887" s="8"/>
      <c r="T887" s="8"/>
      <c r="U887" s="8"/>
      <c r="V887" s="8"/>
      <c r="W887" s="8"/>
      <c r="X887" s="8"/>
      <c r="Y887" s="8"/>
      <c r="Z887" s="8"/>
    </row>
    <row r="888" ht="16.5" customHeight="1">
      <c r="A888" s="8"/>
      <c r="B888" s="27"/>
      <c r="C888" s="27"/>
      <c r="D888" s="27"/>
      <c r="E888" s="28"/>
      <c r="F888" s="29"/>
      <c r="G888" s="28"/>
      <c r="H888" s="30"/>
      <c r="I888" s="31"/>
      <c r="J888" s="28"/>
      <c r="K888" s="27"/>
      <c r="L888" s="8"/>
      <c r="M888" s="8"/>
      <c r="N888" s="8"/>
      <c r="O888" s="8"/>
      <c r="P888" s="8"/>
      <c r="Q888" s="8"/>
      <c r="R888" s="8"/>
      <c r="S888" s="8"/>
      <c r="T888" s="8"/>
      <c r="U888" s="8"/>
      <c r="V888" s="8"/>
      <c r="W888" s="8"/>
      <c r="X888" s="8"/>
      <c r="Y888" s="8"/>
      <c r="Z888" s="8"/>
    </row>
    <row r="889" ht="16.5" customHeight="1">
      <c r="A889" s="8"/>
      <c r="B889" s="27"/>
      <c r="C889" s="27"/>
      <c r="D889" s="27"/>
      <c r="E889" s="28"/>
      <c r="F889" s="29"/>
      <c r="G889" s="28"/>
      <c r="H889" s="30"/>
      <c r="I889" s="31"/>
      <c r="J889" s="28"/>
      <c r="K889" s="27"/>
      <c r="L889" s="8"/>
      <c r="M889" s="8"/>
      <c r="N889" s="8"/>
      <c r="O889" s="8"/>
      <c r="P889" s="8"/>
      <c r="Q889" s="8"/>
      <c r="R889" s="8"/>
      <c r="S889" s="8"/>
      <c r="T889" s="8"/>
      <c r="U889" s="8"/>
      <c r="V889" s="8"/>
      <c r="W889" s="8"/>
      <c r="X889" s="8"/>
      <c r="Y889" s="8"/>
      <c r="Z889" s="8"/>
    </row>
    <row r="890" ht="16.5" customHeight="1">
      <c r="A890" s="8"/>
      <c r="B890" s="27"/>
      <c r="C890" s="27"/>
      <c r="D890" s="27"/>
      <c r="E890" s="28"/>
      <c r="F890" s="29"/>
      <c r="G890" s="28"/>
      <c r="H890" s="30"/>
      <c r="I890" s="31"/>
      <c r="J890" s="28"/>
      <c r="K890" s="27"/>
      <c r="L890" s="8"/>
      <c r="M890" s="8"/>
      <c r="N890" s="8"/>
      <c r="O890" s="8"/>
      <c r="P890" s="8"/>
      <c r="Q890" s="8"/>
      <c r="R890" s="8"/>
      <c r="S890" s="8"/>
      <c r="T890" s="8"/>
      <c r="U890" s="8"/>
      <c r="V890" s="8"/>
      <c r="W890" s="8"/>
      <c r="X890" s="8"/>
      <c r="Y890" s="8"/>
      <c r="Z890" s="8"/>
    </row>
    <row r="891" ht="16.5" customHeight="1">
      <c r="A891" s="8"/>
      <c r="B891" s="27"/>
      <c r="C891" s="27"/>
      <c r="D891" s="27"/>
      <c r="E891" s="28"/>
      <c r="F891" s="29"/>
      <c r="G891" s="28"/>
      <c r="H891" s="30"/>
      <c r="I891" s="31"/>
      <c r="J891" s="28"/>
      <c r="K891" s="27"/>
      <c r="L891" s="8"/>
      <c r="M891" s="8"/>
      <c r="N891" s="8"/>
      <c r="O891" s="8"/>
      <c r="P891" s="8"/>
      <c r="Q891" s="8"/>
      <c r="R891" s="8"/>
      <c r="S891" s="8"/>
      <c r="T891" s="8"/>
      <c r="U891" s="8"/>
      <c r="V891" s="8"/>
      <c r="W891" s="8"/>
      <c r="X891" s="8"/>
      <c r="Y891" s="8"/>
      <c r="Z891" s="8"/>
    </row>
    <row r="892" ht="16.5" customHeight="1">
      <c r="A892" s="8"/>
      <c r="B892" s="27"/>
      <c r="C892" s="27"/>
      <c r="D892" s="27"/>
      <c r="E892" s="28"/>
      <c r="F892" s="29"/>
      <c r="G892" s="28"/>
      <c r="H892" s="30"/>
      <c r="I892" s="31"/>
      <c r="J892" s="28"/>
      <c r="K892" s="27"/>
      <c r="L892" s="8"/>
      <c r="M892" s="8"/>
      <c r="N892" s="8"/>
      <c r="O892" s="8"/>
      <c r="P892" s="8"/>
      <c r="Q892" s="8"/>
      <c r="R892" s="8"/>
      <c r="S892" s="8"/>
      <c r="T892" s="8"/>
      <c r="U892" s="8"/>
      <c r="V892" s="8"/>
      <c r="W892" s="8"/>
      <c r="X892" s="8"/>
      <c r="Y892" s="8"/>
      <c r="Z892" s="8"/>
    </row>
    <row r="893" ht="16.5" customHeight="1">
      <c r="A893" s="8"/>
      <c r="B893" s="27"/>
      <c r="C893" s="27"/>
      <c r="D893" s="27"/>
      <c r="E893" s="28"/>
      <c r="F893" s="29"/>
      <c r="G893" s="28"/>
      <c r="H893" s="30"/>
      <c r="I893" s="31"/>
      <c r="J893" s="28"/>
      <c r="K893" s="27"/>
      <c r="L893" s="8"/>
      <c r="M893" s="8"/>
      <c r="N893" s="8"/>
      <c r="O893" s="8"/>
      <c r="P893" s="8"/>
      <c r="Q893" s="8"/>
      <c r="R893" s="8"/>
      <c r="S893" s="8"/>
      <c r="T893" s="8"/>
      <c r="U893" s="8"/>
      <c r="V893" s="8"/>
      <c r="W893" s="8"/>
      <c r="X893" s="8"/>
      <c r="Y893" s="8"/>
      <c r="Z893" s="8"/>
    </row>
    <row r="894" ht="16.5" customHeight="1">
      <c r="A894" s="8"/>
      <c r="B894" s="27"/>
      <c r="C894" s="27"/>
      <c r="D894" s="27"/>
      <c r="E894" s="28"/>
      <c r="F894" s="29"/>
      <c r="G894" s="28"/>
      <c r="H894" s="30"/>
      <c r="I894" s="31"/>
      <c r="J894" s="28"/>
      <c r="K894" s="27"/>
      <c r="L894" s="8"/>
      <c r="M894" s="8"/>
      <c r="N894" s="8"/>
      <c r="O894" s="8"/>
      <c r="P894" s="8"/>
      <c r="Q894" s="8"/>
      <c r="R894" s="8"/>
      <c r="S894" s="8"/>
      <c r="T894" s="8"/>
      <c r="U894" s="8"/>
      <c r="V894" s="8"/>
      <c r="W894" s="8"/>
      <c r="X894" s="8"/>
      <c r="Y894" s="8"/>
      <c r="Z894" s="8"/>
    </row>
    <row r="895" ht="16.5" customHeight="1">
      <c r="A895" s="8"/>
      <c r="B895" s="27"/>
      <c r="C895" s="27"/>
      <c r="D895" s="27"/>
      <c r="E895" s="28"/>
      <c r="F895" s="29"/>
      <c r="G895" s="28"/>
      <c r="H895" s="30"/>
      <c r="I895" s="31"/>
      <c r="J895" s="28"/>
      <c r="K895" s="27"/>
      <c r="L895" s="8"/>
      <c r="M895" s="8"/>
      <c r="N895" s="8"/>
      <c r="O895" s="8"/>
      <c r="P895" s="8"/>
      <c r="Q895" s="8"/>
      <c r="R895" s="8"/>
      <c r="S895" s="8"/>
      <c r="T895" s="8"/>
      <c r="U895" s="8"/>
      <c r="V895" s="8"/>
      <c r="W895" s="8"/>
      <c r="X895" s="8"/>
      <c r="Y895" s="8"/>
      <c r="Z895" s="8"/>
    </row>
    <row r="896" ht="16.5" customHeight="1">
      <c r="A896" s="8"/>
      <c r="B896" s="27"/>
      <c r="C896" s="27"/>
      <c r="D896" s="27"/>
      <c r="E896" s="28"/>
      <c r="F896" s="29"/>
      <c r="G896" s="28"/>
      <c r="H896" s="30"/>
      <c r="I896" s="31"/>
      <c r="J896" s="28"/>
      <c r="K896" s="27"/>
      <c r="L896" s="8"/>
      <c r="M896" s="8"/>
      <c r="N896" s="8"/>
      <c r="O896" s="8"/>
      <c r="P896" s="8"/>
      <c r="Q896" s="8"/>
      <c r="R896" s="8"/>
      <c r="S896" s="8"/>
      <c r="T896" s="8"/>
      <c r="U896" s="8"/>
      <c r="V896" s="8"/>
      <c r="W896" s="8"/>
      <c r="X896" s="8"/>
      <c r="Y896" s="8"/>
      <c r="Z896" s="8"/>
    </row>
    <row r="897" ht="16.5" customHeight="1">
      <c r="A897" s="8"/>
      <c r="B897" s="27"/>
      <c r="C897" s="27"/>
      <c r="D897" s="27"/>
      <c r="E897" s="28"/>
      <c r="F897" s="29"/>
      <c r="G897" s="28"/>
      <c r="H897" s="30"/>
      <c r="I897" s="31"/>
      <c r="J897" s="28"/>
      <c r="K897" s="27"/>
      <c r="L897" s="8"/>
      <c r="M897" s="8"/>
      <c r="N897" s="8"/>
      <c r="O897" s="8"/>
      <c r="P897" s="8"/>
      <c r="Q897" s="8"/>
      <c r="R897" s="8"/>
      <c r="S897" s="8"/>
      <c r="T897" s="8"/>
      <c r="U897" s="8"/>
      <c r="V897" s="8"/>
      <c r="W897" s="8"/>
      <c r="X897" s="8"/>
      <c r="Y897" s="8"/>
      <c r="Z897" s="8"/>
    </row>
    <row r="898" ht="16.5" customHeight="1">
      <c r="A898" s="8"/>
      <c r="B898" s="27"/>
      <c r="C898" s="27"/>
      <c r="D898" s="27"/>
      <c r="E898" s="28"/>
      <c r="F898" s="29"/>
      <c r="G898" s="28"/>
      <c r="H898" s="30"/>
      <c r="I898" s="31"/>
      <c r="J898" s="28"/>
      <c r="K898" s="27"/>
      <c r="L898" s="8"/>
      <c r="M898" s="8"/>
      <c r="N898" s="8"/>
      <c r="O898" s="8"/>
      <c r="P898" s="8"/>
      <c r="Q898" s="8"/>
      <c r="R898" s="8"/>
      <c r="S898" s="8"/>
      <c r="T898" s="8"/>
      <c r="U898" s="8"/>
      <c r="V898" s="8"/>
      <c r="W898" s="8"/>
      <c r="X898" s="8"/>
      <c r="Y898" s="8"/>
      <c r="Z898" s="8"/>
    </row>
    <row r="899" ht="16.5" customHeight="1">
      <c r="A899" s="8"/>
      <c r="B899" s="27"/>
      <c r="C899" s="27"/>
      <c r="D899" s="27"/>
      <c r="E899" s="28"/>
      <c r="F899" s="29"/>
      <c r="G899" s="28"/>
      <c r="H899" s="30"/>
      <c r="I899" s="31"/>
      <c r="J899" s="28"/>
      <c r="K899" s="27"/>
      <c r="L899" s="8"/>
      <c r="M899" s="8"/>
      <c r="N899" s="8"/>
      <c r="O899" s="8"/>
      <c r="P899" s="8"/>
      <c r="Q899" s="8"/>
      <c r="R899" s="8"/>
      <c r="S899" s="8"/>
      <c r="T899" s="8"/>
      <c r="U899" s="8"/>
      <c r="V899" s="8"/>
      <c r="W899" s="8"/>
      <c r="X899" s="8"/>
      <c r="Y899" s="8"/>
      <c r="Z899" s="8"/>
    </row>
    <row r="900" ht="16.5" customHeight="1">
      <c r="A900" s="8"/>
      <c r="B900" s="27"/>
      <c r="C900" s="27"/>
      <c r="D900" s="27"/>
      <c r="E900" s="28"/>
      <c r="F900" s="29"/>
      <c r="G900" s="28"/>
      <c r="H900" s="30"/>
      <c r="I900" s="31"/>
      <c r="J900" s="28"/>
      <c r="K900" s="27"/>
      <c r="L900" s="8"/>
      <c r="M900" s="8"/>
      <c r="N900" s="8"/>
      <c r="O900" s="8"/>
      <c r="P900" s="8"/>
      <c r="Q900" s="8"/>
      <c r="R900" s="8"/>
      <c r="S900" s="8"/>
      <c r="T900" s="8"/>
      <c r="U900" s="8"/>
      <c r="V900" s="8"/>
      <c r="W900" s="8"/>
      <c r="X900" s="8"/>
      <c r="Y900" s="8"/>
      <c r="Z900" s="8"/>
    </row>
    <row r="901" ht="16.5" customHeight="1">
      <c r="A901" s="8"/>
      <c r="B901" s="27"/>
      <c r="C901" s="27"/>
      <c r="D901" s="27"/>
      <c r="E901" s="28"/>
      <c r="F901" s="29"/>
      <c r="G901" s="28"/>
      <c r="H901" s="30"/>
      <c r="I901" s="31"/>
      <c r="J901" s="28"/>
      <c r="K901" s="27"/>
      <c r="L901" s="8"/>
      <c r="M901" s="8"/>
      <c r="N901" s="8"/>
      <c r="O901" s="8"/>
      <c r="P901" s="8"/>
      <c r="Q901" s="8"/>
      <c r="R901" s="8"/>
      <c r="S901" s="8"/>
      <c r="T901" s="8"/>
      <c r="U901" s="8"/>
      <c r="V901" s="8"/>
      <c r="W901" s="8"/>
      <c r="X901" s="8"/>
      <c r="Y901" s="8"/>
      <c r="Z901" s="8"/>
    </row>
    <row r="902" ht="16.5" customHeight="1">
      <c r="A902" s="8"/>
      <c r="B902" s="27"/>
      <c r="C902" s="27"/>
      <c r="D902" s="27"/>
      <c r="E902" s="28"/>
      <c r="F902" s="29"/>
      <c r="G902" s="28"/>
      <c r="H902" s="30"/>
      <c r="I902" s="31"/>
      <c r="J902" s="28"/>
      <c r="K902" s="27"/>
      <c r="L902" s="8"/>
      <c r="M902" s="8"/>
      <c r="N902" s="8"/>
      <c r="O902" s="8"/>
      <c r="P902" s="8"/>
      <c r="Q902" s="8"/>
      <c r="R902" s="8"/>
      <c r="S902" s="8"/>
      <c r="T902" s="8"/>
      <c r="U902" s="8"/>
      <c r="V902" s="8"/>
      <c r="W902" s="8"/>
      <c r="X902" s="8"/>
      <c r="Y902" s="8"/>
      <c r="Z902" s="8"/>
    </row>
    <row r="903" ht="16.5" customHeight="1">
      <c r="A903" s="8"/>
      <c r="B903" s="27"/>
      <c r="C903" s="27"/>
      <c r="D903" s="27"/>
      <c r="E903" s="28"/>
      <c r="F903" s="29"/>
      <c r="G903" s="28"/>
      <c r="H903" s="30"/>
      <c r="I903" s="31"/>
      <c r="J903" s="28"/>
      <c r="K903" s="27"/>
      <c r="L903" s="8"/>
      <c r="M903" s="8"/>
      <c r="N903" s="8"/>
      <c r="O903" s="8"/>
      <c r="P903" s="8"/>
      <c r="Q903" s="8"/>
      <c r="R903" s="8"/>
      <c r="S903" s="8"/>
      <c r="T903" s="8"/>
      <c r="U903" s="8"/>
      <c r="V903" s="8"/>
      <c r="W903" s="8"/>
      <c r="X903" s="8"/>
      <c r="Y903" s="8"/>
      <c r="Z903" s="8"/>
    </row>
    <row r="904" ht="16.5" customHeight="1">
      <c r="A904" s="8"/>
      <c r="B904" s="27"/>
      <c r="C904" s="27"/>
      <c r="D904" s="27"/>
      <c r="E904" s="28"/>
      <c r="F904" s="29"/>
      <c r="G904" s="28"/>
      <c r="H904" s="30"/>
      <c r="I904" s="31"/>
      <c r="J904" s="28"/>
      <c r="K904" s="27"/>
      <c r="L904" s="8"/>
      <c r="M904" s="8"/>
      <c r="N904" s="8"/>
      <c r="O904" s="8"/>
      <c r="P904" s="8"/>
      <c r="Q904" s="8"/>
      <c r="R904" s="8"/>
      <c r="S904" s="8"/>
      <c r="T904" s="8"/>
      <c r="U904" s="8"/>
      <c r="V904" s="8"/>
      <c r="W904" s="8"/>
      <c r="X904" s="8"/>
      <c r="Y904" s="8"/>
      <c r="Z904" s="8"/>
    </row>
    <row r="905" ht="16.5" customHeight="1">
      <c r="A905" s="8"/>
      <c r="B905" s="27"/>
      <c r="C905" s="27"/>
      <c r="D905" s="27"/>
      <c r="E905" s="28"/>
      <c r="F905" s="29"/>
      <c r="G905" s="28"/>
      <c r="H905" s="30"/>
      <c r="I905" s="31"/>
      <c r="J905" s="28"/>
      <c r="K905" s="27"/>
      <c r="L905" s="8"/>
      <c r="M905" s="8"/>
      <c r="N905" s="8"/>
      <c r="O905" s="8"/>
      <c r="P905" s="8"/>
      <c r="Q905" s="8"/>
      <c r="R905" s="8"/>
      <c r="S905" s="8"/>
      <c r="T905" s="8"/>
      <c r="U905" s="8"/>
      <c r="V905" s="8"/>
      <c r="W905" s="8"/>
      <c r="X905" s="8"/>
      <c r="Y905" s="8"/>
      <c r="Z905" s="8"/>
    </row>
    <row r="906" ht="16.5" customHeight="1">
      <c r="A906" s="8"/>
      <c r="B906" s="27"/>
      <c r="C906" s="27"/>
      <c r="D906" s="27"/>
      <c r="E906" s="28"/>
      <c r="F906" s="29"/>
      <c r="G906" s="28"/>
      <c r="H906" s="30"/>
      <c r="I906" s="31"/>
      <c r="J906" s="28"/>
      <c r="K906" s="27"/>
      <c r="L906" s="8"/>
      <c r="M906" s="8"/>
      <c r="N906" s="8"/>
      <c r="O906" s="8"/>
      <c r="P906" s="8"/>
      <c r="Q906" s="8"/>
      <c r="R906" s="8"/>
      <c r="S906" s="8"/>
      <c r="T906" s="8"/>
      <c r="U906" s="8"/>
      <c r="V906" s="8"/>
      <c r="W906" s="8"/>
      <c r="X906" s="8"/>
      <c r="Y906" s="8"/>
      <c r="Z906" s="8"/>
    </row>
    <row r="907" ht="16.5" customHeight="1">
      <c r="A907" s="8"/>
      <c r="B907" s="27"/>
      <c r="C907" s="27"/>
      <c r="D907" s="27"/>
      <c r="E907" s="28"/>
      <c r="F907" s="29"/>
      <c r="G907" s="28"/>
      <c r="H907" s="30"/>
      <c r="I907" s="31"/>
      <c r="J907" s="28"/>
      <c r="K907" s="27"/>
      <c r="L907" s="8"/>
      <c r="M907" s="8"/>
      <c r="N907" s="8"/>
      <c r="O907" s="8"/>
      <c r="P907" s="8"/>
      <c r="Q907" s="8"/>
      <c r="R907" s="8"/>
      <c r="S907" s="8"/>
      <c r="T907" s="8"/>
      <c r="U907" s="8"/>
      <c r="V907" s="8"/>
      <c r="W907" s="8"/>
      <c r="X907" s="8"/>
      <c r="Y907" s="8"/>
      <c r="Z907" s="8"/>
    </row>
    <row r="908" ht="16.5" customHeight="1">
      <c r="A908" s="8"/>
      <c r="B908" s="27"/>
      <c r="C908" s="27"/>
      <c r="D908" s="27"/>
      <c r="E908" s="28"/>
      <c r="F908" s="29"/>
      <c r="G908" s="28"/>
      <c r="H908" s="30"/>
      <c r="I908" s="31"/>
      <c r="J908" s="28"/>
      <c r="K908" s="27"/>
      <c r="L908" s="8"/>
      <c r="M908" s="8"/>
      <c r="N908" s="8"/>
      <c r="O908" s="8"/>
      <c r="P908" s="8"/>
      <c r="Q908" s="8"/>
      <c r="R908" s="8"/>
      <c r="S908" s="8"/>
      <c r="T908" s="8"/>
      <c r="U908" s="8"/>
      <c r="V908" s="8"/>
      <c r="W908" s="8"/>
      <c r="X908" s="8"/>
      <c r="Y908" s="8"/>
      <c r="Z908" s="8"/>
    </row>
    <row r="909" ht="16.5" customHeight="1">
      <c r="A909" s="8"/>
      <c r="B909" s="27"/>
      <c r="C909" s="27"/>
      <c r="D909" s="27"/>
      <c r="E909" s="28"/>
      <c r="F909" s="29"/>
      <c r="G909" s="28"/>
      <c r="H909" s="30"/>
      <c r="I909" s="31"/>
      <c r="J909" s="28"/>
      <c r="K909" s="27"/>
      <c r="L909" s="8"/>
      <c r="M909" s="8"/>
      <c r="N909" s="8"/>
      <c r="O909" s="8"/>
      <c r="P909" s="8"/>
      <c r="Q909" s="8"/>
      <c r="R909" s="8"/>
      <c r="S909" s="8"/>
      <c r="T909" s="8"/>
      <c r="U909" s="8"/>
      <c r="V909" s="8"/>
      <c r="W909" s="8"/>
      <c r="X909" s="8"/>
      <c r="Y909" s="8"/>
      <c r="Z909" s="8"/>
    </row>
    <row r="910" ht="16.5" customHeight="1">
      <c r="A910" s="8"/>
      <c r="B910" s="27"/>
      <c r="C910" s="27"/>
      <c r="D910" s="27"/>
      <c r="E910" s="28"/>
      <c r="F910" s="29"/>
      <c r="G910" s="28"/>
      <c r="H910" s="30"/>
      <c r="I910" s="31"/>
      <c r="J910" s="28"/>
      <c r="K910" s="27"/>
      <c r="L910" s="8"/>
      <c r="M910" s="8"/>
      <c r="N910" s="8"/>
      <c r="O910" s="8"/>
      <c r="P910" s="8"/>
      <c r="Q910" s="8"/>
      <c r="R910" s="8"/>
      <c r="S910" s="8"/>
      <c r="T910" s="8"/>
      <c r="U910" s="8"/>
      <c r="V910" s="8"/>
      <c r="W910" s="8"/>
      <c r="X910" s="8"/>
      <c r="Y910" s="8"/>
      <c r="Z910" s="8"/>
    </row>
    <row r="911" ht="16.5" customHeight="1">
      <c r="A911" s="8"/>
      <c r="B911" s="27"/>
      <c r="C911" s="27"/>
      <c r="D911" s="27"/>
      <c r="E911" s="28"/>
      <c r="F911" s="29"/>
      <c r="G911" s="28"/>
      <c r="H911" s="30"/>
      <c r="I911" s="31"/>
      <c r="J911" s="28"/>
      <c r="K911" s="27"/>
      <c r="L911" s="8"/>
      <c r="M911" s="8"/>
      <c r="N911" s="8"/>
      <c r="O911" s="8"/>
      <c r="P911" s="8"/>
      <c r="Q911" s="8"/>
      <c r="R911" s="8"/>
      <c r="S911" s="8"/>
      <c r="T911" s="8"/>
      <c r="U911" s="8"/>
      <c r="V911" s="8"/>
      <c r="W911" s="8"/>
      <c r="X911" s="8"/>
      <c r="Y911" s="8"/>
      <c r="Z911" s="8"/>
    </row>
    <row r="912" ht="16.5" customHeight="1">
      <c r="A912" s="8"/>
      <c r="B912" s="27"/>
      <c r="C912" s="27"/>
      <c r="D912" s="27"/>
      <c r="E912" s="28"/>
      <c r="F912" s="29"/>
      <c r="G912" s="28"/>
      <c r="H912" s="30"/>
      <c r="I912" s="31"/>
      <c r="J912" s="28"/>
      <c r="K912" s="27"/>
      <c r="L912" s="8"/>
      <c r="M912" s="8"/>
      <c r="N912" s="8"/>
      <c r="O912" s="8"/>
      <c r="P912" s="8"/>
      <c r="Q912" s="8"/>
      <c r="R912" s="8"/>
      <c r="S912" s="8"/>
      <c r="T912" s="8"/>
      <c r="U912" s="8"/>
      <c r="V912" s="8"/>
      <c r="W912" s="8"/>
      <c r="X912" s="8"/>
      <c r="Y912" s="8"/>
      <c r="Z912" s="8"/>
    </row>
    <row r="913" ht="16.5" customHeight="1">
      <c r="A913" s="8"/>
      <c r="B913" s="27"/>
      <c r="C913" s="27"/>
      <c r="D913" s="27"/>
      <c r="E913" s="28"/>
      <c r="F913" s="29"/>
      <c r="G913" s="28"/>
      <c r="H913" s="30"/>
      <c r="I913" s="31"/>
      <c r="J913" s="28"/>
      <c r="K913" s="27"/>
      <c r="L913" s="8"/>
      <c r="M913" s="8"/>
      <c r="N913" s="8"/>
      <c r="O913" s="8"/>
      <c r="P913" s="8"/>
      <c r="Q913" s="8"/>
      <c r="R913" s="8"/>
      <c r="S913" s="8"/>
      <c r="T913" s="8"/>
      <c r="U913" s="8"/>
      <c r="V913" s="8"/>
      <c r="W913" s="8"/>
      <c r="X913" s="8"/>
      <c r="Y913" s="8"/>
      <c r="Z913" s="8"/>
    </row>
    <row r="914" ht="16.5" customHeight="1">
      <c r="A914" s="8"/>
      <c r="B914" s="27"/>
      <c r="C914" s="27"/>
      <c r="D914" s="27"/>
      <c r="E914" s="28"/>
      <c r="F914" s="29"/>
      <c r="G914" s="28"/>
      <c r="H914" s="30"/>
      <c r="I914" s="31"/>
      <c r="J914" s="28"/>
      <c r="K914" s="27"/>
      <c r="L914" s="8"/>
      <c r="M914" s="8"/>
      <c r="N914" s="8"/>
      <c r="O914" s="8"/>
      <c r="P914" s="8"/>
      <c r="Q914" s="8"/>
      <c r="R914" s="8"/>
      <c r="S914" s="8"/>
      <c r="T914" s="8"/>
      <c r="U914" s="8"/>
      <c r="V914" s="8"/>
      <c r="W914" s="8"/>
      <c r="X914" s="8"/>
      <c r="Y914" s="8"/>
      <c r="Z914" s="8"/>
    </row>
    <row r="915" ht="16.5" customHeight="1">
      <c r="A915" s="8"/>
      <c r="B915" s="27"/>
      <c r="C915" s="27"/>
      <c r="D915" s="27"/>
      <c r="E915" s="28"/>
      <c r="F915" s="29"/>
      <c r="G915" s="28"/>
      <c r="H915" s="30"/>
      <c r="I915" s="31"/>
      <c r="J915" s="28"/>
      <c r="K915" s="27"/>
      <c r="L915" s="8"/>
      <c r="M915" s="8"/>
      <c r="N915" s="8"/>
      <c r="O915" s="8"/>
      <c r="P915" s="8"/>
      <c r="Q915" s="8"/>
      <c r="R915" s="8"/>
      <c r="S915" s="8"/>
      <c r="T915" s="8"/>
      <c r="U915" s="8"/>
      <c r="V915" s="8"/>
      <c r="W915" s="8"/>
      <c r="X915" s="8"/>
      <c r="Y915" s="8"/>
      <c r="Z915" s="8"/>
    </row>
    <row r="916" ht="16.5" customHeight="1">
      <c r="A916" s="8"/>
      <c r="B916" s="27"/>
      <c r="C916" s="27"/>
      <c r="D916" s="27"/>
      <c r="E916" s="28"/>
      <c r="F916" s="29"/>
      <c r="G916" s="28"/>
      <c r="H916" s="30"/>
      <c r="I916" s="31"/>
      <c r="J916" s="28"/>
      <c r="K916" s="27"/>
      <c r="L916" s="8"/>
      <c r="M916" s="8"/>
      <c r="N916" s="8"/>
      <c r="O916" s="8"/>
      <c r="P916" s="8"/>
      <c r="Q916" s="8"/>
      <c r="R916" s="8"/>
      <c r="S916" s="8"/>
      <c r="T916" s="8"/>
      <c r="U916" s="8"/>
      <c r="V916" s="8"/>
      <c r="W916" s="8"/>
      <c r="X916" s="8"/>
      <c r="Y916" s="8"/>
      <c r="Z916" s="8"/>
    </row>
    <row r="917" ht="16.5" customHeight="1">
      <c r="A917" s="8"/>
      <c r="B917" s="27"/>
      <c r="C917" s="27"/>
      <c r="D917" s="27"/>
      <c r="E917" s="28"/>
      <c r="F917" s="29"/>
      <c r="G917" s="28"/>
      <c r="H917" s="30"/>
      <c r="I917" s="31"/>
      <c r="J917" s="28"/>
      <c r="K917" s="27"/>
      <c r="L917" s="8"/>
      <c r="M917" s="8"/>
      <c r="N917" s="8"/>
      <c r="O917" s="8"/>
      <c r="P917" s="8"/>
      <c r="Q917" s="8"/>
      <c r="R917" s="8"/>
      <c r="S917" s="8"/>
      <c r="T917" s="8"/>
      <c r="U917" s="8"/>
      <c r="V917" s="8"/>
      <c r="W917" s="8"/>
      <c r="X917" s="8"/>
      <c r="Y917" s="8"/>
      <c r="Z917" s="8"/>
    </row>
    <row r="918" ht="16.5" customHeight="1">
      <c r="A918" s="8"/>
      <c r="B918" s="27"/>
      <c r="C918" s="27"/>
      <c r="D918" s="27"/>
      <c r="E918" s="28"/>
      <c r="F918" s="29"/>
      <c r="G918" s="28"/>
      <c r="H918" s="30"/>
      <c r="I918" s="31"/>
      <c r="J918" s="28"/>
      <c r="K918" s="27"/>
      <c r="L918" s="8"/>
      <c r="M918" s="8"/>
      <c r="N918" s="8"/>
      <c r="O918" s="8"/>
      <c r="P918" s="8"/>
      <c r="Q918" s="8"/>
      <c r="R918" s="8"/>
      <c r="S918" s="8"/>
      <c r="T918" s="8"/>
      <c r="U918" s="8"/>
      <c r="V918" s="8"/>
      <c r="W918" s="8"/>
      <c r="X918" s="8"/>
      <c r="Y918" s="8"/>
      <c r="Z918" s="8"/>
    </row>
    <row r="919" ht="16.5" customHeight="1">
      <c r="A919" s="8"/>
      <c r="B919" s="27"/>
      <c r="C919" s="27"/>
      <c r="D919" s="27"/>
      <c r="E919" s="28"/>
      <c r="F919" s="29"/>
      <c r="G919" s="28"/>
      <c r="H919" s="30"/>
      <c r="I919" s="31"/>
      <c r="J919" s="28"/>
      <c r="K919" s="27"/>
      <c r="L919" s="8"/>
      <c r="M919" s="8"/>
      <c r="N919" s="8"/>
      <c r="O919" s="8"/>
      <c r="P919" s="8"/>
      <c r="Q919" s="8"/>
      <c r="R919" s="8"/>
      <c r="S919" s="8"/>
      <c r="T919" s="8"/>
      <c r="U919" s="8"/>
      <c r="V919" s="8"/>
      <c r="W919" s="8"/>
      <c r="X919" s="8"/>
      <c r="Y919" s="8"/>
      <c r="Z919" s="8"/>
    </row>
    <row r="920" ht="16.5" customHeight="1">
      <c r="A920" s="8"/>
      <c r="B920" s="27"/>
      <c r="C920" s="27"/>
      <c r="D920" s="27"/>
      <c r="E920" s="28"/>
      <c r="F920" s="29"/>
      <c r="G920" s="28"/>
      <c r="H920" s="30"/>
      <c r="I920" s="31"/>
      <c r="J920" s="28"/>
      <c r="K920" s="27"/>
      <c r="L920" s="8"/>
      <c r="M920" s="8"/>
      <c r="N920" s="8"/>
      <c r="O920" s="8"/>
      <c r="P920" s="8"/>
      <c r="Q920" s="8"/>
      <c r="R920" s="8"/>
      <c r="S920" s="8"/>
      <c r="T920" s="8"/>
      <c r="U920" s="8"/>
      <c r="V920" s="8"/>
      <c r="W920" s="8"/>
      <c r="X920" s="8"/>
      <c r="Y920" s="8"/>
      <c r="Z920" s="8"/>
    </row>
    <row r="921" ht="16.5" customHeight="1">
      <c r="A921" s="8"/>
      <c r="B921" s="27"/>
      <c r="C921" s="27"/>
      <c r="D921" s="27"/>
      <c r="E921" s="28"/>
      <c r="F921" s="29"/>
      <c r="G921" s="28"/>
      <c r="H921" s="30"/>
      <c r="I921" s="31"/>
      <c r="J921" s="28"/>
      <c r="K921" s="27"/>
      <c r="L921" s="8"/>
      <c r="M921" s="8"/>
      <c r="N921" s="8"/>
      <c r="O921" s="8"/>
      <c r="P921" s="8"/>
      <c r="Q921" s="8"/>
      <c r="R921" s="8"/>
      <c r="S921" s="8"/>
      <c r="T921" s="8"/>
      <c r="U921" s="8"/>
      <c r="V921" s="8"/>
      <c r="W921" s="8"/>
      <c r="X921" s="8"/>
      <c r="Y921" s="8"/>
      <c r="Z921" s="8"/>
    </row>
    <row r="922" ht="16.5" customHeight="1">
      <c r="A922" s="8"/>
      <c r="B922" s="27"/>
      <c r="C922" s="27"/>
      <c r="D922" s="27"/>
      <c r="E922" s="28"/>
      <c r="F922" s="29"/>
      <c r="G922" s="28"/>
      <c r="H922" s="30"/>
      <c r="I922" s="31"/>
      <c r="J922" s="28"/>
      <c r="K922" s="27"/>
      <c r="L922" s="8"/>
      <c r="M922" s="8"/>
      <c r="N922" s="8"/>
      <c r="O922" s="8"/>
      <c r="P922" s="8"/>
      <c r="Q922" s="8"/>
      <c r="R922" s="8"/>
      <c r="S922" s="8"/>
      <c r="T922" s="8"/>
      <c r="U922" s="8"/>
      <c r="V922" s="8"/>
      <c r="W922" s="8"/>
      <c r="X922" s="8"/>
      <c r="Y922" s="8"/>
      <c r="Z922" s="8"/>
    </row>
    <row r="923" ht="16.5" customHeight="1">
      <c r="A923" s="8"/>
      <c r="B923" s="27"/>
      <c r="C923" s="27"/>
      <c r="D923" s="27"/>
      <c r="E923" s="28"/>
      <c r="F923" s="29"/>
      <c r="G923" s="28"/>
      <c r="H923" s="30"/>
      <c r="I923" s="31"/>
      <c r="J923" s="28"/>
      <c r="K923" s="27"/>
      <c r="L923" s="8"/>
      <c r="M923" s="8"/>
      <c r="N923" s="8"/>
      <c r="O923" s="8"/>
      <c r="P923" s="8"/>
      <c r="Q923" s="8"/>
      <c r="R923" s="8"/>
      <c r="S923" s="8"/>
      <c r="T923" s="8"/>
      <c r="U923" s="8"/>
      <c r="V923" s="8"/>
      <c r="W923" s="8"/>
      <c r="X923" s="8"/>
      <c r="Y923" s="8"/>
      <c r="Z923" s="8"/>
    </row>
    <row r="924" ht="16.5" customHeight="1">
      <c r="A924" s="8"/>
      <c r="B924" s="27"/>
      <c r="C924" s="27"/>
      <c r="D924" s="27"/>
      <c r="E924" s="28"/>
      <c r="F924" s="29"/>
      <c r="G924" s="28"/>
      <c r="H924" s="30"/>
      <c r="I924" s="31"/>
      <c r="J924" s="28"/>
      <c r="K924" s="27"/>
      <c r="L924" s="8"/>
      <c r="M924" s="8"/>
      <c r="N924" s="8"/>
      <c r="O924" s="8"/>
      <c r="P924" s="8"/>
      <c r="Q924" s="8"/>
      <c r="R924" s="8"/>
      <c r="S924" s="8"/>
      <c r="T924" s="8"/>
      <c r="U924" s="8"/>
      <c r="V924" s="8"/>
      <c r="W924" s="8"/>
      <c r="X924" s="8"/>
      <c r="Y924" s="8"/>
      <c r="Z924" s="8"/>
    </row>
    <row r="925" ht="16.5" customHeight="1">
      <c r="A925" s="8"/>
      <c r="B925" s="27"/>
      <c r="C925" s="27"/>
      <c r="D925" s="27"/>
      <c r="E925" s="28"/>
      <c r="F925" s="29"/>
      <c r="G925" s="28"/>
      <c r="H925" s="30"/>
      <c r="I925" s="31"/>
      <c r="J925" s="28"/>
      <c r="K925" s="27"/>
      <c r="L925" s="8"/>
      <c r="M925" s="8"/>
      <c r="N925" s="8"/>
      <c r="O925" s="8"/>
      <c r="P925" s="8"/>
      <c r="Q925" s="8"/>
      <c r="R925" s="8"/>
      <c r="S925" s="8"/>
      <c r="T925" s="8"/>
      <c r="U925" s="8"/>
      <c r="V925" s="8"/>
      <c r="W925" s="8"/>
      <c r="X925" s="8"/>
      <c r="Y925" s="8"/>
      <c r="Z925" s="8"/>
    </row>
    <row r="926" ht="16.5" customHeight="1">
      <c r="A926" s="8"/>
      <c r="B926" s="27"/>
      <c r="C926" s="27"/>
      <c r="D926" s="27"/>
      <c r="E926" s="28"/>
      <c r="F926" s="29"/>
      <c r="G926" s="28"/>
      <c r="H926" s="30"/>
      <c r="I926" s="31"/>
      <c r="J926" s="28"/>
      <c r="K926" s="27"/>
      <c r="L926" s="8"/>
      <c r="M926" s="8"/>
      <c r="N926" s="8"/>
      <c r="O926" s="8"/>
      <c r="P926" s="8"/>
      <c r="Q926" s="8"/>
      <c r="R926" s="8"/>
      <c r="S926" s="8"/>
      <c r="T926" s="8"/>
      <c r="U926" s="8"/>
      <c r="V926" s="8"/>
      <c r="W926" s="8"/>
      <c r="X926" s="8"/>
      <c r="Y926" s="8"/>
      <c r="Z926" s="8"/>
    </row>
    <row r="927" ht="16.5" customHeight="1">
      <c r="A927" s="8"/>
      <c r="B927" s="27"/>
      <c r="C927" s="27"/>
      <c r="D927" s="27"/>
      <c r="E927" s="28"/>
      <c r="F927" s="29"/>
      <c r="G927" s="28"/>
      <c r="H927" s="30"/>
      <c r="I927" s="31"/>
      <c r="J927" s="28"/>
      <c r="K927" s="27"/>
      <c r="L927" s="8"/>
      <c r="M927" s="8"/>
      <c r="N927" s="8"/>
      <c r="O927" s="8"/>
      <c r="P927" s="8"/>
      <c r="Q927" s="8"/>
      <c r="R927" s="8"/>
      <c r="S927" s="8"/>
      <c r="T927" s="8"/>
      <c r="U927" s="8"/>
      <c r="V927" s="8"/>
      <c r="W927" s="8"/>
      <c r="X927" s="8"/>
      <c r="Y927" s="8"/>
      <c r="Z927" s="8"/>
    </row>
    <row r="928" ht="16.5" customHeight="1">
      <c r="A928" s="8"/>
      <c r="B928" s="27"/>
      <c r="C928" s="27"/>
      <c r="D928" s="27"/>
      <c r="E928" s="28"/>
      <c r="F928" s="29"/>
      <c r="G928" s="28"/>
      <c r="H928" s="30"/>
      <c r="I928" s="31"/>
      <c r="J928" s="28"/>
      <c r="K928" s="27"/>
      <c r="L928" s="8"/>
      <c r="M928" s="8"/>
      <c r="N928" s="8"/>
      <c r="O928" s="8"/>
      <c r="P928" s="8"/>
      <c r="Q928" s="8"/>
      <c r="R928" s="8"/>
      <c r="S928" s="8"/>
      <c r="T928" s="8"/>
      <c r="U928" s="8"/>
      <c r="V928" s="8"/>
      <c r="W928" s="8"/>
      <c r="X928" s="8"/>
      <c r="Y928" s="8"/>
      <c r="Z928" s="8"/>
    </row>
    <row r="929" ht="16.5" customHeight="1">
      <c r="A929" s="8"/>
      <c r="B929" s="27"/>
      <c r="C929" s="27"/>
      <c r="D929" s="27"/>
      <c r="E929" s="28"/>
      <c r="F929" s="29"/>
      <c r="G929" s="28"/>
      <c r="H929" s="30"/>
      <c r="I929" s="31"/>
      <c r="J929" s="28"/>
      <c r="K929" s="27"/>
      <c r="L929" s="8"/>
      <c r="M929" s="8"/>
      <c r="N929" s="8"/>
      <c r="O929" s="8"/>
      <c r="P929" s="8"/>
      <c r="Q929" s="8"/>
      <c r="R929" s="8"/>
      <c r="S929" s="8"/>
      <c r="T929" s="8"/>
      <c r="U929" s="8"/>
      <c r="V929" s="8"/>
      <c r="W929" s="8"/>
      <c r="X929" s="8"/>
      <c r="Y929" s="8"/>
      <c r="Z929" s="8"/>
    </row>
    <row r="930" ht="16.5" customHeight="1">
      <c r="A930" s="8"/>
      <c r="B930" s="27"/>
      <c r="C930" s="27"/>
      <c r="D930" s="27"/>
      <c r="E930" s="28"/>
      <c r="F930" s="29"/>
      <c r="G930" s="28"/>
      <c r="H930" s="30"/>
      <c r="I930" s="31"/>
      <c r="J930" s="28"/>
      <c r="K930" s="27"/>
      <c r="L930" s="8"/>
      <c r="M930" s="8"/>
      <c r="N930" s="8"/>
      <c r="O930" s="8"/>
      <c r="P930" s="8"/>
      <c r="Q930" s="8"/>
      <c r="R930" s="8"/>
      <c r="S930" s="8"/>
      <c r="T930" s="8"/>
      <c r="U930" s="8"/>
      <c r="V930" s="8"/>
      <c r="W930" s="8"/>
      <c r="X930" s="8"/>
      <c r="Y930" s="8"/>
      <c r="Z930" s="8"/>
    </row>
    <row r="931" ht="16.5" customHeight="1">
      <c r="A931" s="8"/>
      <c r="B931" s="27"/>
      <c r="C931" s="27"/>
      <c r="D931" s="27"/>
      <c r="E931" s="28"/>
      <c r="F931" s="29"/>
      <c r="G931" s="28"/>
      <c r="H931" s="30"/>
      <c r="I931" s="31"/>
      <c r="J931" s="28"/>
      <c r="K931" s="27"/>
      <c r="L931" s="8"/>
      <c r="M931" s="8"/>
      <c r="N931" s="8"/>
      <c r="O931" s="8"/>
      <c r="P931" s="8"/>
      <c r="Q931" s="8"/>
      <c r="R931" s="8"/>
      <c r="S931" s="8"/>
      <c r="T931" s="8"/>
      <c r="U931" s="8"/>
      <c r="V931" s="8"/>
      <c r="W931" s="8"/>
      <c r="X931" s="8"/>
      <c r="Y931" s="8"/>
      <c r="Z931" s="8"/>
    </row>
    <row r="932" ht="16.5" customHeight="1">
      <c r="A932" s="8"/>
      <c r="B932" s="27"/>
      <c r="C932" s="27"/>
      <c r="D932" s="27"/>
      <c r="E932" s="28"/>
      <c r="F932" s="29"/>
      <c r="G932" s="28"/>
      <c r="H932" s="30"/>
      <c r="I932" s="31"/>
      <c r="J932" s="28"/>
      <c r="K932" s="27"/>
      <c r="L932" s="8"/>
      <c r="M932" s="8"/>
      <c r="N932" s="8"/>
      <c r="O932" s="8"/>
      <c r="P932" s="8"/>
      <c r="Q932" s="8"/>
      <c r="R932" s="8"/>
      <c r="S932" s="8"/>
      <c r="T932" s="8"/>
      <c r="U932" s="8"/>
      <c r="V932" s="8"/>
      <c r="W932" s="8"/>
      <c r="X932" s="8"/>
      <c r="Y932" s="8"/>
      <c r="Z932" s="8"/>
    </row>
    <row r="933" ht="16.5" customHeight="1">
      <c r="A933" s="8"/>
      <c r="B933" s="27"/>
      <c r="C933" s="27"/>
      <c r="D933" s="27"/>
      <c r="E933" s="28"/>
      <c r="F933" s="29"/>
      <c r="G933" s="28"/>
      <c r="H933" s="30"/>
      <c r="I933" s="31"/>
      <c r="J933" s="28"/>
      <c r="K933" s="27"/>
      <c r="L933" s="8"/>
      <c r="M933" s="8"/>
      <c r="N933" s="8"/>
      <c r="O933" s="8"/>
      <c r="P933" s="8"/>
      <c r="Q933" s="8"/>
      <c r="R933" s="8"/>
      <c r="S933" s="8"/>
      <c r="T933" s="8"/>
      <c r="U933" s="8"/>
      <c r="V933" s="8"/>
      <c r="W933" s="8"/>
      <c r="X933" s="8"/>
      <c r="Y933" s="8"/>
      <c r="Z933" s="8"/>
    </row>
    <row r="934" ht="16.5" customHeight="1">
      <c r="A934" s="8"/>
      <c r="B934" s="27"/>
      <c r="C934" s="27"/>
      <c r="D934" s="27"/>
      <c r="E934" s="28"/>
      <c r="F934" s="29"/>
      <c r="G934" s="28"/>
      <c r="H934" s="30"/>
      <c r="I934" s="31"/>
      <c r="J934" s="28"/>
      <c r="K934" s="27"/>
      <c r="L934" s="8"/>
      <c r="M934" s="8"/>
      <c r="N934" s="8"/>
      <c r="O934" s="8"/>
      <c r="P934" s="8"/>
      <c r="Q934" s="8"/>
      <c r="R934" s="8"/>
      <c r="S934" s="8"/>
      <c r="T934" s="8"/>
      <c r="U934" s="8"/>
      <c r="V934" s="8"/>
      <c r="W934" s="8"/>
      <c r="X934" s="8"/>
      <c r="Y934" s="8"/>
      <c r="Z934" s="8"/>
    </row>
    <row r="935" ht="16.5" customHeight="1">
      <c r="A935" s="8"/>
      <c r="B935" s="27"/>
      <c r="C935" s="27"/>
      <c r="D935" s="27"/>
      <c r="E935" s="28"/>
      <c r="F935" s="29"/>
      <c r="G935" s="28"/>
      <c r="H935" s="30"/>
      <c r="I935" s="31"/>
      <c r="J935" s="28"/>
      <c r="K935" s="27"/>
      <c r="L935" s="8"/>
      <c r="M935" s="8"/>
      <c r="N935" s="8"/>
      <c r="O935" s="8"/>
      <c r="P935" s="8"/>
      <c r="Q935" s="8"/>
      <c r="R935" s="8"/>
      <c r="S935" s="8"/>
      <c r="T935" s="8"/>
      <c r="U935" s="8"/>
      <c r="V935" s="8"/>
      <c r="W935" s="8"/>
      <c r="X935" s="8"/>
      <c r="Y935" s="8"/>
      <c r="Z935" s="8"/>
    </row>
    <row r="936" ht="16.5" customHeight="1">
      <c r="A936" s="8"/>
      <c r="B936" s="27"/>
      <c r="C936" s="27"/>
      <c r="D936" s="27"/>
      <c r="E936" s="28"/>
      <c r="F936" s="29"/>
      <c r="G936" s="28"/>
      <c r="H936" s="30"/>
      <c r="I936" s="31"/>
      <c r="J936" s="28"/>
      <c r="K936" s="27"/>
      <c r="L936" s="8"/>
      <c r="M936" s="8"/>
      <c r="N936" s="8"/>
      <c r="O936" s="8"/>
      <c r="P936" s="8"/>
      <c r="Q936" s="8"/>
      <c r="R936" s="8"/>
      <c r="S936" s="8"/>
      <c r="T936" s="8"/>
      <c r="U936" s="8"/>
      <c r="V936" s="8"/>
      <c r="W936" s="8"/>
      <c r="X936" s="8"/>
      <c r="Y936" s="8"/>
      <c r="Z936" s="8"/>
    </row>
    <row r="937" ht="16.5" customHeight="1">
      <c r="A937" s="8"/>
      <c r="B937" s="27"/>
      <c r="C937" s="27"/>
      <c r="D937" s="27"/>
      <c r="E937" s="28"/>
      <c r="F937" s="29"/>
      <c r="G937" s="28"/>
      <c r="H937" s="30"/>
      <c r="I937" s="31"/>
      <c r="J937" s="28"/>
      <c r="K937" s="27"/>
      <c r="L937" s="8"/>
      <c r="M937" s="8"/>
      <c r="N937" s="8"/>
      <c r="O937" s="8"/>
      <c r="P937" s="8"/>
      <c r="Q937" s="8"/>
      <c r="R937" s="8"/>
      <c r="S937" s="8"/>
      <c r="T937" s="8"/>
      <c r="U937" s="8"/>
      <c r="V937" s="8"/>
      <c r="W937" s="8"/>
      <c r="X937" s="8"/>
      <c r="Y937" s="8"/>
      <c r="Z937" s="8"/>
    </row>
    <row r="938" ht="16.5" customHeight="1">
      <c r="A938" s="8"/>
      <c r="B938" s="27"/>
      <c r="C938" s="27"/>
      <c r="D938" s="27"/>
      <c r="E938" s="28"/>
      <c r="F938" s="29"/>
      <c r="G938" s="28"/>
      <c r="H938" s="30"/>
      <c r="I938" s="31"/>
      <c r="J938" s="28"/>
      <c r="K938" s="27"/>
      <c r="L938" s="8"/>
      <c r="M938" s="8"/>
      <c r="N938" s="8"/>
      <c r="O938" s="8"/>
      <c r="P938" s="8"/>
      <c r="Q938" s="8"/>
      <c r="R938" s="8"/>
      <c r="S938" s="8"/>
      <c r="T938" s="8"/>
      <c r="U938" s="8"/>
      <c r="V938" s="8"/>
      <c r="W938" s="8"/>
      <c r="X938" s="8"/>
      <c r="Y938" s="8"/>
      <c r="Z938" s="8"/>
    </row>
    <row r="939" ht="16.5" customHeight="1">
      <c r="A939" s="8"/>
      <c r="B939" s="27"/>
      <c r="C939" s="27"/>
      <c r="D939" s="27"/>
      <c r="E939" s="28"/>
      <c r="F939" s="29"/>
      <c r="G939" s="28"/>
      <c r="H939" s="30"/>
      <c r="I939" s="31"/>
      <c r="J939" s="28"/>
      <c r="K939" s="27"/>
      <c r="L939" s="8"/>
      <c r="M939" s="8"/>
      <c r="N939" s="8"/>
      <c r="O939" s="8"/>
      <c r="P939" s="8"/>
      <c r="Q939" s="8"/>
      <c r="R939" s="8"/>
      <c r="S939" s="8"/>
      <c r="T939" s="8"/>
      <c r="U939" s="8"/>
      <c r="V939" s="8"/>
      <c r="W939" s="8"/>
      <c r="X939" s="8"/>
      <c r="Y939" s="8"/>
      <c r="Z939" s="8"/>
    </row>
    <row r="940" ht="16.5" customHeight="1">
      <c r="A940" s="8"/>
      <c r="B940" s="27"/>
      <c r="C940" s="27"/>
      <c r="D940" s="27"/>
      <c r="E940" s="28"/>
      <c r="F940" s="29"/>
      <c r="G940" s="28"/>
      <c r="H940" s="30"/>
      <c r="I940" s="31"/>
      <c r="J940" s="28"/>
      <c r="K940" s="27"/>
      <c r="L940" s="8"/>
      <c r="M940" s="8"/>
      <c r="N940" s="8"/>
      <c r="O940" s="8"/>
      <c r="P940" s="8"/>
      <c r="Q940" s="8"/>
      <c r="R940" s="8"/>
      <c r="S940" s="8"/>
      <c r="T940" s="8"/>
      <c r="U940" s="8"/>
      <c r="V940" s="8"/>
      <c r="W940" s="8"/>
      <c r="X940" s="8"/>
      <c r="Y940" s="8"/>
      <c r="Z940" s="8"/>
    </row>
    <row r="941" ht="16.5" customHeight="1">
      <c r="A941" s="8"/>
      <c r="B941" s="27"/>
      <c r="C941" s="27"/>
      <c r="D941" s="27"/>
      <c r="E941" s="28"/>
      <c r="F941" s="29"/>
      <c r="G941" s="28"/>
      <c r="H941" s="30"/>
      <c r="I941" s="31"/>
      <c r="J941" s="28"/>
      <c r="K941" s="27"/>
      <c r="L941" s="8"/>
      <c r="M941" s="8"/>
      <c r="N941" s="8"/>
      <c r="O941" s="8"/>
      <c r="P941" s="8"/>
      <c r="Q941" s="8"/>
      <c r="R941" s="8"/>
      <c r="S941" s="8"/>
      <c r="T941" s="8"/>
      <c r="U941" s="8"/>
      <c r="V941" s="8"/>
      <c r="W941" s="8"/>
      <c r="X941" s="8"/>
      <c r="Y941" s="8"/>
      <c r="Z941" s="8"/>
    </row>
    <row r="942" ht="16.5" customHeight="1">
      <c r="A942" s="8"/>
      <c r="B942" s="27"/>
      <c r="C942" s="27"/>
      <c r="D942" s="27"/>
      <c r="E942" s="28"/>
      <c r="F942" s="29"/>
      <c r="G942" s="28"/>
      <c r="H942" s="30"/>
      <c r="I942" s="31"/>
      <c r="J942" s="28"/>
      <c r="K942" s="27"/>
      <c r="L942" s="8"/>
      <c r="M942" s="8"/>
      <c r="N942" s="8"/>
      <c r="O942" s="8"/>
      <c r="P942" s="8"/>
      <c r="Q942" s="8"/>
      <c r="R942" s="8"/>
      <c r="S942" s="8"/>
      <c r="T942" s="8"/>
      <c r="U942" s="8"/>
      <c r="V942" s="8"/>
      <c r="W942" s="8"/>
      <c r="X942" s="8"/>
      <c r="Y942" s="8"/>
      <c r="Z942" s="8"/>
    </row>
    <row r="943" ht="16.5" customHeight="1">
      <c r="A943" s="8"/>
      <c r="B943" s="27"/>
      <c r="C943" s="27"/>
      <c r="D943" s="27"/>
      <c r="E943" s="28"/>
      <c r="F943" s="29"/>
      <c r="G943" s="28"/>
      <c r="H943" s="30"/>
      <c r="I943" s="31"/>
      <c r="J943" s="28"/>
      <c r="K943" s="27"/>
      <c r="L943" s="8"/>
      <c r="M943" s="8"/>
      <c r="N943" s="8"/>
      <c r="O943" s="8"/>
      <c r="P943" s="8"/>
      <c r="Q943" s="8"/>
      <c r="R943" s="8"/>
      <c r="S943" s="8"/>
      <c r="T943" s="8"/>
      <c r="U943" s="8"/>
      <c r="V943" s="8"/>
      <c r="W943" s="8"/>
      <c r="X943" s="8"/>
      <c r="Y943" s="8"/>
      <c r="Z943" s="8"/>
    </row>
    <row r="944" ht="16.5" customHeight="1">
      <c r="A944" s="8"/>
      <c r="B944" s="27"/>
      <c r="C944" s="27"/>
      <c r="D944" s="27"/>
      <c r="E944" s="28"/>
      <c r="F944" s="29"/>
      <c r="G944" s="28"/>
      <c r="H944" s="30"/>
      <c r="I944" s="31"/>
      <c r="J944" s="28"/>
      <c r="K944" s="27"/>
      <c r="L944" s="8"/>
      <c r="M944" s="8"/>
      <c r="N944" s="8"/>
      <c r="O944" s="8"/>
      <c r="P944" s="8"/>
      <c r="Q944" s="8"/>
      <c r="R944" s="8"/>
      <c r="S944" s="8"/>
      <c r="T944" s="8"/>
      <c r="U944" s="8"/>
      <c r="V944" s="8"/>
      <c r="W944" s="8"/>
      <c r="X944" s="8"/>
      <c r="Y944" s="8"/>
      <c r="Z944" s="8"/>
    </row>
    <row r="945" ht="16.5" customHeight="1">
      <c r="A945" s="8"/>
      <c r="B945" s="27"/>
      <c r="C945" s="27"/>
      <c r="D945" s="27"/>
      <c r="E945" s="28"/>
      <c r="F945" s="29"/>
      <c r="G945" s="28"/>
      <c r="H945" s="30"/>
      <c r="I945" s="31"/>
      <c r="J945" s="28"/>
      <c r="K945" s="27"/>
      <c r="L945" s="8"/>
      <c r="M945" s="8"/>
      <c r="N945" s="8"/>
      <c r="O945" s="8"/>
      <c r="P945" s="8"/>
      <c r="Q945" s="8"/>
      <c r="R945" s="8"/>
      <c r="S945" s="8"/>
      <c r="T945" s="8"/>
      <c r="U945" s="8"/>
      <c r="V945" s="8"/>
      <c r="W945" s="8"/>
      <c r="X945" s="8"/>
      <c r="Y945" s="8"/>
      <c r="Z945" s="8"/>
    </row>
    <row r="946" ht="16.5" customHeight="1">
      <c r="A946" s="8"/>
      <c r="B946" s="27"/>
      <c r="C946" s="27"/>
      <c r="D946" s="27"/>
      <c r="E946" s="28"/>
      <c r="F946" s="29"/>
      <c r="G946" s="28"/>
      <c r="H946" s="30"/>
      <c r="I946" s="31"/>
      <c r="J946" s="28"/>
      <c r="K946" s="27"/>
      <c r="L946" s="8"/>
      <c r="M946" s="8"/>
      <c r="N946" s="8"/>
      <c r="O946" s="8"/>
      <c r="P946" s="8"/>
      <c r="Q946" s="8"/>
      <c r="R946" s="8"/>
      <c r="S946" s="8"/>
      <c r="T946" s="8"/>
      <c r="U946" s="8"/>
      <c r="V946" s="8"/>
      <c r="W946" s="8"/>
      <c r="X946" s="8"/>
      <c r="Y946" s="8"/>
      <c r="Z946" s="8"/>
    </row>
    <row r="947" ht="16.5" customHeight="1">
      <c r="A947" s="8"/>
      <c r="B947" s="27"/>
      <c r="C947" s="27"/>
      <c r="D947" s="27"/>
      <c r="E947" s="28"/>
      <c r="F947" s="29"/>
      <c r="G947" s="28"/>
      <c r="H947" s="30"/>
      <c r="I947" s="31"/>
      <c r="J947" s="28"/>
      <c r="K947" s="27"/>
      <c r="L947" s="8"/>
      <c r="M947" s="8"/>
      <c r="N947" s="8"/>
      <c r="O947" s="8"/>
      <c r="P947" s="8"/>
      <c r="Q947" s="8"/>
      <c r="R947" s="8"/>
      <c r="S947" s="8"/>
      <c r="T947" s="8"/>
      <c r="U947" s="8"/>
      <c r="V947" s="8"/>
      <c r="W947" s="8"/>
      <c r="X947" s="8"/>
      <c r="Y947" s="8"/>
      <c r="Z947" s="8"/>
    </row>
    <row r="948" ht="16.5" customHeight="1">
      <c r="A948" s="8"/>
      <c r="B948" s="27"/>
      <c r="C948" s="27"/>
      <c r="D948" s="27"/>
      <c r="E948" s="28"/>
      <c r="F948" s="29"/>
      <c r="G948" s="28"/>
      <c r="H948" s="30"/>
      <c r="I948" s="31"/>
      <c r="J948" s="28"/>
      <c r="K948" s="27"/>
      <c r="L948" s="8"/>
      <c r="M948" s="8"/>
      <c r="N948" s="8"/>
      <c r="O948" s="8"/>
      <c r="P948" s="8"/>
      <c r="Q948" s="8"/>
      <c r="R948" s="8"/>
      <c r="S948" s="8"/>
      <c r="T948" s="8"/>
      <c r="U948" s="8"/>
      <c r="V948" s="8"/>
      <c r="W948" s="8"/>
      <c r="X948" s="8"/>
      <c r="Y948" s="8"/>
      <c r="Z948" s="8"/>
    </row>
    <row r="949" ht="16.5" customHeight="1">
      <c r="A949" s="8"/>
      <c r="B949" s="27"/>
      <c r="C949" s="27"/>
      <c r="D949" s="27"/>
      <c r="E949" s="28"/>
      <c r="F949" s="29"/>
      <c r="G949" s="28"/>
      <c r="H949" s="30"/>
      <c r="I949" s="31"/>
      <c r="J949" s="28"/>
      <c r="K949" s="27"/>
      <c r="L949" s="8"/>
      <c r="M949" s="8"/>
      <c r="N949" s="8"/>
      <c r="O949" s="8"/>
      <c r="P949" s="8"/>
      <c r="Q949" s="8"/>
      <c r="R949" s="8"/>
      <c r="S949" s="8"/>
      <c r="T949" s="8"/>
      <c r="U949" s="8"/>
      <c r="V949" s="8"/>
      <c r="W949" s="8"/>
      <c r="X949" s="8"/>
      <c r="Y949" s="8"/>
      <c r="Z949" s="8"/>
    </row>
    <row r="950" ht="16.5" customHeight="1">
      <c r="A950" s="8"/>
      <c r="B950" s="27"/>
      <c r="C950" s="27"/>
      <c r="D950" s="27"/>
      <c r="E950" s="28"/>
      <c r="F950" s="29"/>
      <c r="G950" s="28"/>
      <c r="H950" s="30"/>
      <c r="I950" s="31"/>
      <c r="J950" s="28"/>
      <c r="K950" s="27"/>
      <c r="L950" s="8"/>
      <c r="M950" s="8"/>
      <c r="N950" s="8"/>
      <c r="O950" s="8"/>
      <c r="P950" s="8"/>
      <c r="Q950" s="8"/>
      <c r="R950" s="8"/>
      <c r="S950" s="8"/>
      <c r="T950" s="8"/>
      <c r="U950" s="8"/>
      <c r="V950" s="8"/>
      <c r="W950" s="8"/>
      <c r="X950" s="8"/>
      <c r="Y950" s="8"/>
      <c r="Z950" s="8"/>
    </row>
    <row r="951" ht="16.5" customHeight="1">
      <c r="A951" s="8"/>
      <c r="B951" s="27"/>
      <c r="C951" s="27"/>
      <c r="D951" s="27"/>
      <c r="E951" s="28"/>
      <c r="F951" s="29"/>
      <c r="G951" s="28"/>
      <c r="H951" s="30"/>
      <c r="I951" s="31"/>
      <c r="J951" s="28"/>
      <c r="K951" s="27"/>
      <c r="L951" s="8"/>
      <c r="M951" s="8"/>
      <c r="N951" s="8"/>
      <c r="O951" s="8"/>
      <c r="P951" s="8"/>
      <c r="Q951" s="8"/>
      <c r="R951" s="8"/>
      <c r="S951" s="8"/>
      <c r="T951" s="8"/>
      <c r="U951" s="8"/>
      <c r="V951" s="8"/>
      <c r="W951" s="8"/>
      <c r="X951" s="8"/>
      <c r="Y951" s="8"/>
      <c r="Z951" s="8"/>
    </row>
    <row r="952" ht="16.5" customHeight="1">
      <c r="A952" s="8"/>
      <c r="B952" s="27"/>
      <c r="C952" s="27"/>
      <c r="D952" s="27"/>
      <c r="E952" s="28"/>
      <c r="F952" s="29"/>
      <c r="G952" s="28"/>
      <c r="H952" s="30"/>
      <c r="I952" s="31"/>
      <c r="J952" s="28"/>
      <c r="K952" s="27"/>
      <c r="L952" s="8"/>
      <c r="M952" s="8"/>
      <c r="N952" s="8"/>
      <c r="O952" s="8"/>
      <c r="P952" s="8"/>
      <c r="Q952" s="8"/>
      <c r="R952" s="8"/>
      <c r="S952" s="8"/>
      <c r="T952" s="8"/>
      <c r="U952" s="8"/>
      <c r="V952" s="8"/>
      <c r="W952" s="8"/>
      <c r="X952" s="8"/>
      <c r="Y952" s="8"/>
      <c r="Z952" s="8"/>
    </row>
    <row r="953" ht="16.5" customHeight="1">
      <c r="A953" s="8"/>
      <c r="B953" s="27"/>
      <c r="C953" s="27"/>
      <c r="D953" s="27"/>
      <c r="E953" s="28"/>
      <c r="F953" s="29"/>
      <c r="G953" s="28"/>
      <c r="H953" s="30"/>
      <c r="I953" s="31"/>
      <c r="J953" s="28"/>
      <c r="K953" s="27"/>
      <c r="L953" s="8"/>
      <c r="M953" s="8"/>
      <c r="N953" s="8"/>
      <c r="O953" s="8"/>
      <c r="P953" s="8"/>
      <c r="Q953" s="8"/>
      <c r="R953" s="8"/>
      <c r="S953" s="8"/>
      <c r="T953" s="8"/>
      <c r="U953" s="8"/>
      <c r="V953" s="8"/>
      <c r="W953" s="8"/>
      <c r="X953" s="8"/>
      <c r="Y953" s="8"/>
      <c r="Z953" s="8"/>
    </row>
    <row r="954" ht="16.5" customHeight="1">
      <c r="A954" s="8"/>
      <c r="B954" s="27"/>
      <c r="C954" s="27"/>
      <c r="D954" s="27"/>
      <c r="E954" s="28"/>
      <c r="F954" s="29"/>
      <c r="G954" s="28"/>
      <c r="H954" s="30"/>
      <c r="I954" s="31"/>
      <c r="J954" s="28"/>
      <c r="K954" s="27"/>
      <c r="L954" s="8"/>
      <c r="M954" s="8"/>
      <c r="N954" s="8"/>
      <c r="O954" s="8"/>
      <c r="P954" s="8"/>
      <c r="Q954" s="8"/>
      <c r="R954" s="8"/>
      <c r="S954" s="8"/>
      <c r="T954" s="8"/>
      <c r="U954" s="8"/>
      <c r="V954" s="8"/>
      <c r="W954" s="8"/>
      <c r="X954" s="8"/>
      <c r="Y954" s="8"/>
      <c r="Z954" s="8"/>
    </row>
    <row r="955" ht="16.5" customHeight="1">
      <c r="A955" s="8"/>
      <c r="B955" s="27"/>
      <c r="C955" s="27"/>
      <c r="D955" s="27"/>
      <c r="E955" s="28"/>
      <c r="F955" s="29"/>
      <c r="G955" s="28"/>
      <c r="H955" s="30"/>
      <c r="I955" s="31"/>
      <c r="J955" s="28"/>
      <c r="K955" s="27"/>
      <c r="L955" s="8"/>
      <c r="M955" s="8"/>
      <c r="N955" s="8"/>
      <c r="O955" s="8"/>
      <c r="P955" s="8"/>
      <c r="Q955" s="8"/>
      <c r="R955" s="8"/>
      <c r="S955" s="8"/>
      <c r="T955" s="8"/>
      <c r="U955" s="8"/>
      <c r="V955" s="8"/>
      <c r="W955" s="8"/>
      <c r="X955" s="8"/>
      <c r="Y955" s="8"/>
      <c r="Z955" s="8"/>
    </row>
    <row r="956" ht="16.5" customHeight="1">
      <c r="A956" s="8"/>
      <c r="B956" s="27"/>
      <c r="C956" s="27"/>
      <c r="D956" s="27"/>
      <c r="E956" s="28"/>
      <c r="F956" s="29"/>
      <c r="G956" s="28"/>
      <c r="H956" s="30"/>
      <c r="I956" s="31"/>
      <c r="J956" s="28"/>
      <c r="K956" s="27"/>
      <c r="L956" s="8"/>
      <c r="M956" s="8"/>
      <c r="N956" s="8"/>
      <c r="O956" s="8"/>
      <c r="P956" s="8"/>
      <c r="Q956" s="8"/>
      <c r="R956" s="8"/>
      <c r="S956" s="8"/>
      <c r="T956" s="8"/>
      <c r="U956" s="8"/>
      <c r="V956" s="8"/>
      <c r="W956" s="8"/>
      <c r="X956" s="8"/>
      <c r="Y956" s="8"/>
      <c r="Z956" s="8"/>
    </row>
    <row r="957" ht="16.5" customHeight="1">
      <c r="A957" s="8"/>
      <c r="B957" s="27"/>
      <c r="C957" s="27"/>
      <c r="D957" s="27"/>
      <c r="E957" s="28"/>
      <c r="F957" s="29"/>
      <c r="G957" s="28"/>
      <c r="H957" s="30"/>
      <c r="I957" s="31"/>
      <c r="J957" s="28"/>
      <c r="K957" s="27"/>
      <c r="L957" s="8"/>
      <c r="M957" s="8"/>
      <c r="N957" s="8"/>
      <c r="O957" s="8"/>
      <c r="P957" s="8"/>
      <c r="Q957" s="8"/>
      <c r="R957" s="8"/>
      <c r="S957" s="8"/>
      <c r="T957" s="8"/>
      <c r="U957" s="8"/>
      <c r="V957" s="8"/>
      <c r="W957" s="8"/>
      <c r="X957" s="8"/>
      <c r="Y957" s="8"/>
      <c r="Z957" s="8"/>
    </row>
    <row r="958" ht="16.5" customHeight="1">
      <c r="A958" s="8"/>
      <c r="B958" s="27"/>
      <c r="C958" s="27"/>
      <c r="D958" s="27"/>
      <c r="E958" s="28"/>
      <c r="F958" s="29"/>
      <c r="G958" s="28"/>
      <c r="H958" s="30"/>
      <c r="I958" s="31"/>
      <c r="J958" s="28"/>
      <c r="K958" s="27"/>
      <c r="L958" s="8"/>
      <c r="M958" s="8"/>
      <c r="N958" s="8"/>
      <c r="O958" s="8"/>
      <c r="P958" s="8"/>
      <c r="Q958" s="8"/>
      <c r="R958" s="8"/>
      <c r="S958" s="8"/>
      <c r="T958" s="8"/>
      <c r="U958" s="8"/>
      <c r="V958" s="8"/>
      <c r="W958" s="8"/>
      <c r="X958" s="8"/>
      <c r="Y958" s="8"/>
      <c r="Z958" s="8"/>
    </row>
    <row r="959" ht="16.5" customHeight="1">
      <c r="A959" s="8"/>
      <c r="B959" s="27"/>
      <c r="C959" s="27"/>
      <c r="D959" s="27"/>
      <c r="E959" s="28"/>
      <c r="F959" s="29"/>
      <c r="G959" s="28"/>
      <c r="H959" s="30"/>
      <c r="I959" s="31"/>
      <c r="J959" s="28"/>
      <c r="K959" s="27"/>
      <c r="L959" s="8"/>
      <c r="M959" s="8"/>
      <c r="N959" s="8"/>
      <c r="O959" s="8"/>
      <c r="P959" s="8"/>
      <c r="Q959" s="8"/>
      <c r="R959" s="8"/>
      <c r="S959" s="8"/>
      <c r="T959" s="8"/>
      <c r="U959" s="8"/>
      <c r="V959" s="8"/>
      <c r="W959" s="8"/>
      <c r="X959" s="8"/>
      <c r="Y959" s="8"/>
      <c r="Z959" s="8"/>
    </row>
    <row r="960" ht="16.5" customHeight="1">
      <c r="A960" s="8"/>
      <c r="B960" s="27"/>
      <c r="C960" s="27"/>
      <c r="D960" s="27"/>
      <c r="E960" s="28"/>
      <c r="F960" s="29"/>
      <c r="G960" s="28"/>
      <c r="H960" s="30"/>
      <c r="I960" s="31"/>
      <c r="J960" s="28"/>
      <c r="K960" s="27"/>
      <c r="L960" s="8"/>
      <c r="M960" s="8"/>
      <c r="N960" s="8"/>
      <c r="O960" s="8"/>
      <c r="P960" s="8"/>
      <c r="Q960" s="8"/>
      <c r="R960" s="8"/>
      <c r="S960" s="8"/>
      <c r="T960" s="8"/>
      <c r="U960" s="8"/>
      <c r="V960" s="8"/>
      <c r="W960" s="8"/>
      <c r="X960" s="8"/>
      <c r="Y960" s="8"/>
      <c r="Z960" s="8"/>
    </row>
    <row r="961" ht="16.5" customHeight="1">
      <c r="A961" s="8"/>
      <c r="B961" s="27"/>
      <c r="C961" s="27"/>
      <c r="D961" s="27"/>
      <c r="E961" s="28"/>
      <c r="F961" s="29"/>
      <c r="G961" s="28"/>
      <c r="H961" s="30"/>
      <c r="I961" s="31"/>
      <c r="J961" s="28"/>
      <c r="K961" s="27"/>
      <c r="L961" s="8"/>
      <c r="M961" s="8"/>
      <c r="N961" s="8"/>
      <c r="O961" s="8"/>
      <c r="P961" s="8"/>
      <c r="Q961" s="8"/>
      <c r="R961" s="8"/>
      <c r="S961" s="8"/>
      <c r="T961" s="8"/>
      <c r="U961" s="8"/>
      <c r="V961" s="8"/>
      <c r="W961" s="8"/>
      <c r="X961" s="8"/>
      <c r="Y961" s="8"/>
      <c r="Z961" s="8"/>
    </row>
    <row r="962" ht="16.5" customHeight="1">
      <c r="A962" s="8"/>
      <c r="B962" s="27"/>
      <c r="C962" s="27"/>
      <c r="D962" s="27"/>
      <c r="E962" s="28"/>
      <c r="F962" s="29"/>
      <c r="G962" s="28"/>
      <c r="H962" s="30"/>
      <c r="I962" s="31"/>
      <c r="J962" s="28"/>
      <c r="K962" s="27"/>
      <c r="L962" s="8"/>
      <c r="M962" s="8"/>
      <c r="N962" s="8"/>
      <c r="O962" s="8"/>
      <c r="P962" s="8"/>
      <c r="Q962" s="8"/>
      <c r="R962" s="8"/>
      <c r="S962" s="8"/>
      <c r="T962" s="8"/>
      <c r="U962" s="8"/>
      <c r="V962" s="8"/>
      <c r="W962" s="8"/>
      <c r="X962" s="8"/>
      <c r="Y962" s="8"/>
      <c r="Z962" s="8"/>
    </row>
    <row r="963" ht="16.5" customHeight="1">
      <c r="A963" s="8"/>
      <c r="B963" s="27"/>
      <c r="C963" s="27"/>
      <c r="D963" s="27"/>
      <c r="E963" s="28"/>
      <c r="F963" s="29"/>
      <c r="G963" s="28"/>
      <c r="H963" s="30"/>
      <c r="I963" s="31"/>
      <c r="J963" s="28"/>
      <c r="K963" s="27"/>
      <c r="L963" s="8"/>
      <c r="M963" s="8"/>
      <c r="N963" s="8"/>
      <c r="O963" s="8"/>
      <c r="P963" s="8"/>
      <c r="Q963" s="8"/>
      <c r="R963" s="8"/>
      <c r="S963" s="8"/>
      <c r="T963" s="8"/>
      <c r="U963" s="8"/>
      <c r="V963" s="8"/>
      <c r="W963" s="8"/>
      <c r="X963" s="8"/>
      <c r="Y963" s="8"/>
      <c r="Z963" s="8"/>
    </row>
    <row r="964" ht="16.5" customHeight="1">
      <c r="A964" s="8"/>
      <c r="B964" s="27"/>
      <c r="C964" s="27"/>
      <c r="D964" s="27"/>
      <c r="E964" s="28"/>
      <c r="F964" s="29"/>
      <c r="G964" s="28"/>
      <c r="H964" s="30"/>
      <c r="I964" s="31"/>
      <c r="J964" s="28"/>
      <c r="K964" s="27"/>
      <c r="L964" s="8"/>
      <c r="M964" s="8"/>
      <c r="N964" s="8"/>
      <c r="O964" s="8"/>
      <c r="P964" s="8"/>
      <c r="Q964" s="8"/>
      <c r="R964" s="8"/>
      <c r="S964" s="8"/>
      <c r="T964" s="8"/>
      <c r="U964" s="8"/>
      <c r="V964" s="8"/>
      <c r="W964" s="8"/>
      <c r="X964" s="8"/>
      <c r="Y964" s="8"/>
      <c r="Z964" s="8"/>
    </row>
    <row r="965" ht="16.5" customHeight="1">
      <c r="A965" s="8"/>
      <c r="B965" s="27"/>
      <c r="C965" s="27"/>
      <c r="D965" s="27"/>
      <c r="E965" s="28"/>
      <c r="F965" s="29"/>
      <c r="G965" s="28"/>
      <c r="H965" s="30"/>
      <c r="I965" s="31"/>
      <c r="J965" s="28"/>
      <c r="K965" s="27"/>
      <c r="L965" s="8"/>
      <c r="M965" s="8"/>
      <c r="N965" s="8"/>
      <c r="O965" s="8"/>
      <c r="P965" s="8"/>
      <c r="Q965" s="8"/>
      <c r="R965" s="8"/>
      <c r="S965" s="8"/>
      <c r="T965" s="8"/>
      <c r="U965" s="8"/>
      <c r="V965" s="8"/>
      <c r="W965" s="8"/>
      <c r="X965" s="8"/>
      <c r="Y965" s="8"/>
      <c r="Z965" s="8"/>
    </row>
    <row r="966" ht="16.5" customHeight="1">
      <c r="A966" s="8"/>
      <c r="B966" s="27"/>
      <c r="C966" s="27"/>
      <c r="D966" s="27"/>
      <c r="E966" s="28"/>
      <c r="F966" s="29"/>
      <c r="G966" s="28"/>
      <c r="H966" s="30"/>
      <c r="I966" s="31"/>
      <c r="J966" s="28"/>
      <c r="K966" s="27"/>
      <c r="L966" s="8"/>
      <c r="M966" s="8"/>
      <c r="N966" s="8"/>
      <c r="O966" s="8"/>
      <c r="P966" s="8"/>
      <c r="Q966" s="8"/>
      <c r="R966" s="8"/>
      <c r="S966" s="8"/>
      <c r="T966" s="8"/>
      <c r="U966" s="8"/>
      <c r="V966" s="8"/>
      <c r="W966" s="8"/>
      <c r="X966" s="8"/>
      <c r="Y966" s="8"/>
      <c r="Z966" s="8"/>
    </row>
    <row r="967" ht="16.5" customHeight="1">
      <c r="A967" s="8"/>
      <c r="B967" s="27"/>
      <c r="C967" s="27"/>
      <c r="D967" s="27"/>
      <c r="E967" s="28"/>
      <c r="F967" s="29"/>
      <c r="G967" s="28"/>
      <c r="H967" s="30"/>
      <c r="I967" s="31"/>
      <c r="J967" s="28"/>
      <c r="K967" s="27"/>
      <c r="L967" s="8"/>
      <c r="M967" s="8"/>
      <c r="N967" s="8"/>
      <c r="O967" s="8"/>
      <c r="P967" s="8"/>
      <c r="Q967" s="8"/>
      <c r="R967" s="8"/>
      <c r="S967" s="8"/>
      <c r="T967" s="8"/>
      <c r="U967" s="8"/>
      <c r="V967" s="8"/>
      <c r="W967" s="8"/>
      <c r="X967" s="8"/>
      <c r="Y967" s="8"/>
      <c r="Z967" s="8"/>
    </row>
    <row r="968" ht="16.5" customHeight="1">
      <c r="A968" s="8"/>
      <c r="B968" s="27"/>
      <c r="C968" s="27"/>
      <c r="D968" s="27"/>
      <c r="E968" s="28"/>
      <c r="F968" s="29"/>
      <c r="G968" s="28"/>
      <c r="H968" s="30"/>
      <c r="I968" s="31"/>
      <c r="J968" s="28"/>
      <c r="K968" s="27"/>
      <c r="L968" s="8"/>
      <c r="M968" s="8"/>
      <c r="N968" s="8"/>
      <c r="O968" s="8"/>
      <c r="P968" s="8"/>
      <c r="Q968" s="8"/>
      <c r="R968" s="8"/>
      <c r="S968" s="8"/>
      <c r="T968" s="8"/>
      <c r="U968" s="8"/>
      <c r="V968" s="8"/>
      <c r="W968" s="8"/>
      <c r="X968" s="8"/>
      <c r="Y968" s="8"/>
      <c r="Z968" s="8"/>
    </row>
    <row r="969" ht="16.5" customHeight="1">
      <c r="A969" s="8"/>
      <c r="B969" s="27"/>
      <c r="C969" s="27"/>
      <c r="D969" s="27"/>
      <c r="E969" s="28"/>
      <c r="F969" s="29"/>
      <c r="G969" s="28"/>
      <c r="H969" s="30"/>
      <c r="I969" s="31"/>
      <c r="J969" s="28"/>
      <c r="K969" s="27"/>
      <c r="L969" s="8"/>
      <c r="M969" s="8"/>
      <c r="N969" s="8"/>
      <c r="O969" s="8"/>
      <c r="P969" s="8"/>
      <c r="Q969" s="8"/>
      <c r="R969" s="8"/>
      <c r="S969" s="8"/>
      <c r="T969" s="8"/>
      <c r="U969" s="8"/>
      <c r="V969" s="8"/>
      <c r="W969" s="8"/>
      <c r="X969" s="8"/>
      <c r="Y969" s="8"/>
      <c r="Z969" s="8"/>
    </row>
    <row r="970" ht="16.5" customHeight="1">
      <c r="A970" s="8"/>
      <c r="B970" s="27"/>
      <c r="C970" s="27"/>
      <c r="D970" s="27"/>
      <c r="E970" s="28"/>
      <c r="F970" s="29"/>
      <c r="G970" s="28"/>
      <c r="H970" s="30"/>
      <c r="I970" s="31"/>
      <c r="J970" s="28"/>
      <c r="K970" s="27"/>
      <c r="L970" s="8"/>
      <c r="M970" s="8"/>
      <c r="N970" s="8"/>
      <c r="O970" s="8"/>
      <c r="P970" s="8"/>
      <c r="Q970" s="8"/>
      <c r="R970" s="8"/>
      <c r="S970" s="8"/>
      <c r="T970" s="8"/>
      <c r="U970" s="8"/>
      <c r="V970" s="8"/>
      <c r="W970" s="8"/>
      <c r="X970" s="8"/>
      <c r="Y970" s="8"/>
      <c r="Z970" s="8"/>
    </row>
    <row r="971" ht="16.5" customHeight="1">
      <c r="A971" s="8"/>
      <c r="B971" s="27"/>
      <c r="C971" s="27"/>
      <c r="D971" s="27"/>
      <c r="E971" s="28"/>
      <c r="F971" s="29"/>
      <c r="G971" s="28"/>
      <c r="H971" s="30"/>
      <c r="I971" s="31"/>
      <c r="J971" s="28"/>
      <c r="K971" s="27"/>
      <c r="L971" s="8"/>
      <c r="M971" s="8"/>
      <c r="N971" s="8"/>
      <c r="O971" s="8"/>
      <c r="P971" s="8"/>
      <c r="Q971" s="8"/>
      <c r="R971" s="8"/>
      <c r="S971" s="8"/>
      <c r="T971" s="8"/>
      <c r="U971" s="8"/>
      <c r="V971" s="8"/>
      <c r="W971" s="8"/>
      <c r="X971" s="8"/>
      <c r="Y971" s="8"/>
      <c r="Z971" s="8"/>
    </row>
    <row r="972" ht="16.5" customHeight="1">
      <c r="A972" s="8"/>
      <c r="B972" s="27"/>
      <c r="C972" s="27"/>
      <c r="D972" s="27"/>
      <c r="E972" s="28"/>
      <c r="F972" s="29"/>
      <c r="G972" s="28"/>
      <c r="H972" s="30"/>
      <c r="I972" s="31"/>
      <c r="J972" s="28"/>
      <c r="K972" s="27"/>
      <c r="L972" s="8"/>
      <c r="M972" s="8"/>
      <c r="N972" s="8"/>
      <c r="O972" s="8"/>
      <c r="P972" s="8"/>
      <c r="Q972" s="8"/>
      <c r="R972" s="8"/>
      <c r="S972" s="8"/>
      <c r="T972" s="8"/>
      <c r="U972" s="8"/>
      <c r="V972" s="8"/>
      <c r="W972" s="8"/>
      <c r="X972" s="8"/>
      <c r="Y972" s="8"/>
      <c r="Z972" s="8"/>
    </row>
    <row r="973" ht="16.5" customHeight="1">
      <c r="A973" s="8"/>
      <c r="B973" s="27"/>
      <c r="C973" s="27"/>
      <c r="D973" s="27"/>
      <c r="E973" s="28"/>
      <c r="F973" s="29"/>
      <c r="G973" s="28"/>
      <c r="H973" s="30"/>
      <c r="I973" s="31"/>
      <c r="J973" s="28"/>
      <c r="K973" s="27"/>
      <c r="L973" s="8"/>
      <c r="M973" s="8"/>
      <c r="N973" s="8"/>
      <c r="O973" s="8"/>
      <c r="P973" s="8"/>
      <c r="Q973" s="8"/>
      <c r="R973" s="8"/>
      <c r="S973" s="8"/>
      <c r="T973" s="8"/>
      <c r="U973" s="8"/>
      <c r="V973" s="8"/>
      <c r="W973" s="8"/>
      <c r="X973" s="8"/>
      <c r="Y973" s="8"/>
      <c r="Z973" s="8"/>
    </row>
    <row r="974" ht="16.5" customHeight="1">
      <c r="A974" s="8"/>
      <c r="B974" s="27"/>
      <c r="C974" s="27"/>
      <c r="D974" s="27"/>
      <c r="E974" s="28"/>
      <c r="F974" s="29"/>
      <c r="G974" s="28"/>
      <c r="H974" s="30"/>
      <c r="I974" s="31"/>
      <c r="J974" s="28"/>
      <c r="K974" s="27"/>
      <c r="L974" s="8"/>
      <c r="M974" s="8"/>
      <c r="N974" s="8"/>
      <c r="O974" s="8"/>
      <c r="P974" s="8"/>
      <c r="Q974" s="8"/>
      <c r="R974" s="8"/>
      <c r="S974" s="8"/>
      <c r="T974" s="8"/>
      <c r="U974" s="8"/>
      <c r="V974" s="8"/>
      <c r="W974" s="8"/>
      <c r="X974" s="8"/>
      <c r="Y974" s="8"/>
      <c r="Z974" s="8"/>
    </row>
    <row r="975" ht="16.5" customHeight="1">
      <c r="A975" s="8"/>
      <c r="B975" s="27"/>
      <c r="C975" s="27"/>
      <c r="D975" s="27"/>
      <c r="E975" s="28"/>
      <c r="F975" s="29"/>
      <c r="G975" s="28"/>
      <c r="H975" s="30"/>
      <c r="I975" s="31"/>
      <c r="J975" s="28"/>
      <c r="K975" s="27"/>
      <c r="L975" s="8"/>
      <c r="M975" s="8"/>
      <c r="N975" s="8"/>
      <c r="O975" s="8"/>
      <c r="P975" s="8"/>
      <c r="Q975" s="8"/>
      <c r="R975" s="8"/>
      <c r="S975" s="8"/>
      <c r="T975" s="8"/>
      <c r="U975" s="8"/>
      <c r="V975" s="8"/>
      <c r="W975" s="8"/>
      <c r="X975" s="8"/>
      <c r="Y975" s="8"/>
      <c r="Z975" s="8"/>
    </row>
    <row r="976" ht="16.5" customHeight="1">
      <c r="A976" s="8"/>
      <c r="B976" s="27"/>
      <c r="C976" s="27"/>
      <c r="D976" s="27"/>
      <c r="E976" s="28"/>
      <c r="F976" s="29"/>
      <c r="G976" s="28"/>
      <c r="H976" s="30"/>
      <c r="I976" s="31"/>
      <c r="J976" s="28"/>
      <c r="K976" s="27"/>
      <c r="L976" s="8"/>
      <c r="M976" s="8"/>
      <c r="N976" s="8"/>
      <c r="O976" s="8"/>
      <c r="P976" s="8"/>
      <c r="Q976" s="8"/>
      <c r="R976" s="8"/>
      <c r="S976" s="8"/>
      <c r="T976" s="8"/>
      <c r="U976" s="8"/>
      <c r="V976" s="8"/>
      <c r="W976" s="8"/>
      <c r="X976" s="8"/>
      <c r="Y976" s="8"/>
      <c r="Z976" s="8"/>
    </row>
    <row r="977" ht="16.5" customHeight="1">
      <c r="A977" s="8"/>
      <c r="B977" s="27"/>
      <c r="C977" s="27"/>
      <c r="D977" s="27"/>
      <c r="E977" s="28"/>
      <c r="F977" s="29"/>
      <c r="G977" s="28"/>
      <c r="H977" s="30"/>
      <c r="I977" s="31"/>
      <c r="J977" s="28"/>
      <c r="K977" s="27"/>
      <c r="L977" s="8"/>
      <c r="M977" s="8"/>
      <c r="N977" s="8"/>
      <c r="O977" s="8"/>
      <c r="P977" s="8"/>
      <c r="Q977" s="8"/>
      <c r="R977" s="8"/>
      <c r="S977" s="8"/>
      <c r="T977" s="8"/>
      <c r="U977" s="8"/>
      <c r="V977" s="8"/>
      <c r="W977" s="8"/>
      <c r="X977" s="8"/>
      <c r="Y977" s="8"/>
      <c r="Z977" s="8"/>
    </row>
    <row r="978" ht="16.5" customHeight="1">
      <c r="A978" s="8"/>
      <c r="B978" s="27"/>
      <c r="C978" s="27"/>
      <c r="D978" s="27"/>
      <c r="E978" s="28"/>
      <c r="F978" s="29"/>
      <c r="G978" s="28"/>
      <c r="H978" s="30"/>
      <c r="I978" s="31"/>
      <c r="J978" s="28"/>
      <c r="K978" s="27"/>
      <c r="L978" s="8"/>
      <c r="M978" s="8"/>
      <c r="N978" s="8"/>
      <c r="O978" s="8"/>
      <c r="P978" s="8"/>
      <c r="Q978" s="8"/>
      <c r="R978" s="8"/>
      <c r="S978" s="8"/>
      <c r="T978" s="8"/>
      <c r="U978" s="8"/>
      <c r="V978" s="8"/>
      <c r="W978" s="8"/>
      <c r="X978" s="8"/>
      <c r="Y978" s="8"/>
      <c r="Z978" s="8"/>
    </row>
    <row r="979" ht="16.5" customHeight="1">
      <c r="A979" s="8"/>
      <c r="B979" s="27"/>
      <c r="C979" s="27"/>
      <c r="D979" s="27"/>
      <c r="E979" s="28"/>
      <c r="F979" s="29"/>
      <c r="G979" s="28"/>
      <c r="H979" s="30"/>
      <c r="I979" s="31"/>
      <c r="J979" s="28"/>
      <c r="K979" s="27"/>
      <c r="L979" s="8"/>
      <c r="M979" s="8"/>
      <c r="N979" s="8"/>
      <c r="O979" s="8"/>
      <c r="P979" s="8"/>
      <c r="Q979" s="8"/>
      <c r="R979" s="8"/>
      <c r="S979" s="8"/>
      <c r="T979" s="8"/>
      <c r="U979" s="8"/>
      <c r="V979" s="8"/>
      <c r="W979" s="8"/>
      <c r="X979" s="8"/>
      <c r="Y979" s="8"/>
      <c r="Z979" s="8"/>
    </row>
    <row r="980" ht="16.5" customHeight="1">
      <c r="A980" s="8"/>
      <c r="B980" s="27"/>
      <c r="C980" s="27"/>
      <c r="D980" s="27"/>
      <c r="E980" s="28"/>
      <c r="F980" s="29"/>
      <c r="G980" s="28"/>
      <c r="H980" s="30"/>
      <c r="I980" s="31"/>
      <c r="J980" s="28"/>
      <c r="K980" s="27"/>
      <c r="L980" s="8"/>
      <c r="M980" s="8"/>
      <c r="N980" s="8"/>
      <c r="O980" s="8"/>
      <c r="P980" s="8"/>
      <c r="Q980" s="8"/>
      <c r="R980" s="8"/>
      <c r="S980" s="8"/>
      <c r="T980" s="8"/>
      <c r="U980" s="8"/>
      <c r="V980" s="8"/>
      <c r="W980" s="8"/>
      <c r="X980" s="8"/>
      <c r="Y980" s="8"/>
      <c r="Z980" s="8"/>
    </row>
    <row r="981" ht="16.5" customHeight="1">
      <c r="A981" s="8"/>
      <c r="B981" s="27"/>
      <c r="C981" s="27"/>
      <c r="D981" s="27"/>
      <c r="E981" s="28"/>
      <c r="F981" s="29"/>
      <c r="G981" s="28"/>
      <c r="H981" s="30"/>
      <c r="I981" s="31"/>
      <c r="J981" s="28"/>
      <c r="K981" s="27"/>
      <c r="L981" s="8"/>
      <c r="M981" s="8"/>
      <c r="N981" s="8"/>
      <c r="O981" s="8"/>
      <c r="P981" s="8"/>
      <c r="Q981" s="8"/>
      <c r="R981" s="8"/>
      <c r="S981" s="8"/>
      <c r="T981" s="8"/>
      <c r="U981" s="8"/>
      <c r="V981" s="8"/>
      <c r="W981" s="8"/>
      <c r="X981" s="8"/>
      <c r="Y981" s="8"/>
      <c r="Z981" s="8"/>
    </row>
    <row r="982" ht="16.5" customHeight="1">
      <c r="A982" s="8"/>
      <c r="B982" s="27"/>
      <c r="C982" s="27"/>
      <c r="D982" s="27"/>
      <c r="E982" s="28"/>
      <c r="F982" s="29"/>
      <c r="G982" s="28"/>
      <c r="H982" s="30"/>
      <c r="I982" s="31"/>
      <c r="J982" s="28"/>
      <c r="K982" s="27"/>
      <c r="L982" s="8"/>
      <c r="M982" s="8"/>
      <c r="N982" s="8"/>
      <c r="O982" s="8"/>
      <c r="P982" s="8"/>
      <c r="Q982" s="8"/>
      <c r="R982" s="8"/>
      <c r="S982" s="8"/>
      <c r="T982" s="8"/>
      <c r="U982" s="8"/>
      <c r="V982" s="8"/>
      <c r="W982" s="8"/>
      <c r="X982" s="8"/>
      <c r="Y982" s="8"/>
      <c r="Z982" s="8"/>
    </row>
    <row r="983" ht="16.5" customHeight="1">
      <c r="A983" s="8"/>
      <c r="B983" s="27"/>
      <c r="C983" s="27"/>
      <c r="D983" s="27"/>
      <c r="E983" s="28"/>
      <c r="F983" s="29"/>
      <c r="G983" s="28"/>
      <c r="H983" s="30"/>
      <c r="I983" s="31"/>
      <c r="J983" s="28"/>
      <c r="K983" s="27"/>
      <c r="L983" s="8"/>
      <c r="M983" s="8"/>
      <c r="N983" s="8"/>
      <c r="O983" s="8"/>
      <c r="P983" s="8"/>
      <c r="Q983" s="8"/>
      <c r="R983" s="8"/>
      <c r="S983" s="8"/>
      <c r="T983" s="8"/>
      <c r="U983" s="8"/>
      <c r="V983" s="8"/>
      <c r="W983" s="8"/>
      <c r="X983" s="8"/>
      <c r="Y983" s="8"/>
      <c r="Z983" s="8"/>
    </row>
    <row r="984" ht="16.5" customHeight="1">
      <c r="A984" s="8"/>
      <c r="B984" s="27"/>
      <c r="C984" s="27"/>
      <c r="D984" s="27"/>
      <c r="E984" s="28"/>
      <c r="F984" s="29"/>
      <c r="G984" s="28"/>
      <c r="H984" s="30"/>
      <c r="I984" s="31"/>
      <c r="J984" s="28"/>
      <c r="K984" s="27"/>
      <c r="L984" s="8"/>
      <c r="M984" s="8"/>
      <c r="N984" s="8"/>
      <c r="O984" s="8"/>
      <c r="P984" s="8"/>
      <c r="Q984" s="8"/>
      <c r="R984" s="8"/>
      <c r="S984" s="8"/>
      <c r="T984" s="8"/>
      <c r="U984" s="8"/>
      <c r="V984" s="8"/>
      <c r="W984" s="8"/>
      <c r="X984" s="8"/>
      <c r="Y984" s="8"/>
      <c r="Z984" s="8"/>
    </row>
    <row r="985" ht="16.5" customHeight="1">
      <c r="A985" s="8"/>
      <c r="B985" s="27"/>
      <c r="C985" s="27"/>
      <c r="D985" s="27"/>
      <c r="E985" s="28"/>
      <c r="F985" s="29"/>
      <c r="G985" s="28"/>
      <c r="H985" s="30"/>
      <c r="I985" s="31"/>
      <c r="J985" s="28"/>
      <c r="K985" s="27"/>
      <c r="L985" s="8"/>
      <c r="M985" s="8"/>
      <c r="N985" s="8"/>
      <c r="O985" s="8"/>
      <c r="P985" s="8"/>
      <c r="Q985" s="8"/>
      <c r="R985" s="8"/>
      <c r="S985" s="8"/>
      <c r="T985" s="8"/>
      <c r="U985" s="8"/>
      <c r="V985" s="8"/>
      <c r="W985" s="8"/>
      <c r="X985" s="8"/>
      <c r="Y985" s="8"/>
      <c r="Z985" s="8"/>
    </row>
    <row r="986" ht="16.5" customHeight="1">
      <c r="A986" s="8"/>
      <c r="B986" s="27"/>
      <c r="C986" s="27"/>
      <c r="D986" s="27"/>
      <c r="E986" s="28"/>
      <c r="F986" s="29"/>
      <c r="G986" s="28"/>
      <c r="H986" s="30"/>
      <c r="I986" s="31"/>
      <c r="J986" s="28"/>
      <c r="K986" s="27"/>
      <c r="L986" s="8"/>
      <c r="M986" s="8"/>
      <c r="N986" s="8"/>
      <c r="O986" s="8"/>
      <c r="P986" s="8"/>
      <c r="Q986" s="8"/>
      <c r="R986" s="8"/>
      <c r="S986" s="8"/>
      <c r="T986" s="8"/>
      <c r="U986" s="8"/>
      <c r="V986" s="8"/>
      <c r="W986" s="8"/>
      <c r="X986" s="8"/>
      <c r="Y986" s="8"/>
      <c r="Z986" s="8"/>
    </row>
    <row r="987" ht="16.5" customHeight="1">
      <c r="A987" s="8"/>
      <c r="B987" s="27"/>
      <c r="C987" s="27"/>
      <c r="D987" s="27"/>
      <c r="E987" s="28"/>
      <c r="F987" s="29"/>
      <c r="G987" s="28"/>
      <c r="H987" s="30"/>
      <c r="I987" s="31"/>
      <c r="J987" s="28"/>
      <c r="K987" s="27"/>
      <c r="L987" s="8"/>
      <c r="M987" s="8"/>
      <c r="N987" s="8"/>
      <c r="O987" s="8"/>
      <c r="P987" s="8"/>
      <c r="Q987" s="8"/>
      <c r="R987" s="8"/>
      <c r="S987" s="8"/>
      <c r="T987" s="8"/>
      <c r="U987" s="8"/>
      <c r="V987" s="8"/>
      <c r="W987" s="8"/>
      <c r="X987" s="8"/>
      <c r="Y987" s="8"/>
      <c r="Z987" s="8"/>
    </row>
    <row r="988" ht="16.5" customHeight="1">
      <c r="A988" s="8"/>
      <c r="B988" s="27"/>
      <c r="C988" s="27"/>
      <c r="D988" s="27"/>
      <c r="E988" s="28"/>
      <c r="F988" s="29"/>
      <c r="G988" s="28"/>
      <c r="H988" s="30"/>
      <c r="I988" s="31"/>
      <c r="J988" s="28"/>
      <c r="K988" s="27"/>
      <c r="L988" s="8"/>
      <c r="M988" s="8"/>
      <c r="N988" s="8"/>
      <c r="O988" s="8"/>
      <c r="P988" s="8"/>
      <c r="Q988" s="8"/>
      <c r="R988" s="8"/>
      <c r="S988" s="8"/>
      <c r="T988" s="8"/>
      <c r="U988" s="8"/>
      <c r="V988" s="8"/>
      <c r="W988" s="8"/>
      <c r="X988" s="8"/>
      <c r="Y988" s="8"/>
      <c r="Z988" s="8"/>
    </row>
    <row r="989" ht="16.5" customHeight="1">
      <c r="A989" s="8"/>
      <c r="B989" s="27"/>
      <c r="C989" s="27"/>
      <c r="D989" s="27"/>
      <c r="E989" s="28"/>
      <c r="F989" s="29"/>
      <c r="G989" s="28"/>
      <c r="H989" s="30"/>
      <c r="I989" s="31"/>
      <c r="J989" s="28"/>
      <c r="K989" s="27"/>
      <c r="L989" s="8"/>
      <c r="M989" s="8"/>
      <c r="N989" s="8"/>
      <c r="O989" s="8"/>
      <c r="P989" s="8"/>
      <c r="Q989" s="8"/>
      <c r="R989" s="8"/>
      <c r="S989" s="8"/>
      <c r="T989" s="8"/>
      <c r="U989" s="8"/>
      <c r="V989" s="8"/>
      <c r="W989" s="8"/>
      <c r="X989" s="8"/>
      <c r="Y989" s="8"/>
      <c r="Z989" s="8"/>
    </row>
    <row r="990" ht="16.5" customHeight="1">
      <c r="A990" s="8"/>
      <c r="B990" s="27"/>
      <c r="C990" s="27"/>
      <c r="D990" s="27"/>
      <c r="E990" s="28"/>
      <c r="F990" s="29"/>
      <c r="G990" s="28"/>
      <c r="H990" s="30"/>
      <c r="I990" s="31"/>
      <c r="J990" s="28"/>
      <c r="K990" s="27"/>
      <c r="L990" s="8"/>
      <c r="M990" s="8"/>
      <c r="N990" s="8"/>
      <c r="O990" s="8"/>
      <c r="P990" s="8"/>
      <c r="Q990" s="8"/>
      <c r="R990" s="8"/>
      <c r="S990" s="8"/>
      <c r="T990" s="8"/>
      <c r="U990" s="8"/>
      <c r="V990" s="8"/>
      <c r="W990" s="8"/>
      <c r="X990" s="8"/>
      <c r="Y990" s="8"/>
      <c r="Z990" s="8"/>
    </row>
    <row r="991" ht="16.5" customHeight="1">
      <c r="A991" s="8"/>
      <c r="B991" s="27"/>
      <c r="C991" s="27"/>
      <c r="D991" s="27"/>
      <c r="E991" s="28"/>
      <c r="F991" s="29"/>
      <c r="G991" s="28"/>
      <c r="H991" s="30"/>
      <c r="I991" s="31"/>
      <c r="J991" s="28"/>
      <c r="K991" s="27"/>
      <c r="L991" s="8"/>
      <c r="M991" s="8"/>
      <c r="N991" s="8"/>
      <c r="O991" s="8"/>
      <c r="P991" s="8"/>
      <c r="Q991" s="8"/>
      <c r="R991" s="8"/>
      <c r="S991" s="8"/>
      <c r="T991" s="8"/>
      <c r="U991" s="8"/>
      <c r="V991" s="8"/>
      <c r="W991" s="8"/>
      <c r="X991" s="8"/>
      <c r="Y991" s="8"/>
      <c r="Z991" s="8"/>
    </row>
    <row r="992" ht="16.5" customHeight="1">
      <c r="A992" s="8"/>
      <c r="B992" s="27"/>
      <c r="C992" s="27"/>
      <c r="D992" s="27"/>
      <c r="E992" s="28"/>
      <c r="F992" s="29"/>
      <c r="G992" s="28"/>
      <c r="H992" s="30"/>
      <c r="I992" s="31"/>
      <c r="J992" s="28"/>
      <c r="K992" s="27"/>
      <c r="L992" s="8"/>
      <c r="M992" s="8"/>
      <c r="N992" s="8"/>
      <c r="O992" s="8"/>
      <c r="P992" s="8"/>
      <c r="Q992" s="8"/>
      <c r="R992" s="8"/>
      <c r="S992" s="8"/>
      <c r="T992" s="8"/>
      <c r="U992" s="8"/>
      <c r="V992" s="8"/>
      <c r="W992" s="8"/>
      <c r="X992" s="8"/>
      <c r="Y992" s="8"/>
      <c r="Z992" s="8"/>
    </row>
    <row r="993" ht="16.5" customHeight="1">
      <c r="A993" s="8"/>
      <c r="B993" s="27"/>
      <c r="C993" s="27"/>
      <c r="D993" s="27"/>
      <c r="E993" s="28"/>
      <c r="F993" s="29"/>
      <c r="G993" s="28"/>
      <c r="H993" s="30"/>
      <c r="I993" s="31"/>
      <c r="J993" s="28"/>
      <c r="K993" s="27"/>
      <c r="L993" s="8"/>
      <c r="M993" s="8"/>
      <c r="N993" s="8"/>
      <c r="O993" s="8"/>
      <c r="P993" s="8"/>
      <c r="Q993" s="8"/>
      <c r="R993" s="8"/>
      <c r="S993" s="8"/>
      <c r="T993" s="8"/>
      <c r="U993" s="8"/>
      <c r="V993" s="8"/>
      <c r="W993" s="8"/>
      <c r="X993" s="8"/>
      <c r="Y993" s="8"/>
      <c r="Z993" s="8"/>
    </row>
    <row r="994" ht="16.5" customHeight="1">
      <c r="A994" s="8"/>
      <c r="B994" s="27"/>
      <c r="C994" s="27"/>
      <c r="D994" s="27"/>
      <c r="E994" s="28"/>
      <c r="F994" s="29"/>
      <c r="G994" s="28"/>
      <c r="H994" s="30"/>
      <c r="I994" s="31"/>
      <c r="J994" s="28"/>
      <c r="K994" s="27"/>
      <c r="L994" s="8"/>
      <c r="M994" s="8"/>
      <c r="N994" s="8"/>
      <c r="O994" s="8"/>
      <c r="P994" s="8"/>
      <c r="Q994" s="8"/>
      <c r="R994" s="8"/>
      <c r="S994" s="8"/>
      <c r="T994" s="8"/>
      <c r="U994" s="8"/>
      <c r="V994" s="8"/>
      <c r="W994" s="8"/>
      <c r="X994" s="8"/>
      <c r="Y994" s="8"/>
      <c r="Z994" s="8"/>
    </row>
    <row r="995" ht="16.5" customHeight="1">
      <c r="A995" s="8"/>
      <c r="B995" s="27"/>
      <c r="C995" s="27"/>
      <c r="D995" s="27"/>
      <c r="E995" s="28"/>
      <c r="F995" s="29"/>
      <c r="G995" s="28"/>
      <c r="H995" s="30"/>
      <c r="I995" s="31"/>
      <c r="J995" s="28"/>
      <c r="K995" s="27"/>
      <c r="L995" s="8"/>
      <c r="M995" s="8"/>
      <c r="N995" s="8"/>
      <c r="O995" s="8"/>
      <c r="P995" s="8"/>
      <c r="Q995" s="8"/>
      <c r="R995" s="8"/>
      <c r="S995" s="8"/>
      <c r="T995" s="8"/>
      <c r="U995" s="8"/>
      <c r="V995" s="8"/>
      <c r="W995" s="8"/>
      <c r="X995" s="8"/>
      <c r="Y995" s="8"/>
      <c r="Z995" s="8"/>
    </row>
    <row r="996" ht="16.5" customHeight="1">
      <c r="A996" s="8"/>
      <c r="B996" s="27"/>
      <c r="C996" s="27"/>
      <c r="D996" s="27"/>
      <c r="E996" s="28"/>
      <c r="F996" s="29"/>
      <c r="G996" s="28"/>
      <c r="H996" s="30"/>
      <c r="I996" s="31"/>
      <c r="J996" s="28"/>
      <c r="K996" s="27"/>
      <c r="L996" s="8"/>
      <c r="M996" s="8"/>
      <c r="N996" s="8"/>
      <c r="O996" s="8"/>
      <c r="P996" s="8"/>
      <c r="Q996" s="8"/>
      <c r="R996" s="8"/>
      <c r="S996" s="8"/>
      <c r="T996" s="8"/>
      <c r="U996" s="8"/>
      <c r="V996" s="8"/>
      <c r="W996" s="8"/>
      <c r="X996" s="8"/>
      <c r="Y996" s="8"/>
      <c r="Z996" s="8"/>
    </row>
    <row r="997" ht="16.5" customHeight="1">
      <c r="A997" s="8"/>
      <c r="B997" s="27"/>
      <c r="C997" s="27"/>
      <c r="D997" s="27"/>
      <c r="E997" s="28"/>
      <c r="F997" s="29"/>
      <c r="G997" s="28"/>
      <c r="H997" s="30"/>
      <c r="I997" s="31"/>
      <c r="J997" s="28"/>
      <c r="K997" s="27"/>
      <c r="L997" s="8"/>
      <c r="M997" s="8"/>
      <c r="N997" s="8"/>
      <c r="O997" s="8"/>
      <c r="P997" s="8"/>
      <c r="Q997" s="8"/>
      <c r="R997" s="8"/>
      <c r="S997" s="8"/>
      <c r="T997" s="8"/>
      <c r="U997" s="8"/>
      <c r="V997" s="8"/>
      <c r="W997" s="8"/>
      <c r="X997" s="8"/>
      <c r="Y997" s="8"/>
      <c r="Z997" s="8"/>
    </row>
    <row r="998" ht="16.5" customHeight="1">
      <c r="A998" s="8"/>
      <c r="B998" s="27"/>
      <c r="C998" s="27"/>
      <c r="D998" s="27"/>
      <c r="E998" s="28"/>
      <c r="F998" s="29"/>
      <c r="G998" s="28"/>
      <c r="H998" s="30"/>
      <c r="I998" s="31"/>
      <c r="J998" s="28"/>
      <c r="K998" s="27"/>
      <c r="L998" s="8"/>
      <c r="M998" s="8"/>
      <c r="N998" s="8"/>
      <c r="O998" s="8"/>
      <c r="P998" s="8"/>
      <c r="Q998" s="8"/>
      <c r="R998" s="8"/>
      <c r="S998" s="8"/>
      <c r="T998" s="8"/>
      <c r="U998" s="8"/>
      <c r="V998" s="8"/>
      <c r="W998" s="8"/>
      <c r="X998" s="8"/>
      <c r="Y998" s="8"/>
      <c r="Z998" s="8"/>
    </row>
    <row r="999" ht="16.5" customHeight="1">
      <c r="A999" s="8"/>
      <c r="B999" s="27"/>
      <c r="C999" s="27"/>
      <c r="D999" s="27"/>
      <c r="E999" s="28"/>
      <c r="F999" s="29"/>
      <c r="G999" s="28"/>
      <c r="H999" s="30"/>
      <c r="I999" s="31"/>
      <c r="J999" s="28"/>
      <c r="K999" s="27"/>
      <c r="L999" s="8"/>
      <c r="M999" s="8"/>
      <c r="N999" s="8"/>
      <c r="O999" s="8"/>
      <c r="P999" s="8"/>
      <c r="Q999" s="8"/>
      <c r="R999" s="8"/>
      <c r="S999" s="8"/>
      <c r="T999" s="8"/>
      <c r="U999" s="8"/>
      <c r="V999" s="8"/>
      <c r="W999" s="8"/>
      <c r="X999" s="8"/>
      <c r="Y999" s="8"/>
      <c r="Z999" s="8"/>
    </row>
    <row r="1000" ht="16.5" customHeight="1">
      <c r="A1000" s="8"/>
      <c r="B1000" s="27"/>
      <c r="C1000" s="27"/>
      <c r="D1000" s="27"/>
      <c r="E1000" s="28"/>
      <c r="F1000" s="29"/>
      <c r="G1000" s="28"/>
      <c r="H1000" s="30"/>
      <c r="I1000" s="31"/>
      <c r="J1000" s="28"/>
      <c r="K1000" s="27"/>
      <c r="L1000" s="8"/>
      <c r="M1000" s="8"/>
      <c r="N1000" s="8"/>
      <c r="O1000" s="8"/>
      <c r="P1000" s="8"/>
      <c r="Q1000" s="8"/>
      <c r="R1000" s="8"/>
      <c r="S1000" s="8"/>
      <c r="T1000" s="8"/>
      <c r="U1000" s="8"/>
      <c r="V1000" s="8"/>
      <c r="W1000" s="8"/>
      <c r="X1000" s="8"/>
      <c r="Y1000" s="8"/>
      <c r="Z1000" s="8"/>
    </row>
  </sheetData>
  <mergeCells count="1">
    <mergeCell ref="B1:K1"/>
  </mergeCells>
  <conditionalFormatting sqref="H5:H174">
    <cfRule type="containsText" dxfId="0" priority="1" operator="containsText" text="N/A">
      <formula>NOT(ISERROR(SEARCH(("N/A"),(H5))))</formula>
    </cfRule>
  </conditionalFormatting>
  <conditionalFormatting sqref="H5:H174">
    <cfRule type="containsText" dxfId="1" priority="2" operator="containsText" text="N">
      <formula>NOT(ISERROR(SEARCH(("N"),(H5))))</formula>
    </cfRule>
  </conditionalFormatting>
  <conditionalFormatting sqref="H5:H174">
    <cfRule type="containsText" dxfId="2" priority="3" operator="containsText" text="P">
      <formula>NOT(ISERROR(SEARCH(("P"),(H5))))</formula>
    </cfRule>
  </conditionalFormatting>
  <conditionalFormatting sqref="H5:H174">
    <cfRule type="containsText" dxfId="3" priority="4" operator="containsText" text="Y">
      <formula>NOT(ISERROR(SEARCH(("Y"),(H5))))</formula>
    </cfRule>
  </conditionalFormatting>
  <conditionalFormatting sqref="I4:I5 I9 I26:I27">
    <cfRule type="containsText" dxfId="2" priority="5" operator="containsText" text="부분양호">
      <formula>NOT(ISERROR(SEARCH(("부분양호"),(I4))))</formula>
    </cfRule>
  </conditionalFormatting>
  <conditionalFormatting sqref="I4:I5 I9 I26:I27">
    <cfRule type="beginsWith" dxfId="3" priority="6" operator="beginsWith" text="양호">
      <formula>LEFT((I4),LEN("양호"))=("양호")</formula>
    </cfRule>
  </conditionalFormatting>
  <conditionalFormatting sqref="I4:I5 I9 I26:I27">
    <cfRule type="cellIs" dxfId="3" priority="7" operator="equal">
      <formula>"Y"</formula>
    </cfRule>
  </conditionalFormatting>
  <conditionalFormatting sqref="I4:I5 I9 I26:I27">
    <cfRule type="cellIs" dxfId="4" priority="8" operator="equal">
      <formula>"N"</formula>
    </cfRule>
  </conditionalFormatting>
  <conditionalFormatting sqref="I4:I5 I9 I26:I27">
    <cfRule type="cellIs" dxfId="5" priority="9" operator="equal">
      <formula>"N/A"</formula>
    </cfRule>
  </conditionalFormatting>
  <conditionalFormatting sqref="I4:I5 I9 I26:I27">
    <cfRule type="cellIs" dxfId="2" priority="10" operator="equal">
      <formula>"P"</formula>
    </cfRule>
  </conditionalFormatting>
  <conditionalFormatting sqref="I14:I15 I21:I24 I35 I39 I58 I64 I72:I74 I79 I84:I85 I99 I139 I149 I162 I165 I169:I171">
    <cfRule type="containsText" dxfId="2" priority="11" operator="containsText" text="부분양호">
      <formula>NOT(ISERROR(SEARCH(("부분양호"),(I14))))</formula>
    </cfRule>
  </conditionalFormatting>
  <conditionalFormatting sqref="I14:I15 I21:I24 I35 I39 I58 I64 I72:I74 I79 I84:I85 I99 I139 I149 I162 I165 I169:I171">
    <cfRule type="beginsWith" dxfId="3" priority="12" operator="beginsWith" text="양호">
      <formula>LEFT((I14),LEN("양호"))=("양호")</formula>
    </cfRule>
  </conditionalFormatting>
  <conditionalFormatting sqref="I14:I15 I21:I24 I35 I39 I58 I64 I72:I74 I79 I84:I85 I99 I139 I149 I162 I165 I169:I171">
    <cfRule type="cellIs" dxfId="3" priority="13" operator="equal">
      <formula>"Y"</formula>
    </cfRule>
  </conditionalFormatting>
  <conditionalFormatting sqref="I14:I15 I21:I24 I35 I39 I58 I64 I72:I74 I79 I84:I85 I99 I139 I149 I162 I165 I169:I171">
    <cfRule type="cellIs" dxfId="4" priority="14" operator="equal">
      <formula>"N"</formula>
    </cfRule>
  </conditionalFormatting>
  <conditionalFormatting sqref="I14:I15 I21:I24 I35 I39 I58 I64 I72:I74 I79 I84:I85 I99 I139 I149 I162 I165 I169:I171">
    <cfRule type="cellIs" dxfId="5" priority="15" operator="equal">
      <formula>"N/A"</formula>
    </cfRule>
  </conditionalFormatting>
  <conditionalFormatting sqref="I14:I15 I21:I24 I35 I39 I58 I64 I72:I74 I79 I84:I85 I99 I139 I149 I162 I165 I169:I171">
    <cfRule type="cellIs" dxfId="2" priority="16" operator="equal">
      <formula>"P"</formula>
    </cfRule>
  </conditionalFormatting>
  <conditionalFormatting sqref="I114">
    <cfRule type="containsText" dxfId="2" priority="17" operator="containsText" text="부분양호">
      <formula>NOT(ISERROR(SEARCH(("부분양호"),(I114))))</formula>
    </cfRule>
  </conditionalFormatting>
  <conditionalFormatting sqref="I114">
    <cfRule type="beginsWith" dxfId="3" priority="18" operator="beginsWith" text="양호">
      <formula>LEFT((I114),LEN("양호"))=("양호")</formula>
    </cfRule>
  </conditionalFormatting>
  <conditionalFormatting sqref="I114">
    <cfRule type="cellIs" dxfId="3" priority="19" operator="equal">
      <formula>"Y"</formula>
    </cfRule>
  </conditionalFormatting>
  <conditionalFormatting sqref="I114">
    <cfRule type="cellIs" dxfId="4" priority="20" operator="equal">
      <formula>"N"</formula>
    </cfRule>
  </conditionalFormatting>
  <conditionalFormatting sqref="I114">
    <cfRule type="cellIs" dxfId="5" priority="21" operator="equal">
      <formula>"N/A"</formula>
    </cfRule>
  </conditionalFormatting>
  <conditionalFormatting sqref="I114">
    <cfRule type="cellIs" dxfId="2" priority="22" operator="equal">
      <formula>"P"</formula>
    </cfRule>
  </conditionalFormatting>
  <conditionalFormatting sqref="I121">
    <cfRule type="containsText" dxfId="2" priority="23" operator="containsText" text="부분양호">
      <formula>NOT(ISERROR(SEARCH(("부분양호"),(I121))))</formula>
    </cfRule>
  </conditionalFormatting>
  <conditionalFormatting sqref="I121">
    <cfRule type="beginsWith" dxfId="3" priority="24" operator="beginsWith" text="양호">
      <formula>LEFT((I121),LEN("양호"))=("양호")</formula>
    </cfRule>
  </conditionalFormatting>
  <conditionalFormatting sqref="I121">
    <cfRule type="cellIs" dxfId="3" priority="25" operator="equal">
      <formula>"Y"</formula>
    </cfRule>
  </conditionalFormatting>
  <conditionalFormatting sqref="I121">
    <cfRule type="cellIs" dxfId="4" priority="26" operator="equal">
      <formula>"N"</formula>
    </cfRule>
  </conditionalFormatting>
  <conditionalFormatting sqref="I121">
    <cfRule type="cellIs" dxfId="5" priority="27" operator="equal">
      <formula>"N/A"</formula>
    </cfRule>
  </conditionalFormatting>
  <conditionalFormatting sqref="I121">
    <cfRule type="cellIs" dxfId="2" priority="28" operator="equal">
      <formula>"P"</formula>
    </cfRule>
  </conditionalFormatting>
  <dataValidations>
    <dataValidation type="list" allowBlank="1" showErrorMessage="1" sqref="H5:H174">
      <formula1>"Y,P,N,N/A"</formula1>
    </dataValidation>
  </dataValidations>
  <printOptions/>
  <pageMargins bottom="0.75" footer="0.0" header="0.0" left="0.6997222304344177" right="0.6997222304344177" top="0.75"/>
  <pageSetup paperSize="9" orientation="portrait"/>
  <colBreaks count="1" manualBreakCount="1">
    <brk id="12" man="1"/>
  </colBreaks>
  <drawing r:id="rId2"/>
  <legacyDrawing r:id="rId3"/>
  <tableParts count="1">
    <tablePart r:id="rId5"/>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1" width="8.86"/>
    <col customWidth="1" min="2" max="2" width="14.86"/>
    <col customWidth="1" min="3" max="3" width="5.29"/>
    <col customWidth="1" min="4" max="4" width="42.14"/>
    <col customWidth="1" min="5" max="5" width="13.86"/>
    <col customWidth="1" min="6" max="13" width="8.86"/>
    <col customWidth="1" min="14" max="15" width="12.71"/>
    <col customWidth="1" min="16" max="16" width="8.86"/>
    <col customWidth="1" min="17" max="17" width="14.29"/>
    <col customWidth="1" min="18" max="18" width="24.0"/>
    <col customWidth="1" min="19" max="19" width="10.86"/>
    <col customWidth="1" min="20" max="30" width="8.86"/>
    <col customWidth="1" min="31" max="31" width="12.29"/>
  </cols>
  <sheetData>
    <row r="1" ht="16.5" customHeight="1">
      <c r="A1" s="11"/>
      <c r="B1" s="11"/>
      <c r="C1" s="11"/>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9.5" customHeight="1">
      <c r="A2" s="11"/>
      <c r="B2" s="60" t="s">
        <v>965</v>
      </c>
      <c r="C2" s="61" t="s">
        <v>152</v>
      </c>
      <c r="D2" s="62" t="s">
        <v>966</v>
      </c>
      <c r="E2" s="63" t="s">
        <v>967</v>
      </c>
      <c r="F2" s="64" t="s">
        <v>968</v>
      </c>
      <c r="G2" s="65"/>
      <c r="H2" s="65"/>
      <c r="I2" s="65"/>
      <c r="J2" s="66" t="s">
        <v>969</v>
      </c>
      <c r="K2" s="67"/>
      <c r="L2" s="67"/>
      <c r="M2" s="68"/>
      <c r="N2" s="69" t="s">
        <v>970</v>
      </c>
      <c r="O2" s="70" t="s">
        <v>971</v>
      </c>
      <c r="P2" s="11"/>
      <c r="Q2" s="71" t="s">
        <v>965</v>
      </c>
      <c r="R2" s="72" t="s">
        <v>970</v>
      </c>
      <c r="S2" s="73" t="s">
        <v>971</v>
      </c>
      <c r="T2" s="11"/>
      <c r="U2" s="11"/>
      <c r="V2" s="11" t="s">
        <v>972</v>
      </c>
      <c r="W2" s="11"/>
      <c r="X2" s="11"/>
      <c r="Y2" s="11"/>
      <c r="Z2" s="11"/>
      <c r="AA2" s="11"/>
      <c r="AB2" s="11"/>
      <c r="AC2" s="11"/>
      <c r="AD2" s="11"/>
      <c r="AE2" s="11"/>
    </row>
    <row r="3" ht="19.5" customHeight="1">
      <c r="A3" s="11"/>
      <c r="B3" s="74"/>
      <c r="C3" s="75"/>
      <c r="D3" s="76"/>
      <c r="E3" s="77"/>
      <c r="F3" s="78" t="s">
        <v>973</v>
      </c>
      <c r="G3" s="79" t="s">
        <v>974</v>
      </c>
      <c r="H3" s="79" t="s">
        <v>975</v>
      </c>
      <c r="I3" s="80" t="s">
        <v>976</v>
      </c>
      <c r="J3" s="81" t="s">
        <v>973</v>
      </c>
      <c r="K3" s="79" t="s">
        <v>974</v>
      </c>
      <c r="L3" s="79" t="s">
        <v>975</v>
      </c>
      <c r="M3" s="82" t="s">
        <v>976</v>
      </c>
      <c r="N3" s="83"/>
      <c r="O3" s="84"/>
      <c r="P3" s="11"/>
      <c r="Q3" s="74"/>
      <c r="R3" s="75"/>
      <c r="S3" s="85"/>
      <c r="T3" s="11"/>
      <c r="U3" s="11"/>
      <c r="V3" s="11" t="s">
        <v>977</v>
      </c>
      <c r="W3" s="11"/>
      <c r="X3" s="11"/>
      <c r="Y3" s="11"/>
      <c r="Z3" s="11"/>
      <c r="AA3" s="11"/>
      <c r="AB3" s="11"/>
      <c r="AC3" s="11"/>
      <c r="AD3" s="11"/>
      <c r="AE3" s="11"/>
    </row>
    <row r="4" ht="19.5" customHeight="1">
      <c r="A4" s="11"/>
      <c r="B4" s="86" t="s">
        <v>978</v>
      </c>
      <c r="C4" s="87" t="s">
        <v>159</v>
      </c>
      <c r="D4" s="88" t="s">
        <v>160</v>
      </c>
      <c r="E4" s="89">
        <v>5.0</v>
      </c>
      <c r="F4" s="90">
        <v>4.0</v>
      </c>
      <c r="G4" s="91">
        <v>1.0</v>
      </c>
      <c r="H4" s="91">
        <v>0.0</v>
      </c>
      <c r="I4" s="92">
        <v>0.0</v>
      </c>
      <c r="J4" s="93">
        <v>5.0</v>
      </c>
      <c r="K4" s="87">
        <v>0.0</v>
      </c>
      <c r="L4" s="87">
        <v>0.0</v>
      </c>
      <c r="M4" s="94">
        <v>0.0</v>
      </c>
      <c r="N4" s="95">
        <f>(($F$4)+($G$4/2))/($E$4-$I$4)</f>
        <v>0.9</v>
      </c>
      <c r="O4" s="96">
        <f t="shared" ref="O4:O40" si="2">((J4)+(K4/2))/(E4-M4)</f>
        <v>1</v>
      </c>
      <c r="P4" s="11"/>
      <c r="Q4" s="97" t="s">
        <v>978</v>
      </c>
      <c r="R4" s="98">
        <f t="shared" ref="R4:S4" si="1">N41</f>
        <v>0.8783783784</v>
      </c>
      <c r="S4" s="99">
        <f t="shared" si="1"/>
        <v>1</v>
      </c>
      <c r="T4" s="11"/>
      <c r="U4" s="100"/>
      <c r="V4" s="11"/>
      <c r="W4" s="11"/>
      <c r="X4" s="11"/>
      <c r="Y4" s="11"/>
      <c r="Z4" s="11"/>
      <c r="AA4" s="11"/>
      <c r="AB4" s="11"/>
      <c r="AC4" s="11"/>
      <c r="AD4" s="11"/>
      <c r="AE4" s="11"/>
    </row>
    <row r="5" ht="19.5" customHeight="1">
      <c r="A5" s="11"/>
      <c r="B5" s="101"/>
      <c r="C5" s="102">
        <v>5.2</v>
      </c>
      <c r="D5" s="103" t="s">
        <v>181</v>
      </c>
      <c r="E5" s="104">
        <v>2.0</v>
      </c>
      <c r="F5" s="105">
        <v>2.0</v>
      </c>
      <c r="G5" s="106">
        <v>0.0</v>
      </c>
      <c r="H5" s="106">
        <v>0.0</v>
      </c>
      <c r="I5" s="107">
        <v>0.0</v>
      </c>
      <c r="J5" s="108">
        <v>2.0</v>
      </c>
      <c r="K5" s="102">
        <v>0.0</v>
      </c>
      <c r="L5" s="102">
        <v>0.0</v>
      </c>
      <c r="M5" s="109">
        <v>0.0</v>
      </c>
      <c r="N5" s="110">
        <f t="shared" ref="N5:N40" si="4">((F5)+(G5/2))/(E5-I5)</f>
        <v>1</v>
      </c>
      <c r="O5" s="111">
        <f t="shared" si="2"/>
        <v>1</v>
      </c>
      <c r="P5" s="11"/>
      <c r="Q5" s="112" t="s">
        <v>495</v>
      </c>
      <c r="R5" s="113">
        <f t="shared" ref="R5:S5" si="3">N50</f>
        <v>0.6923076923</v>
      </c>
      <c r="S5" s="114">
        <f t="shared" si="3"/>
        <v>0.9230769231</v>
      </c>
      <c r="T5" s="11"/>
      <c r="U5" s="100"/>
      <c r="V5" s="11"/>
      <c r="W5" s="11"/>
      <c r="X5" s="11"/>
      <c r="Y5" s="11"/>
      <c r="Z5" s="11"/>
      <c r="AA5" s="11"/>
      <c r="AB5" s="11"/>
      <c r="AC5" s="11"/>
      <c r="AD5" s="11"/>
      <c r="AE5" s="11"/>
    </row>
    <row r="6" ht="19.5" customHeight="1">
      <c r="A6" s="11"/>
      <c r="B6" s="101"/>
      <c r="C6" s="102">
        <v>5.3</v>
      </c>
      <c r="D6" s="103" t="s">
        <v>192</v>
      </c>
      <c r="E6" s="104">
        <v>2.0</v>
      </c>
      <c r="F6" s="105">
        <v>0.0</v>
      </c>
      <c r="G6" s="106">
        <v>2.0</v>
      </c>
      <c r="H6" s="106">
        <v>0.0</v>
      </c>
      <c r="I6" s="107">
        <v>0.0</v>
      </c>
      <c r="J6" s="108">
        <v>2.0</v>
      </c>
      <c r="K6" s="102">
        <v>0.0</v>
      </c>
      <c r="L6" s="102">
        <v>0.0</v>
      </c>
      <c r="M6" s="109">
        <v>0.0</v>
      </c>
      <c r="N6" s="110">
        <f t="shared" si="4"/>
        <v>0.5</v>
      </c>
      <c r="O6" s="111">
        <f t="shared" si="2"/>
        <v>1</v>
      </c>
      <c r="P6" s="11"/>
      <c r="Q6" s="112" t="s">
        <v>565</v>
      </c>
      <c r="R6" s="113">
        <f t="shared" ref="R6:S6" si="5">N65</f>
        <v>0.7321428571</v>
      </c>
      <c r="S6" s="114">
        <f t="shared" si="5"/>
        <v>0.9821428571</v>
      </c>
      <c r="T6" s="11"/>
      <c r="U6" s="100"/>
      <c r="V6" s="11"/>
      <c r="W6" s="11"/>
      <c r="X6" s="11"/>
      <c r="Y6" s="11"/>
      <c r="Z6" s="11"/>
      <c r="AA6" s="11"/>
      <c r="AB6" s="11"/>
      <c r="AC6" s="11"/>
      <c r="AD6" s="11"/>
      <c r="AE6" s="11"/>
    </row>
    <row r="7" ht="19.5" customHeight="1">
      <c r="A7" s="11"/>
      <c r="B7" s="101"/>
      <c r="C7" s="102">
        <v>5.4</v>
      </c>
      <c r="D7" s="103" t="s">
        <v>203</v>
      </c>
      <c r="E7" s="104">
        <v>1.0</v>
      </c>
      <c r="F7" s="105">
        <v>1.0</v>
      </c>
      <c r="G7" s="106">
        <v>0.0</v>
      </c>
      <c r="H7" s="106">
        <v>0.0</v>
      </c>
      <c r="I7" s="107">
        <v>0.0</v>
      </c>
      <c r="J7" s="108">
        <v>1.0</v>
      </c>
      <c r="K7" s="102">
        <v>0.0</v>
      </c>
      <c r="L7" s="102">
        <v>0.0</v>
      </c>
      <c r="M7" s="109">
        <v>0.0</v>
      </c>
      <c r="N7" s="110">
        <f t="shared" si="4"/>
        <v>1</v>
      </c>
      <c r="O7" s="111">
        <f t="shared" si="2"/>
        <v>1</v>
      </c>
      <c r="P7" s="11"/>
      <c r="Q7" s="112" t="s">
        <v>691</v>
      </c>
      <c r="R7" s="113">
        <f t="shared" ref="R7:S7" si="6">N100</f>
        <v>0.787037037</v>
      </c>
      <c r="S7" s="114">
        <f t="shared" si="6"/>
        <v>0.9814814815</v>
      </c>
      <c r="T7" s="11"/>
      <c r="U7" s="100"/>
      <c r="V7" s="11"/>
      <c r="W7" s="11"/>
      <c r="X7" s="11"/>
      <c r="Y7" s="11"/>
      <c r="Z7" s="11"/>
      <c r="AA7" s="11"/>
      <c r="AB7" s="11"/>
      <c r="AC7" s="11"/>
      <c r="AD7" s="11"/>
      <c r="AE7" s="11"/>
    </row>
    <row r="8" ht="19.5" customHeight="1">
      <c r="A8" s="11"/>
      <c r="B8" s="101"/>
      <c r="C8" s="102">
        <v>5.5</v>
      </c>
      <c r="D8" s="103" t="s">
        <v>211</v>
      </c>
      <c r="E8" s="104">
        <v>1.0</v>
      </c>
      <c r="F8" s="105">
        <v>1.0</v>
      </c>
      <c r="G8" s="106">
        <v>0.0</v>
      </c>
      <c r="H8" s="106">
        <v>0.0</v>
      </c>
      <c r="I8" s="107">
        <v>0.0</v>
      </c>
      <c r="J8" s="108">
        <v>1.0</v>
      </c>
      <c r="K8" s="102">
        <v>0.0</v>
      </c>
      <c r="L8" s="102">
        <v>0.0</v>
      </c>
      <c r="M8" s="109">
        <v>0.0</v>
      </c>
      <c r="N8" s="110">
        <f t="shared" si="4"/>
        <v>1</v>
      </c>
      <c r="O8" s="111">
        <f t="shared" si="2"/>
        <v>1</v>
      </c>
      <c r="P8" s="11"/>
      <c r="Q8" s="115" t="s">
        <v>979</v>
      </c>
      <c r="R8" s="116">
        <f t="shared" ref="R8:S8" si="7">(R7+R6+R5+R4)/4</f>
        <v>0.7724664912</v>
      </c>
      <c r="S8" s="117">
        <f t="shared" si="7"/>
        <v>0.9716753154</v>
      </c>
      <c r="T8" s="11"/>
      <c r="U8" s="11"/>
      <c r="V8" s="11"/>
      <c r="W8" s="11"/>
      <c r="X8" s="11"/>
      <c r="Y8" s="11"/>
      <c r="Z8" s="11"/>
      <c r="AA8" s="11"/>
      <c r="AB8" s="11"/>
      <c r="AC8" s="11"/>
      <c r="AD8" s="11"/>
      <c r="AE8" s="11"/>
    </row>
    <row r="9" ht="19.5" customHeight="1">
      <c r="A9" s="11"/>
      <c r="B9" s="101"/>
      <c r="C9" s="102">
        <v>5.6</v>
      </c>
      <c r="D9" s="103" t="s">
        <v>218</v>
      </c>
      <c r="E9" s="104">
        <v>1.0</v>
      </c>
      <c r="F9" s="105">
        <v>1.0</v>
      </c>
      <c r="G9" s="106">
        <v>0.0</v>
      </c>
      <c r="H9" s="106">
        <v>0.0</v>
      </c>
      <c r="I9" s="107">
        <v>0.0</v>
      </c>
      <c r="J9" s="108">
        <v>1.0</v>
      </c>
      <c r="K9" s="102">
        <v>0.0</v>
      </c>
      <c r="L9" s="102">
        <v>0.0</v>
      </c>
      <c r="M9" s="109">
        <v>0.0</v>
      </c>
      <c r="N9" s="110">
        <f t="shared" si="4"/>
        <v>1</v>
      </c>
      <c r="O9" s="111">
        <f t="shared" si="2"/>
        <v>1</v>
      </c>
      <c r="P9" s="11"/>
      <c r="Q9" s="11"/>
      <c r="R9" s="11"/>
      <c r="S9" s="11"/>
      <c r="T9" s="11"/>
      <c r="U9" s="11"/>
      <c r="V9" s="11"/>
      <c r="W9" s="11"/>
      <c r="X9" s="11"/>
      <c r="Y9" s="11"/>
      <c r="Z9" s="11"/>
      <c r="AA9" s="11"/>
      <c r="AB9" s="11"/>
      <c r="AC9" s="11"/>
      <c r="AD9" s="11"/>
      <c r="AE9" s="11"/>
    </row>
    <row r="10" ht="19.5" customHeight="1">
      <c r="A10" s="11"/>
      <c r="B10" s="101"/>
      <c r="C10" s="102">
        <v>5.7</v>
      </c>
      <c r="D10" s="103" t="s">
        <v>223</v>
      </c>
      <c r="E10" s="104">
        <v>1.0</v>
      </c>
      <c r="F10" s="105">
        <v>0.0</v>
      </c>
      <c r="G10" s="106">
        <v>1.0</v>
      </c>
      <c r="H10" s="106">
        <v>0.0</v>
      </c>
      <c r="I10" s="107">
        <v>0.0</v>
      </c>
      <c r="J10" s="108">
        <v>1.0</v>
      </c>
      <c r="K10" s="102">
        <v>0.0</v>
      </c>
      <c r="L10" s="102">
        <v>0.0</v>
      </c>
      <c r="M10" s="109">
        <v>0.0</v>
      </c>
      <c r="N10" s="110">
        <f t="shared" si="4"/>
        <v>0.5</v>
      </c>
      <c r="O10" s="111">
        <f t="shared" si="2"/>
        <v>1</v>
      </c>
      <c r="P10" s="11"/>
      <c r="Q10" s="11"/>
      <c r="R10" s="11"/>
      <c r="S10" s="11"/>
      <c r="T10" s="11"/>
      <c r="U10" s="11"/>
      <c r="V10" s="11"/>
      <c r="W10" s="11"/>
      <c r="X10" s="11"/>
      <c r="Y10" s="11"/>
      <c r="Z10" s="11"/>
      <c r="AA10" s="11"/>
      <c r="AB10" s="11"/>
      <c r="AC10" s="11"/>
      <c r="AD10" s="11"/>
      <c r="AE10" s="11"/>
    </row>
    <row r="11" ht="19.5" customHeight="1">
      <c r="A11" s="11"/>
      <c r="B11" s="101"/>
      <c r="C11" s="102" t="s">
        <v>233</v>
      </c>
      <c r="D11" s="103" t="s">
        <v>234</v>
      </c>
      <c r="E11" s="104">
        <v>2.0</v>
      </c>
      <c r="F11" s="105">
        <v>0.0</v>
      </c>
      <c r="G11" s="106">
        <v>2.0</v>
      </c>
      <c r="H11" s="106">
        <v>0.0</v>
      </c>
      <c r="I11" s="107">
        <v>0.0</v>
      </c>
      <c r="J11" s="108">
        <v>2.0</v>
      </c>
      <c r="K11" s="102">
        <v>0.0</v>
      </c>
      <c r="L11" s="102">
        <v>0.0</v>
      </c>
      <c r="M11" s="109">
        <v>0.0</v>
      </c>
      <c r="N11" s="110">
        <f t="shared" si="4"/>
        <v>0.5</v>
      </c>
      <c r="O11" s="111">
        <f t="shared" si="2"/>
        <v>1</v>
      </c>
      <c r="P11" s="11"/>
      <c r="Q11" s="11"/>
      <c r="R11" s="11"/>
      <c r="S11" s="11"/>
      <c r="T11" s="11"/>
      <c r="U11" s="11"/>
      <c r="V11" s="11"/>
      <c r="W11" s="11"/>
      <c r="X11" s="11"/>
      <c r="Y11" s="11"/>
      <c r="Z11" s="11"/>
      <c r="AA11" s="11"/>
      <c r="AB11" s="11"/>
      <c r="AC11" s="11"/>
      <c r="AD11" s="11"/>
      <c r="AE11" s="11"/>
    </row>
    <row r="12" ht="19.5" customHeight="1">
      <c r="A12" s="11"/>
      <c r="B12" s="101"/>
      <c r="C12" s="102" t="s">
        <v>241</v>
      </c>
      <c r="D12" s="103" t="s">
        <v>242</v>
      </c>
      <c r="E12" s="104">
        <v>3.0</v>
      </c>
      <c r="F12" s="105">
        <v>2.0</v>
      </c>
      <c r="G12" s="106">
        <v>1.0</v>
      </c>
      <c r="H12" s="106">
        <v>0.0</v>
      </c>
      <c r="I12" s="107">
        <v>0.0</v>
      </c>
      <c r="J12" s="108">
        <v>3.0</v>
      </c>
      <c r="K12" s="102">
        <v>0.0</v>
      </c>
      <c r="L12" s="102">
        <v>0.0</v>
      </c>
      <c r="M12" s="109">
        <v>0.0</v>
      </c>
      <c r="N12" s="110">
        <f t="shared" si="4"/>
        <v>0.8333333333</v>
      </c>
      <c r="O12" s="111">
        <f t="shared" si="2"/>
        <v>1</v>
      </c>
      <c r="P12" s="11"/>
      <c r="Q12" s="118"/>
      <c r="R12" s="119"/>
      <c r="S12" s="119"/>
      <c r="T12" s="119"/>
      <c r="U12" s="119"/>
      <c r="V12" s="119"/>
      <c r="W12" s="119"/>
      <c r="X12" s="119"/>
      <c r="Y12" s="119"/>
      <c r="Z12" s="119"/>
      <c r="AA12" s="119"/>
      <c r="AB12" s="119"/>
      <c r="AC12" s="119"/>
      <c r="AD12" s="119"/>
      <c r="AE12" s="120"/>
    </row>
    <row r="13" ht="19.5" customHeight="1">
      <c r="A13" s="11"/>
      <c r="B13" s="101"/>
      <c r="C13" s="102" t="s">
        <v>254</v>
      </c>
      <c r="D13" s="103" t="s">
        <v>255</v>
      </c>
      <c r="E13" s="104">
        <v>2.0</v>
      </c>
      <c r="F13" s="105">
        <v>2.0</v>
      </c>
      <c r="G13" s="106">
        <v>0.0</v>
      </c>
      <c r="H13" s="106">
        <v>0.0</v>
      </c>
      <c r="I13" s="107">
        <v>0.0</v>
      </c>
      <c r="J13" s="108">
        <v>2.0</v>
      </c>
      <c r="K13" s="102">
        <v>0.0</v>
      </c>
      <c r="L13" s="102">
        <v>0.0</v>
      </c>
      <c r="M13" s="109">
        <v>0.0</v>
      </c>
      <c r="N13" s="110">
        <f t="shared" si="4"/>
        <v>1</v>
      </c>
      <c r="O13" s="111">
        <f t="shared" si="2"/>
        <v>1</v>
      </c>
      <c r="P13" s="11"/>
      <c r="Q13" s="121"/>
      <c r="AE13" s="122"/>
    </row>
    <row r="14" ht="19.5" customHeight="1">
      <c r="A14" s="11"/>
      <c r="B14" s="101"/>
      <c r="C14" s="102" t="s">
        <v>263</v>
      </c>
      <c r="D14" s="103" t="s">
        <v>264</v>
      </c>
      <c r="E14" s="104">
        <v>1.0</v>
      </c>
      <c r="F14" s="105">
        <v>1.0</v>
      </c>
      <c r="G14" s="106">
        <v>0.0</v>
      </c>
      <c r="H14" s="106">
        <v>0.0</v>
      </c>
      <c r="I14" s="107">
        <v>0.0</v>
      </c>
      <c r="J14" s="108">
        <v>1.0</v>
      </c>
      <c r="K14" s="102">
        <v>0.0</v>
      </c>
      <c r="L14" s="102">
        <v>0.0</v>
      </c>
      <c r="M14" s="109">
        <v>0.0</v>
      </c>
      <c r="N14" s="110">
        <f t="shared" si="4"/>
        <v>1</v>
      </c>
      <c r="O14" s="111">
        <f t="shared" si="2"/>
        <v>1</v>
      </c>
      <c r="P14" s="11"/>
      <c r="Q14" s="121"/>
      <c r="AE14" s="122"/>
    </row>
    <row r="15" ht="19.5" customHeight="1">
      <c r="A15" s="11"/>
      <c r="B15" s="101"/>
      <c r="C15" s="102" t="s">
        <v>270</v>
      </c>
      <c r="D15" s="103" t="s">
        <v>271</v>
      </c>
      <c r="E15" s="104">
        <v>1.0</v>
      </c>
      <c r="F15" s="105">
        <v>1.0</v>
      </c>
      <c r="G15" s="106">
        <v>0.0</v>
      </c>
      <c r="H15" s="106">
        <v>0.0</v>
      </c>
      <c r="I15" s="107">
        <v>0.0</v>
      </c>
      <c r="J15" s="108">
        <v>1.0</v>
      </c>
      <c r="K15" s="102">
        <v>0.0</v>
      </c>
      <c r="L15" s="102">
        <v>0.0</v>
      </c>
      <c r="M15" s="109">
        <v>0.0</v>
      </c>
      <c r="N15" s="110">
        <f t="shared" si="4"/>
        <v>1</v>
      </c>
      <c r="O15" s="111">
        <f t="shared" si="2"/>
        <v>1</v>
      </c>
      <c r="P15" s="11"/>
      <c r="Q15" s="121"/>
      <c r="AE15" s="122"/>
    </row>
    <row r="16" ht="19.5" customHeight="1">
      <c r="A16" s="11"/>
      <c r="B16" s="101"/>
      <c r="C16" s="102" t="s">
        <v>277</v>
      </c>
      <c r="D16" s="103" t="s">
        <v>278</v>
      </c>
      <c r="E16" s="104">
        <v>1.0</v>
      </c>
      <c r="F16" s="105">
        <v>1.0</v>
      </c>
      <c r="G16" s="106">
        <v>0.0</v>
      </c>
      <c r="H16" s="106">
        <v>0.0</v>
      </c>
      <c r="I16" s="107">
        <v>0.0</v>
      </c>
      <c r="J16" s="108">
        <v>1.0</v>
      </c>
      <c r="K16" s="102">
        <v>0.0</v>
      </c>
      <c r="L16" s="102">
        <v>0.0</v>
      </c>
      <c r="M16" s="109">
        <v>0.0</v>
      </c>
      <c r="N16" s="110">
        <f t="shared" si="4"/>
        <v>1</v>
      </c>
      <c r="O16" s="111">
        <f t="shared" si="2"/>
        <v>1</v>
      </c>
      <c r="P16" s="11"/>
      <c r="Q16" s="121"/>
      <c r="AE16" s="122"/>
    </row>
    <row r="17" ht="19.5" customHeight="1">
      <c r="A17" s="11"/>
      <c r="B17" s="101"/>
      <c r="C17" s="102" t="s">
        <v>284</v>
      </c>
      <c r="D17" s="103" t="s">
        <v>285</v>
      </c>
      <c r="E17" s="104">
        <v>3.0</v>
      </c>
      <c r="F17" s="105">
        <v>2.0</v>
      </c>
      <c r="G17" s="106">
        <v>1.0</v>
      </c>
      <c r="H17" s="106">
        <v>0.0</v>
      </c>
      <c r="I17" s="107">
        <v>0.0</v>
      </c>
      <c r="J17" s="108">
        <v>3.0</v>
      </c>
      <c r="K17" s="102">
        <v>0.0</v>
      </c>
      <c r="L17" s="102">
        <v>0.0</v>
      </c>
      <c r="M17" s="109">
        <v>0.0</v>
      </c>
      <c r="N17" s="110">
        <f t="shared" si="4"/>
        <v>0.8333333333</v>
      </c>
      <c r="O17" s="111">
        <f t="shared" si="2"/>
        <v>1</v>
      </c>
      <c r="P17" s="11"/>
      <c r="Q17" s="121"/>
      <c r="AE17" s="122"/>
    </row>
    <row r="18" ht="19.5" customHeight="1">
      <c r="A18" s="11"/>
      <c r="B18" s="101"/>
      <c r="C18" s="102" t="s">
        <v>295</v>
      </c>
      <c r="D18" s="103" t="s">
        <v>296</v>
      </c>
      <c r="E18" s="104">
        <v>6.0</v>
      </c>
      <c r="F18" s="105">
        <v>6.0</v>
      </c>
      <c r="G18" s="106">
        <v>0.0</v>
      </c>
      <c r="H18" s="106">
        <v>0.0</v>
      </c>
      <c r="I18" s="107">
        <v>0.0</v>
      </c>
      <c r="J18" s="108">
        <v>6.0</v>
      </c>
      <c r="K18" s="102">
        <v>0.0</v>
      </c>
      <c r="L18" s="102">
        <v>0.0</v>
      </c>
      <c r="M18" s="109">
        <v>0.0</v>
      </c>
      <c r="N18" s="110">
        <f t="shared" si="4"/>
        <v>1</v>
      </c>
      <c r="O18" s="111">
        <f t="shared" si="2"/>
        <v>1</v>
      </c>
      <c r="P18" s="11"/>
      <c r="Q18" s="121"/>
      <c r="AE18" s="122"/>
    </row>
    <row r="19" ht="19.5" customHeight="1">
      <c r="A19" s="11"/>
      <c r="B19" s="101"/>
      <c r="C19" s="102" t="s">
        <v>312</v>
      </c>
      <c r="D19" s="103" t="s">
        <v>313</v>
      </c>
      <c r="E19" s="104">
        <v>1.0</v>
      </c>
      <c r="F19" s="105">
        <v>1.0</v>
      </c>
      <c r="G19" s="106">
        <v>0.0</v>
      </c>
      <c r="H19" s="106">
        <v>0.0</v>
      </c>
      <c r="I19" s="107">
        <v>0.0</v>
      </c>
      <c r="J19" s="108">
        <v>1.0</v>
      </c>
      <c r="K19" s="102">
        <v>0.0</v>
      </c>
      <c r="L19" s="102">
        <v>0.0</v>
      </c>
      <c r="M19" s="109">
        <v>0.0</v>
      </c>
      <c r="N19" s="110">
        <f t="shared" si="4"/>
        <v>1</v>
      </c>
      <c r="O19" s="111">
        <f t="shared" si="2"/>
        <v>1</v>
      </c>
      <c r="P19" s="11"/>
      <c r="Q19" s="121"/>
      <c r="AE19" s="122"/>
    </row>
    <row r="20" ht="19.5" customHeight="1">
      <c r="A20" s="11"/>
      <c r="B20" s="101"/>
      <c r="C20" s="102" t="s">
        <v>319</v>
      </c>
      <c r="D20" s="103" t="s">
        <v>320</v>
      </c>
      <c r="E20" s="104">
        <v>4.0</v>
      </c>
      <c r="F20" s="105">
        <v>4.0</v>
      </c>
      <c r="G20" s="106">
        <v>0.0</v>
      </c>
      <c r="H20" s="106">
        <v>0.0</v>
      </c>
      <c r="I20" s="107">
        <v>0.0</v>
      </c>
      <c r="J20" s="108">
        <v>4.0</v>
      </c>
      <c r="K20" s="102">
        <v>0.0</v>
      </c>
      <c r="L20" s="102">
        <v>0.0</v>
      </c>
      <c r="M20" s="109">
        <v>0.0</v>
      </c>
      <c r="N20" s="110">
        <f t="shared" si="4"/>
        <v>1</v>
      </c>
      <c r="O20" s="111">
        <f t="shared" si="2"/>
        <v>1</v>
      </c>
      <c r="P20" s="11"/>
      <c r="Q20" s="121"/>
      <c r="AE20" s="122"/>
    </row>
    <row r="21" ht="19.5" customHeight="1">
      <c r="A21" s="11"/>
      <c r="B21" s="101"/>
      <c r="C21" s="102" t="s">
        <v>332</v>
      </c>
      <c r="D21" s="103" t="s">
        <v>333</v>
      </c>
      <c r="E21" s="104">
        <v>4.0</v>
      </c>
      <c r="F21" s="105">
        <v>4.0</v>
      </c>
      <c r="G21" s="106">
        <v>0.0</v>
      </c>
      <c r="H21" s="106">
        <v>0.0</v>
      </c>
      <c r="I21" s="107">
        <v>0.0</v>
      </c>
      <c r="J21" s="108">
        <v>4.0</v>
      </c>
      <c r="K21" s="102">
        <v>0.0</v>
      </c>
      <c r="L21" s="102">
        <v>0.0</v>
      </c>
      <c r="M21" s="109">
        <v>0.0</v>
      </c>
      <c r="N21" s="110">
        <f t="shared" si="4"/>
        <v>1</v>
      </c>
      <c r="O21" s="111">
        <f t="shared" si="2"/>
        <v>1</v>
      </c>
      <c r="P21" s="11"/>
      <c r="Q21" s="121"/>
      <c r="AE21" s="122"/>
    </row>
    <row r="22" ht="19.5" customHeight="1">
      <c r="A22" s="11"/>
      <c r="B22" s="101"/>
      <c r="C22" s="102" t="s">
        <v>344</v>
      </c>
      <c r="D22" s="103" t="s">
        <v>345</v>
      </c>
      <c r="E22" s="104">
        <v>1.0</v>
      </c>
      <c r="F22" s="105">
        <v>1.0</v>
      </c>
      <c r="G22" s="106">
        <v>0.0</v>
      </c>
      <c r="H22" s="106">
        <v>0.0</v>
      </c>
      <c r="I22" s="107">
        <v>0.0</v>
      </c>
      <c r="J22" s="108">
        <v>1.0</v>
      </c>
      <c r="K22" s="102">
        <v>0.0</v>
      </c>
      <c r="L22" s="102">
        <v>0.0</v>
      </c>
      <c r="M22" s="109">
        <v>0.0</v>
      </c>
      <c r="N22" s="110">
        <f t="shared" si="4"/>
        <v>1</v>
      </c>
      <c r="O22" s="111">
        <f t="shared" si="2"/>
        <v>1</v>
      </c>
      <c r="P22" s="11"/>
      <c r="Q22" s="121"/>
      <c r="AE22" s="122"/>
    </row>
    <row r="23" ht="19.5" customHeight="1">
      <c r="A23" s="11"/>
      <c r="B23" s="101"/>
      <c r="C23" s="102" t="s">
        <v>351</v>
      </c>
      <c r="D23" s="103" t="s">
        <v>352</v>
      </c>
      <c r="E23" s="104">
        <v>1.0</v>
      </c>
      <c r="F23" s="105">
        <v>1.0</v>
      </c>
      <c r="G23" s="106">
        <v>0.0</v>
      </c>
      <c r="H23" s="106">
        <v>0.0</v>
      </c>
      <c r="I23" s="107">
        <v>0.0</v>
      </c>
      <c r="J23" s="108">
        <v>1.0</v>
      </c>
      <c r="K23" s="102">
        <v>0.0</v>
      </c>
      <c r="L23" s="102">
        <v>0.0</v>
      </c>
      <c r="M23" s="109">
        <v>0.0</v>
      </c>
      <c r="N23" s="110">
        <f t="shared" si="4"/>
        <v>1</v>
      </c>
      <c r="O23" s="111">
        <f t="shared" si="2"/>
        <v>1</v>
      </c>
      <c r="P23" s="11"/>
      <c r="Q23" s="121"/>
      <c r="AE23" s="122"/>
    </row>
    <row r="24" ht="19.5" customHeight="1">
      <c r="A24" s="11"/>
      <c r="B24" s="101"/>
      <c r="C24" s="102" t="s">
        <v>357</v>
      </c>
      <c r="D24" s="103" t="s">
        <v>358</v>
      </c>
      <c r="E24" s="104">
        <v>1.0</v>
      </c>
      <c r="F24" s="105">
        <v>1.0</v>
      </c>
      <c r="G24" s="106">
        <v>0.0</v>
      </c>
      <c r="H24" s="106">
        <v>0.0</v>
      </c>
      <c r="I24" s="107">
        <v>0.0</v>
      </c>
      <c r="J24" s="108">
        <v>1.0</v>
      </c>
      <c r="K24" s="102">
        <v>0.0</v>
      </c>
      <c r="L24" s="102">
        <v>0.0</v>
      </c>
      <c r="M24" s="109">
        <v>0.0</v>
      </c>
      <c r="N24" s="110">
        <f t="shared" si="4"/>
        <v>1</v>
      </c>
      <c r="O24" s="111">
        <f t="shared" si="2"/>
        <v>1</v>
      </c>
      <c r="P24" s="11"/>
      <c r="Q24" s="121"/>
      <c r="AE24" s="122"/>
    </row>
    <row r="25" ht="19.5" customHeight="1">
      <c r="A25" s="11"/>
      <c r="B25" s="101"/>
      <c r="C25" s="102" t="s">
        <v>362</v>
      </c>
      <c r="D25" s="103" t="s">
        <v>363</v>
      </c>
      <c r="E25" s="104">
        <v>2.0</v>
      </c>
      <c r="F25" s="105">
        <v>1.0</v>
      </c>
      <c r="G25" s="106">
        <v>1.0</v>
      </c>
      <c r="H25" s="106">
        <v>0.0</v>
      </c>
      <c r="I25" s="107">
        <v>0.0</v>
      </c>
      <c r="J25" s="108">
        <v>2.0</v>
      </c>
      <c r="K25" s="102">
        <v>0.0</v>
      </c>
      <c r="L25" s="102">
        <v>0.0</v>
      </c>
      <c r="M25" s="109">
        <v>0.0</v>
      </c>
      <c r="N25" s="110">
        <f t="shared" si="4"/>
        <v>0.75</v>
      </c>
      <c r="O25" s="111">
        <f t="shared" si="2"/>
        <v>1</v>
      </c>
      <c r="P25" s="11"/>
      <c r="Q25" s="121"/>
      <c r="AE25" s="122"/>
    </row>
    <row r="26" ht="19.5" customHeight="1">
      <c r="A26" s="11"/>
      <c r="B26" s="101"/>
      <c r="C26" s="102" t="s">
        <v>371</v>
      </c>
      <c r="D26" s="103" t="s">
        <v>372</v>
      </c>
      <c r="E26" s="104">
        <v>4.0</v>
      </c>
      <c r="F26" s="105">
        <v>2.0</v>
      </c>
      <c r="G26" s="106">
        <v>1.0</v>
      </c>
      <c r="H26" s="106">
        <v>1.0</v>
      </c>
      <c r="I26" s="107">
        <v>0.0</v>
      </c>
      <c r="J26" s="108">
        <v>4.0</v>
      </c>
      <c r="K26" s="102">
        <v>0.0</v>
      </c>
      <c r="L26" s="102">
        <v>0.0</v>
      </c>
      <c r="M26" s="109">
        <v>0.0</v>
      </c>
      <c r="N26" s="110">
        <f t="shared" si="4"/>
        <v>0.625</v>
      </c>
      <c r="O26" s="111">
        <f t="shared" si="2"/>
        <v>1</v>
      </c>
      <c r="P26" s="11"/>
      <c r="Q26" s="121"/>
      <c r="AE26" s="122"/>
    </row>
    <row r="27" ht="19.5" customHeight="1">
      <c r="A27" s="11"/>
      <c r="B27" s="101"/>
      <c r="C27" s="102" t="s">
        <v>384</v>
      </c>
      <c r="D27" s="103" t="s">
        <v>385</v>
      </c>
      <c r="E27" s="104">
        <v>3.0</v>
      </c>
      <c r="F27" s="105">
        <v>3.0</v>
      </c>
      <c r="G27" s="106">
        <v>0.0</v>
      </c>
      <c r="H27" s="106">
        <v>0.0</v>
      </c>
      <c r="I27" s="107">
        <v>0.0</v>
      </c>
      <c r="J27" s="108">
        <v>3.0</v>
      </c>
      <c r="K27" s="102">
        <v>0.0</v>
      </c>
      <c r="L27" s="102">
        <v>0.0</v>
      </c>
      <c r="M27" s="109">
        <v>0.0</v>
      </c>
      <c r="N27" s="110">
        <f t="shared" si="4"/>
        <v>1</v>
      </c>
      <c r="O27" s="111">
        <f t="shared" si="2"/>
        <v>1</v>
      </c>
      <c r="P27" s="11"/>
      <c r="Q27" s="121"/>
      <c r="AE27" s="122"/>
    </row>
    <row r="28" ht="19.5" customHeight="1">
      <c r="A28" s="11"/>
      <c r="B28" s="101"/>
      <c r="C28" s="102" t="s">
        <v>395</v>
      </c>
      <c r="D28" s="103" t="s">
        <v>396</v>
      </c>
      <c r="E28" s="104">
        <v>1.0</v>
      </c>
      <c r="F28" s="105">
        <v>0.0</v>
      </c>
      <c r="G28" s="106">
        <v>1.0</v>
      </c>
      <c r="H28" s="106">
        <v>0.0</v>
      </c>
      <c r="I28" s="107">
        <v>0.0</v>
      </c>
      <c r="J28" s="108">
        <v>1.0</v>
      </c>
      <c r="K28" s="102">
        <v>0.0</v>
      </c>
      <c r="L28" s="102">
        <v>0.0</v>
      </c>
      <c r="M28" s="109">
        <v>0.0</v>
      </c>
      <c r="N28" s="110">
        <f t="shared" si="4"/>
        <v>0.5</v>
      </c>
      <c r="O28" s="111">
        <f t="shared" si="2"/>
        <v>1</v>
      </c>
      <c r="P28" s="11"/>
      <c r="Q28" s="121"/>
      <c r="AE28" s="122"/>
    </row>
    <row r="29" ht="19.5" customHeight="1">
      <c r="A29" s="11"/>
      <c r="B29" s="101"/>
      <c r="C29" s="102" t="s">
        <v>402</v>
      </c>
      <c r="D29" s="103" t="s">
        <v>403</v>
      </c>
      <c r="E29" s="104">
        <v>1.0</v>
      </c>
      <c r="F29" s="105">
        <v>1.0</v>
      </c>
      <c r="G29" s="106">
        <v>0.0</v>
      </c>
      <c r="H29" s="106">
        <v>0.0</v>
      </c>
      <c r="I29" s="107">
        <v>0.0</v>
      </c>
      <c r="J29" s="108">
        <v>1.0</v>
      </c>
      <c r="K29" s="102">
        <v>0.0</v>
      </c>
      <c r="L29" s="102">
        <v>0.0</v>
      </c>
      <c r="M29" s="109">
        <v>0.0</v>
      </c>
      <c r="N29" s="110">
        <f t="shared" si="4"/>
        <v>1</v>
      </c>
      <c r="O29" s="111">
        <f t="shared" si="2"/>
        <v>1</v>
      </c>
      <c r="P29" s="11"/>
      <c r="Q29" s="121"/>
      <c r="AE29" s="122"/>
    </row>
    <row r="30" ht="19.5" customHeight="1">
      <c r="A30" s="11"/>
      <c r="B30" s="101"/>
      <c r="C30" s="102" t="s">
        <v>408</v>
      </c>
      <c r="D30" s="103" t="s">
        <v>409</v>
      </c>
      <c r="E30" s="104">
        <v>3.0</v>
      </c>
      <c r="F30" s="105">
        <v>1.0</v>
      </c>
      <c r="G30" s="106">
        <v>2.0</v>
      </c>
      <c r="H30" s="106">
        <v>0.0</v>
      </c>
      <c r="I30" s="107">
        <v>0.0</v>
      </c>
      <c r="J30" s="108">
        <v>3.0</v>
      </c>
      <c r="K30" s="102">
        <v>0.0</v>
      </c>
      <c r="L30" s="102">
        <v>0.0</v>
      </c>
      <c r="M30" s="109">
        <v>0.0</v>
      </c>
      <c r="N30" s="110">
        <f t="shared" si="4"/>
        <v>0.6666666667</v>
      </c>
      <c r="O30" s="111">
        <f t="shared" si="2"/>
        <v>1</v>
      </c>
      <c r="P30" s="11"/>
      <c r="Q30" s="121"/>
      <c r="AE30" s="122"/>
    </row>
    <row r="31" ht="19.5" customHeight="1">
      <c r="A31" s="11"/>
      <c r="B31" s="101"/>
      <c r="C31" s="102" t="s">
        <v>418</v>
      </c>
      <c r="D31" s="103" t="s">
        <v>419</v>
      </c>
      <c r="E31" s="104">
        <v>2.0</v>
      </c>
      <c r="F31" s="105">
        <v>1.0</v>
      </c>
      <c r="G31" s="106">
        <v>1.0</v>
      </c>
      <c r="H31" s="106">
        <v>0.0</v>
      </c>
      <c r="I31" s="107">
        <v>0.0</v>
      </c>
      <c r="J31" s="108">
        <v>2.0</v>
      </c>
      <c r="K31" s="102">
        <v>0.0</v>
      </c>
      <c r="L31" s="102">
        <v>0.0</v>
      </c>
      <c r="M31" s="109">
        <v>0.0</v>
      </c>
      <c r="N31" s="110">
        <f t="shared" si="4"/>
        <v>0.75</v>
      </c>
      <c r="O31" s="111">
        <f t="shared" si="2"/>
        <v>1</v>
      </c>
      <c r="P31" s="11"/>
      <c r="Q31" s="121"/>
      <c r="AE31" s="122"/>
    </row>
    <row r="32" ht="19.5" customHeight="1">
      <c r="A32" s="11"/>
      <c r="B32" s="101"/>
      <c r="C32" s="102" t="s">
        <v>426</v>
      </c>
      <c r="D32" s="103" t="s">
        <v>427</v>
      </c>
      <c r="E32" s="104">
        <v>3.0</v>
      </c>
      <c r="F32" s="105">
        <v>3.0</v>
      </c>
      <c r="G32" s="106">
        <v>0.0</v>
      </c>
      <c r="H32" s="106">
        <v>0.0</v>
      </c>
      <c r="I32" s="107">
        <v>0.0</v>
      </c>
      <c r="J32" s="108">
        <v>3.0</v>
      </c>
      <c r="K32" s="102">
        <v>0.0</v>
      </c>
      <c r="L32" s="102">
        <v>0.0</v>
      </c>
      <c r="M32" s="109">
        <v>0.0</v>
      </c>
      <c r="N32" s="110">
        <f t="shared" si="4"/>
        <v>1</v>
      </c>
      <c r="O32" s="111">
        <f t="shared" si="2"/>
        <v>1</v>
      </c>
      <c r="P32" s="11"/>
      <c r="Q32" s="121"/>
      <c r="AE32" s="122"/>
    </row>
    <row r="33" ht="19.5" customHeight="1">
      <c r="A33" s="11"/>
      <c r="B33" s="101"/>
      <c r="C33" s="102" t="s">
        <v>437</v>
      </c>
      <c r="D33" s="103" t="s">
        <v>438</v>
      </c>
      <c r="E33" s="104">
        <v>3.0</v>
      </c>
      <c r="F33" s="105">
        <v>3.0</v>
      </c>
      <c r="G33" s="106">
        <v>0.0</v>
      </c>
      <c r="H33" s="106">
        <v>0.0</v>
      </c>
      <c r="I33" s="107">
        <v>0.0</v>
      </c>
      <c r="J33" s="108">
        <v>3.0</v>
      </c>
      <c r="K33" s="102">
        <v>0.0</v>
      </c>
      <c r="L33" s="102">
        <v>0.0</v>
      </c>
      <c r="M33" s="109">
        <v>0.0</v>
      </c>
      <c r="N33" s="110">
        <f t="shared" si="4"/>
        <v>1</v>
      </c>
      <c r="O33" s="111">
        <f t="shared" si="2"/>
        <v>1</v>
      </c>
      <c r="P33" s="11"/>
      <c r="Q33" s="121"/>
      <c r="AE33" s="122"/>
    </row>
    <row r="34" ht="19.5" customHeight="1">
      <c r="A34" s="11"/>
      <c r="B34" s="101"/>
      <c r="C34" s="102" t="s">
        <v>448</v>
      </c>
      <c r="D34" s="103" t="s">
        <v>449</v>
      </c>
      <c r="E34" s="104">
        <v>1.0</v>
      </c>
      <c r="F34" s="105">
        <v>1.0</v>
      </c>
      <c r="G34" s="106">
        <v>0.0</v>
      </c>
      <c r="H34" s="106">
        <v>0.0</v>
      </c>
      <c r="I34" s="107">
        <v>0.0</v>
      </c>
      <c r="J34" s="108">
        <v>1.0</v>
      </c>
      <c r="K34" s="102">
        <v>0.0</v>
      </c>
      <c r="L34" s="102">
        <v>0.0</v>
      </c>
      <c r="M34" s="109">
        <v>0.0</v>
      </c>
      <c r="N34" s="110">
        <f t="shared" si="4"/>
        <v>1</v>
      </c>
      <c r="O34" s="111">
        <f t="shared" si="2"/>
        <v>1</v>
      </c>
      <c r="P34" s="11"/>
      <c r="Q34" s="121"/>
      <c r="AE34" s="122"/>
    </row>
    <row r="35" ht="19.5" customHeight="1">
      <c r="A35" s="11"/>
      <c r="B35" s="101"/>
      <c r="C35" s="102" t="s">
        <v>454</v>
      </c>
      <c r="D35" s="103" t="s">
        <v>455</v>
      </c>
      <c r="E35" s="104">
        <v>1.0</v>
      </c>
      <c r="F35" s="105">
        <v>1.0</v>
      </c>
      <c r="G35" s="106">
        <v>0.0</v>
      </c>
      <c r="H35" s="106">
        <v>0.0</v>
      </c>
      <c r="I35" s="107">
        <v>0.0</v>
      </c>
      <c r="J35" s="108">
        <v>1.0</v>
      </c>
      <c r="K35" s="102">
        <v>0.0</v>
      </c>
      <c r="L35" s="102">
        <v>0.0</v>
      </c>
      <c r="M35" s="109">
        <v>0.0</v>
      </c>
      <c r="N35" s="110">
        <f t="shared" si="4"/>
        <v>1</v>
      </c>
      <c r="O35" s="111">
        <f t="shared" si="2"/>
        <v>1</v>
      </c>
      <c r="P35" s="11"/>
      <c r="Q35" s="121"/>
      <c r="AE35" s="122"/>
    </row>
    <row r="36" ht="19.5" customHeight="1">
      <c r="A36" s="11"/>
      <c r="B36" s="101"/>
      <c r="C36" s="102" t="s">
        <v>461</v>
      </c>
      <c r="D36" s="103" t="s">
        <v>462</v>
      </c>
      <c r="E36" s="104">
        <v>1.0</v>
      </c>
      <c r="F36" s="105">
        <v>0.0</v>
      </c>
      <c r="G36" s="106">
        <v>1.0</v>
      </c>
      <c r="H36" s="106">
        <v>0.0</v>
      </c>
      <c r="I36" s="107">
        <v>0.0</v>
      </c>
      <c r="J36" s="108">
        <v>1.0</v>
      </c>
      <c r="K36" s="102">
        <v>0.0</v>
      </c>
      <c r="L36" s="102">
        <v>0.0</v>
      </c>
      <c r="M36" s="109">
        <v>0.0</v>
      </c>
      <c r="N36" s="110">
        <f t="shared" si="4"/>
        <v>0.5</v>
      </c>
      <c r="O36" s="111">
        <f t="shared" si="2"/>
        <v>1</v>
      </c>
      <c r="P36" s="11"/>
      <c r="Q36" s="121"/>
      <c r="AE36" s="122"/>
    </row>
    <row r="37" ht="19.5" customHeight="1">
      <c r="A37" s="11"/>
      <c r="B37" s="101"/>
      <c r="C37" s="102" t="s">
        <v>467</v>
      </c>
      <c r="D37" s="103" t="s">
        <v>468</v>
      </c>
      <c r="E37" s="104">
        <v>1.0</v>
      </c>
      <c r="F37" s="105">
        <v>1.0</v>
      </c>
      <c r="G37" s="106">
        <v>0.0</v>
      </c>
      <c r="H37" s="106">
        <v>0.0</v>
      </c>
      <c r="I37" s="107">
        <v>0.0</v>
      </c>
      <c r="J37" s="108">
        <v>1.0</v>
      </c>
      <c r="K37" s="102">
        <v>0.0</v>
      </c>
      <c r="L37" s="102">
        <v>0.0</v>
      </c>
      <c r="M37" s="109">
        <v>0.0</v>
      </c>
      <c r="N37" s="110">
        <f t="shared" si="4"/>
        <v>1</v>
      </c>
      <c r="O37" s="111">
        <f t="shared" si="2"/>
        <v>1</v>
      </c>
      <c r="P37" s="11"/>
      <c r="Q37" s="121"/>
      <c r="AE37" s="122"/>
    </row>
    <row r="38" ht="19.5" customHeight="1">
      <c r="A38" s="11"/>
      <c r="B38" s="101"/>
      <c r="C38" s="102" t="s">
        <v>473</v>
      </c>
      <c r="D38" s="103" t="s">
        <v>474</v>
      </c>
      <c r="E38" s="104">
        <v>1.0</v>
      </c>
      <c r="F38" s="105">
        <v>1.0</v>
      </c>
      <c r="G38" s="106">
        <v>0.0</v>
      </c>
      <c r="H38" s="106">
        <v>0.0</v>
      </c>
      <c r="I38" s="107">
        <v>0.0</v>
      </c>
      <c r="J38" s="108">
        <v>1.0</v>
      </c>
      <c r="K38" s="102">
        <v>0.0</v>
      </c>
      <c r="L38" s="102">
        <v>0.0</v>
      </c>
      <c r="M38" s="109">
        <v>0.0</v>
      </c>
      <c r="N38" s="110">
        <f t="shared" si="4"/>
        <v>1</v>
      </c>
      <c r="O38" s="111">
        <f t="shared" si="2"/>
        <v>1</v>
      </c>
      <c r="P38" s="11"/>
      <c r="Q38" s="121"/>
      <c r="AE38" s="122"/>
    </row>
    <row r="39" ht="19.5" customHeight="1">
      <c r="A39" s="11"/>
      <c r="B39" s="101"/>
      <c r="C39" s="102" t="s">
        <v>480</v>
      </c>
      <c r="D39" s="103" t="s">
        <v>481</v>
      </c>
      <c r="E39" s="104">
        <v>2.0</v>
      </c>
      <c r="F39" s="105">
        <v>1.0</v>
      </c>
      <c r="G39" s="106">
        <v>1.0</v>
      </c>
      <c r="H39" s="106">
        <v>0.0</v>
      </c>
      <c r="I39" s="107">
        <v>0.0</v>
      </c>
      <c r="J39" s="108">
        <v>2.0</v>
      </c>
      <c r="K39" s="102">
        <v>0.0</v>
      </c>
      <c r="L39" s="102">
        <v>0.0</v>
      </c>
      <c r="M39" s="109">
        <v>0.0</v>
      </c>
      <c r="N39" s="110">
        <f t="shared" si="4"/>
        <v>0.75</v>
      </c>
      <c r="O39" s="111">
        <f t="shared" si="2"/>
        <v>1</v>
      </c>
      <c r="P39" s="11"/>
      <c r="Q39" s="123"/>
      <c r="R39" s="124"/>
      <c r="S39" s="124"/>
      <c r="T39" s="124"/>
      <c r="U39" s="124"/>
      <c r="V39" s="124"/>
      <c r="W39" s="124"/>
      <c r="X39" s="124"/>
      <c r="Y39" s="124"/>
      <c r="Z39" s="124"/>
      <c r="AA39" s="124"/>
      <c r="AB39" s="124"/>
      <c r="AC39" s="124"/>
      <c r="AD39" s="124"/>
      <c r="AE39" s="125"/>
    </row>
    <row r="40" ht="19.5" customHeight="1">
      <c r="A40" s="11"/>
      <c r="B40" s="101"/>
      <c r="C40" s="126" t="s">
        <v>489</v>
      </c>
      <c r="D40" s="127" t="s">
        <v>490</v>
      </c>
      <c r="E40" s="128">
        <v>1.0</v>
      </c>
      <c r="F40" s="129">
        <v>1.0</v>
      </c>
      <c r="G40" s="130">
        <v>0.0</v>
      </c>
      <c r="H40" s="130">
        <v>0.0</v>
      </c>
      <c r="I40" s="131">
        <v>0.0</v>
      </c>
      <c r="J40" s="132">
        <v>1.0</v>
      </c>
      <c r="K40" s="102">
        <v>0.0</v>
      </c>
      <c r="L40" s="102">
        <v>0.0</v>
      </c>
      <c r="M40" s="109">
        <v>0.0</v>
      </c>
      <c r="N40" s="133">
        <f t="shared" si="4"/>
        <v>1</v>
      </c>
      <c r="O40" s="134">
        <f t="shared" si="2"/>
        <v>1</v>
      </c>
      <c r="P40" s="11"/>
      <c r="Q40" s="11"/>
      <c r="R40" s="11"/>
      <c r="S40" s="11"/>
      <c r="T40" s="11"/>
      <c r="U40" s="11"/>
      <c r="V40" s="11"/>
      <c r="W40" s="11"/>
      <c r="X40" s="11"/>
      <c r="Y40" s="11"/>
      <c r="Z40" s="11"/>
      <c r="AA40" s="11"/>
      <c r="AB40" s="11"/>
      <c r="AC40" s="11"/>
      <c r="AD40" s="11"/>
      <c r="AE40" s="11"/>
    </row>
    <row r="41" ht="22.5" customHeight="1">
      <c r="A41" s="135"/>
      <c r="B41" s="136" t="s">
        <v>980</v>
      </c>
      <c r="C41" s="137"/>
      <c r="D41" s="138"/>
      <c r="E41" s="139">
        <f t="shared" ref="E41:M41" si="8">SUM(E4:E40)</f>
        <v>74</v>
      </c>
      <c r="F41" s="139">
        <f t="shared" si="8"/>
        <v>57</v>
      </c>
      <c r="G41" s="139">
        <f t="shared" si="8"/>
        <v>16</v>
      </c>
      <c r="H41" s="139">
        <f t="shared" si="8"/>
        <v>1</v>
      </c>
      <c r="I41" s="140">
        <f t="shared" si="8"/>
        <v>0</v>
      </c>
      <c r="J41" s="141">
        <f t="shared" si="8"/>
        <v>74</v>
      </c>
      <c r="K41" s="139">
        <f t="shared" si="8"/>
        <v>0</v>
      </c>
      <c r="L41" s="139">
        <f t="shared" si="8"/>
        <v>0</v>
      </c>
      <c r="M41" s="142">
        <f t="shared" si="8"/>
        <v>0</v>
      </c>
      <c r="N41" s="143">
        <f>(($F$41)+($G$41/2))/($E$41-$I$41)</f>
        <v>0.8783783784</v>
      </c>
      <c r="O41" s="144">
        <f>(($J$41)+($K$41/2))/($E$41-$M$41)</f>
        <v>1</v>
      </c>
      <c r="P41" s="135"/>
      <c r="Q41" s="135"/>
      <c r="R41" s="135"/>
      <c r="S41" s="135"/>
      <c r="T41" s="135"/>
      <c r="U41" s="135"/>
      <c r="V41" s="135"/>
      <c r="W41" s="135"/>
      <c r="X41" s="135"/>
      <c r="Y41" s="135"/>
      <c r="Z41" s="135"/>
      <c r="AA41" s="135"/>
      <c r="AB41" s="135"/>
      <c r="AC41" s="135"/>
      <c r="AD41" s="135"/>
      <c r="AE41" s="135"/>
    </row>
    <row r="42" ht="19.5" customHeight="1">
      <c r="A42" s="11"/>
      <c r="B42" s="86" t="s">
        <v>495</v>
      </c>
      <c r="C42" s="145">
        <v>6.1</v>
      </c>
      <c r="D42" s="146" t="s">
        <v>497</v>
      </c>
      <c r="E42" s="89">
        <v>2.0</v>
      </c>
      <c r="F42" s="90">
        <v>1.0</v>
      </c>
      <c r="G42" s="91">
        <v>1.0</v>
      </c>
      <c r="H42" s="91">
        <v>0.0</v>
      </c>
      <c r="I42" s="92">
        <v>0.0</v>
      </c>
      <c r="J42" s="93">
        <v>2.0</v>
      </c>
      <c r="K42" s="87">
        <v>0.0</v>
      </c>
      <c r="L42" s="87">
        <v>0.0</v>
      </c>
      <c r="M42" s="94">
        <v>0.0</v>
      </c>
      <c r="N42" s="95">
        <f t="shared" ref="N42:N49" si="9">((F42)+(G42/2))/(E42-I42)</f>
        <v>0.75</v>
      </c>
      <c r="O42" s="96">
        <f t="shared" ref="O42:O49" si="10">((J42)+(K42/2))/(E42-M42)</f>
        <v>1</v>
      </c>
      <c r="P42" s="11"/>
      <c r="Q42" s="11"/>
      <c r="R42" s="11"/>
      <c r="S42" s="11"/>
      <c r="T42" s="11"/>
      <c r="U42" s="11"/>
      <c r="V42" s="11"/>
      <c r="W42" s="11"/>
      <c r="X42" s="11"/>
      <c r="Y42" s="11"/>
      <c r="Z42" s="11"/>
      <c r="AA42" s="11"/>
      <c r="AB42" s="11"/>
      <c r="AC42" s="11"/>
      <c r="AD42" s="11"/>
      <c r="AE42" s="11"/>
    </row>
    <row r="43" ht="19.5" customHeight="1">
      <c r="A43" s="11"/>
      <c r="B43" s="101"/>
      <c r="C43" s="147">
        <v>6.2</v>
      </c>
      <c r="D43" s="148" t="s">
        <v>506</v>
      </c>
      <c r="E43" s="104">
        <v>1.0</v>
      </c>
      <c r="F43" s="105">
        <v>0.0</v>
      </c>
      <c r="G43" s="106">
        <v>1.0</v>
      </c>
      <c r="H43" s="106">
        <v>0.0</v>
      </c>
      <c r="I43" s="107">
        <v>0.0</v>
      </c>
      <c r="J43" s="108">
        <v>1.0</v>
      </c>
      <c r="K43" s="102">
        <v>0.0</v>
      </c>
      <c r="L43" s="102">
        <v>0.0</v>
      </c>
      <c r="M43" s="109">
        <v>0.0</v>
      </c>
      <c r="N43" s="110">
        <f t="shared" si="9"/>
        <v>0.5</v>
      </c>
      <c r="O43" s="111">
        <f t="shared" si="10"/>
        <v>1</v>
      </c>
      <c r="P43" s="11"/>
      <c r="Q43" s="11"/>
      <c r="R43" s="11"/>
      <c r="S43" s="11"/>
      <c r="T43" s="11"/>
      <c r="U43" s="11"/>
      <c r="V43" s="11"/>
      <c r="W43" s="11"/>
      <c r="X43" s="11"/>
      <c r="Y43" s="11"/>
      <c r="Z43" s="11"/>
      <c r="AA43" s="11"/>
      <c r="AB43" s="11"/>
      <c r="AC43" s="11"/>
      <c r="AD43" s="11"/>
      <c r="AE43" s="11"/>
    </row>
    <row r="44" ht="19.5" customHeight="1">
      <c r="A44" s="11"/>
      <c r="B44" s="101"/>
      <c r="C44" s="147" t="s">
        <v>512</v>
      </c>
      <c r="D44" s="148" t="s">
        <v>513</v>
      </c>
      <c r="E44" s="104">
        <v>4.0</v>
      </c>
      <c r="F44" s="105">
        <v>1.0</v>
      </c>
      <c r="G44" s="106">
        <v>2.0</v>
      </c>
      <c r="H44" s="106">
        <v>1.0</v>
      </c>
      <c r="I44" s="107">
        <v>0.0</v>
      </c>
      <c r="J44" s="108">
        <v>2.0</v>
      </c>
      <c r="K44" s="102">
        <v>2.0</v>
      </c>
      <c r="L44" s="102">
        <v>0.0</v>
      </c>
      <c r="M44" s="109">
        <v>0.0</v>
      </c>
      <c r="N44" s="110">
        <f t="shared" si="9"/>
        <v>0.5</v>
      </c>
      <c r="O44" s="111">
        <f t="shared" si="10"/>
        <v>0.75</v>
      </c>
      <c r="P44" s="11"/>
      <c r="Q44" s="11"/>
      <c r="R44" s="11"/>
      <c r="S44" s="11"/>
      <c r="T44" s="11"/>
      <c r="U44" s="11"/>
      <c r="V44" s="11"/>
      <c r="W44" s="11"/>
      <c r="X44" s="11"/>
      <c r="Y44" s="11"/>
      <c r="Z44" s="11"/>
      <c r="AA44" s="11"/>
      <c r="AB44" s="11"/>
      <c r="AC44" s="11"/>
      <c r="AD44" s="11"/>
      <c r="AE44" s="11"/>
    </row>
    <row r="45" ht="19.5" customHeight="1">
      <c r="A45" s="11"/>
      <c r="B45" s="101"/>
      <c r="C45" s="147" t="s">
        <v>528</v>
      </c>
      <c r="D45" s="148" t="s">
        <v>529</v>
      </c>
      <c r="E45" s="104">
        <v>1.0</v>
      </c>
      <c r="F45" s="105">
        <v>1.0</v>
      </c>
      <c r="G45" s="106">
        <v>0.0</v>
      </c>
      <c r="H45" s="106">
        <v>0.0</v>
      </c>
      <c r="I45" s="107">
        <v>0.0</v>
      </c>
      <c r="J45" s="108">
        <v>1.0</v>
      </c>
      <c r="K45" s="102">
        <v>0.0</v>
      </c>
      <c r="L45" s="102">
        <v>0.0</v>
      </c>
      <c r="M45" s="109">
        <v>0.0</v>
      </c>
      <c r="N45" s="110">
        <f t="shared" si="9"/>
        <v>1</v>
      </c>
      <c r="O45" s="111">
        <f t="shared" si="10"/>
        <v>1</v>
      </c>
      <c r="P45" s="11"/>
      <c r="Q45" s="11"/>
      <c r="R45" s="11"/>
      <c r="S45" s="11"/>
      <c r="T45" s="11"/>
      <c r="U45" s="11"/>
      <c r="V45" s="11"/>
      <c r="W45" s="11"/>
      <c r="X45" s="11"/>
      <c r="Y45" s="11"/>
      <c r="Z45" s="11"/>
      <c r="AA45" s="11"/>
      <c r="AB45" s="11"/>
      <c r="AC45" s="11"/>
      <c r="AD45" s="11"/>
      <c r="AE45" s="11"/>
    </row>
    <row r="46" ht="19.5" customHeight="1">
      <c r="A46" s="11"/>
      <c r="B46" s="101"/>
      <c r="C46" s="147" t="s">
        <v>534</v>
      </c>
      <c r="D46" s="148" t="s">
        <v>535</v>
      </c>
      <c r="E46" s="104">
        <v>1.0</v>
      </c>
      <c r="F46" s="105">
        <v>1.0</v>
      </c>
      <c r="G46" s="106">
        <v>0.0</v>
      </c>
      <c r="H46" s="106">
        <v>0.0</v>
      </c>
      <c r="I46" s="107">
        <v>0.0</v>
      </c>
      <c r="J46" s="108">
        <v>1.0</v>
      </c>
      <c r="K46" s="102">
        <v>0.0</v>
      </c>
      <c r="L46" s="102">
        <v>0.0</v>
      </c>
      <c r="M46" s="109">
        <v>0.0</v>
      </c>
      <c r="N46" s="110">
        <f t="shared" si="9"/>
        <v>1</v>
      </c>
      <c r="O46" s="111">
        <f t="shared" si="10"/>
        <v>1</v>
      </c>
      <c r="P46" s="11"/>
      <c r="Q46" s="11"/>
      <c r="R46" s="11"/>
      <c r="S46" s="11"/>
      <c r="T46" s="11"/>
      <c r="U46" s="11"/>
      <c r="V46" s="11"/>
      <c r="W46" s="11"/>
      <c r="X46" s="11"/>
      <c r="Y46" s="11"/>
      <c r="Z46" s="11"/>
      <c r="AA46" s="11"/>
      <c r="AB46" s="11"/>
      <c r="AC46" s="11"/>
      <c r="AD46" s="11"/>
      <c r="AE46" s="11"/>
    </row>
    <row r="47" ht="19.5" customHeight="1">
      <c r="A47" s="11"/>
      <c r="B47" s="101"/>
      <c r="C47" s="147" t="s">
        <v>541</v>
      </c>
      <c r="D47" s="148" t="s">
        <v>542</v>
      </c>
      <c r="E47" s="104">
        <v>1.0</v>
      </c>
      <c r="F47" s="105">
        <v>0.0</v>
      </c>
      <c r="G47" s="106">
        <v>1.0</v>
      </c>
      <c r="H47" s="106">
        <v>0.0</v>
      </c>
      <c r="I47" s="107">
        <v>0.0</v>
      </c>
      <c r="J47" s="108">
        <v>1.0</v>
      </c>
      <c r="K47" s="102">
        <v>0.0</v>
      </c>
      <c r="L47" s="102">
        <v>0.0</v>
      </c>
      <c r="M47" s="109">
        <v>0.0</v>
      </c>
      <c r="N47" s="110">
        <f t="shared" si="9"/>
        <v>0.5</v>
      </c>
      <c r="O47" s="111">
        <f t="shared" si="10"/>
        <v>1</v>
      </c>
      <c r="P47" s="11"/>
      <c r="Q47" s="11"/>
      <c r="R47" s="11"/>
      <c r="S47" s="11"/>
      <c r="T47" s="11"/>
      <c r="U47" s="11"/>
      <c r="V47" s="11"/>
      <c r="W47" s="11"/>
      <c r="X47" s="11"/>
      <c r="Y47" s="11"/>
      <c r="Z47" s="11"/>
      <c r="AA47" s="11"/>
      <c r="AB47" s="11"/>
      <c r="AC47" s="11"/>
      <c r="AD47" s="11"/>
      <c r="AE47" s="11"/>
    </row>
    <row r="48" ht="19.5" customHeight="1">
      <c r="A48" s="11"/>
      <c r="B48" s="101"/>
      <c r="C48" s="147" t="s">
        <v>547</v>
      </c>
      <c r="D48" s="148" t="s">
        <v>548</v>
      </c>
      <c r="E48" s="104">
        <v>1.0</v>
      </c>
      <c r="F48" s="105">
        <v>1.0</v>
      </c>
      <c r="G48" s="106">
        <v>0.0</v>
      </c>
      <c r="H48" s="106">
        <v>0.0</v>
      </c>
      <c r="I48" s="107">
        <v>0.0</v>
      </c>
      <c r="J48" s="108">
        <v>1.0</v>
      </c>
      <c r="K48" s="102">
        <v>0.0</v>
      </c>
      <c r="L48" s="102">
        <v>0.0</v>
      </c>
      <c r="M48" s="109">
        <v>0.0</v>
      </c>
      <c r="N48" s="110">
        <f t="shared" si="9"/>
        <v>1</v>
      </c>
      <c r="O48" s="111">
        <f t="shared" si="10"/>
        <v>1</v>
      </c>
      <c r="P48" s="11"/>
      <c r="Q48" s="11"/>
      <c r="R48" s="11"/>
      <c r="S48" s="11"/>
      <c r="T48" s="11"/>
      <c r="U48" s="11"/>
      <c r="V48" s="11"/>
      <c r="W48" s="11"/>
      <c r="X48" s="11"/>
      <c r="Y48" s="11"/>
      <c r="Z48" s="11"/>
      <c r="AA48" s="11"/>
      <c r="AB48" s="11"/>
      <c r="AC48" s="11"/>
      <c r="AD48" s="11"/>
      <c r="AE48" s="11"/>
    </row>
    <row r="49" ht="19.5" customHeight="1">
      <c r="A49" s="11"/>
      <c r="B49" s="101"/>
      <c r="C49" s="149" t="s">
        <v>554</v>
      </c>
      <c r="D49" s="150" t="s">
        <v>555</v>
      </c>
      <c r="E49" s="128">
        <v>2.0</v>
      </c>
      <c r="F49" s="129">
        <v>1.0</v>
      </c>
      <c r="G49" s="130">
        <v>1.0</v>
      </c>
      <c r="H49" s="130">
        <v>0.0</v>
      </c>
      <c r="I49" s="131">
        <v>0.0</v>
      </c>
      <c r="J49" s="132">
        <v>2.0</v>
      </c>
      <c r="K49" s="126">
        <v>0.0</v>
      </c>
      <c r="L49" s="126">
        <v>0.0</v>
      </c>
      <c r="M49" s="151">
        <v>0.0</v>
      </c>
      <c r="N49" s="133">
        <f t="shared" si="9"/>
        <v>0.75</v>
      </c>
      <c r="O49" s="134">
        <f t="shared" si="10"/>
        <v>1</v>
      </c>
      <c r="P49" s="11"/>
      <c r="Q49" s="11"/>
      <c r="R49" s="11"/>
      <c r="S49" s="11"/>
      <c r="T49" s="11"/>
      <c r="U49" s="11"/>
      <c r="V49" s="11"/>
      <c r="W49" s="11"/>
      <c r="X49" s="11"/>
      <c r="Y49" s="11"/>
      <c r="Z49" s="11"/>
      <c r="AA49" s="11"/>
      <c r="AB49" s="11"/>
      <c r="AC49" s="11"/>
      <c r="AD49" s="11"/>
      <c r="AE49" s="11"/>
    </row>
    <row r="50" ht="22.5" customHeight="1">
      <c r="A50" s="135"/>
      <c r="B50" s="136" t="s">
        <v>980</v>
      </c>
      <c r="C50" s="137"/>
      <c r="D50" s="138"/>
      <c r="E50" s="139">
        <f t="shared" ref="E50:M50" si="11">SUM(E42:E49)</f>
        <v>13</v>
      </c>
      <c r="F50" s="139">
        <f t="shared" si="11"/>
        <v>6</v>
      </c>
      <c r="G50" s="139">
        <f t="shared" si="11"/>
        <v>6</v>
      </c>
      <c r="H50" s="139">
        <f t="shared" si="11"/>
        <v>1</v>
      </c>
      <c r="I50" s="140">
        <f t="shared" si="11"/>
        <v>0</v>
      </c>
      <c r="J50" s="141">
        <f t="shared" si="11"/>
        <v>11</v>
      </c>
      <c r="K50" s="139">
        <f t="shared" si="11"/>
        <v>2</v>
      </c>
      <c r="L50" s="139">
        <f t="shared" si="11"/>
        <v>0</v>
      </c>
      <c r="M50" s="142">
        <f t="shared" si="11"/>
        <v>0</v>
      </c>
      <c r="N50" s="143">
        <f>(($F$50)+($G$50/2))/($E$50-$I$50)</f>
        <v>0.6923076923</v>
      </c>
      <c r="O50" s="144">
        <f>(($J$50)+($K$50/2))/($E$50-$M$50)</f>
        <v>0.9230769231</v>
      </c>
      <c r="P50" s="135"/>
      <c r="Q50" s="135"/>
      <c r="R50" s="135"/>
      <c r="S50" s="135"/>
      <c r="T50" s="135"/>
      <c r="U50" s="135"/>
      <c r="V50" s="135"/>
      <c r="W50" s="135"/>
      <c r="X50" s="135"/>
      <c r="Y50" s="135"/>
      <c r="Z50" s="135"/>
      <c r="AA50" s="135"/>
      <c r="AB50" s="135"/>
      <c r="AC50" s="135"/>
      <c r="AD50" s="135"/>
      <c r="AE50" s="135"/>
    </row>
    <row r="51" ht="19.5" customHeight="1">
      <c r="A51" s="11"/>
      <c r="B51" s="86" t="s">
        <v>565</v>
      </c>
      <c r="C51" s="145" t="s">
        <v>566</v>
      </c>
      <c r="D51" s="146" t="s">
        <v>567</v>
      </c>
      <c r="E51" s="89">
        <v>2.0</v>
      </c>
      <c r="F51" s="90">
        <v>2.0</v>
      </c>
      <c r="G51" s="91">
        <v>0.0</v>
      </c>
      <c r="H51" s="91">
        <v>0.0</v>
      </c>
      <c r="I51" s="92">
        <v>0.0</v>
      </c>
      <c r="J51" s="93">
        <v>2.0</v>
      </c>
      <c r="K51" s="87">
        <v>0.0</v>
      </c>
      <c r="L51" s="87">
        <v>0.0</v>
      </c>
      <c r="M51" s="94">
        <v>0.0</v>
      </c>
      <c r="N51" s="95">
        <f t="shared" ref="N51:N64" si="12">((F51)+(G51/2))/(E51-I51)</f>
        <v>1</v>
      </c>
      <c r="O51" s="96">
        <f t="shared" ref="O51:O64" si="13">((J51)+(K51/2))/(E51-M51)</f>
        <v>1</v>
      </c>
      <c r="P51" s="11"/>
      <c r="Q51" s="11"/>
      <c r="R51" s="11"/>
      <c r="S51" s="11"/>
      <c r="T51" s="11"/>
      <c r="U51" s="11"/>
      <c r="V51" s="11"/>
      <c r="W51" s="11"/>
      <c r="X51" s="11"/>
      <c r="Y51" s="11"/>
      <c r="Z51" s="11"/>
      <c r="AA51" s="11"/>
      <c r="AB51" s="11"/>
      <c r="AC51" s="11"/>
      <c r="AD51" s="11"/>
      <c r="AE51" s="11"/>
    </row>
    <row r="52" ht="19.5" customHeight="1">
      <c r="A52" s="11"/>
      <c r="B52" s="101"/>
      <c r="C52" s="147" t="s">
        <v>576</v>
      </c>
      <c r="D52" s="148" t="s">
        <v>577</v>
      </c>
      <c r="E52" s="104">
        <v>5.0</v>
      </c>
      <c r="F52" s="105">
        <v>2.0</v>
      </c>
      <c r="G52" s="106">
        <v>3.0</v>
      </c>
      <c r="H52" s="106">
        <v>0.0</v>
      </c>
      <c r="I52" s="107">
        <v>0.0</v>
      </c>
      <c r="J52" s="108">
        <v>5.0</v>
      </c>
      <c r="K52" s="102">
        <v>0.0</v>
      </c>
      <c r="L52" s="102">
        <v>0.0</v>
      </c>
      <c r="M52" s="109">
        <v>0.0</v>
      </c>
      <c r="N52" s="110">
        <f t="shared" si="12"/>
        <v>0.7</v>
      </c>
      <c r="O52" s="111">
        <f t="shared" si="13"/>
        <v>1</v>
      </c>
      <c r="P52" s="11"/>
      <c r="Q52" s="11"/>
      <c r="R52" s="11"/>
      <c r="S52" s="11"/>
      <c r="T52" s="11"/>
      <c r="U52" s="11"/>
      <c r="V52" s="11"/>
      <c r="W52" s="11"/>
      <c r="X52" s="11"/>
      <c r="Y52" s="11"/>
      <c r="Z52" s="11"/>
      <c r="AA52" s="11"/>
      <c r="AB52" s="11"/>
      <c r="AC52" s="11"/>
      <c r="AD52" s="11"/>
      <c r="AE52" s="11"/>
    </row>
    <row r="53" ht="19.5" customHeight="1">
      <c r="A53" s="11"/>
      <c r="B53" s="101"/>
      <c r="C53" s="147" t="s">
        <v>591</v>
      </c>
      <c r="D53" s="148" t="s">
        <v>592</v>
      </c>
      <c r="E53" s="104">
        <v>1.0</v>
      </c>
      <c r="F53" s="105">
        <v>0.0</v>
      </c>
      <c r="G53" s="106">
        <v>1.0</v>
      </c>
      <c r="H53" s="106">
        <v>0.0</v>
      </c>
      <c r="I53" s="107">
        <v>0.0</v>
      </c>
      <c r="J53" s="108">
        <v>1.0</v>
      </c>
      <c r="K53" s="102">
        <v>0.0</v>
      </c>
      <c r="L53" s="102">
        <v>0.0</v>
      </c>
      <c r="M53" s="109">
        <v>0.0</v>
      </c>
      <c r="N53" s="110">
        <f t="shared" si="12"/>
        <v>0.5</v>
      </c>
      <c r="O53" s="111">
        <f t="shared" si="13"/>
        <v>1</v>
      </c>
      <c r="P53" s="11"/>
      <c r="Q53" s="11"/>
      <c r="R53" s="11"/>
      <c r="S53" s="11"/>
      <c r="T53" s="11"/>
      <c r="U53" s="11"/>
      <c r="V53" s="11"/>
      <c r="W53" s="11"/>
      <c r="X53" s="11"/>
      <c r="Y53" s="11"/>
      <c r="Z53" s="11"/>
      <c r="AA53" s="11"/>
      <c r="AB53" s="11"/>
      <c r="AC53" s="11"/>
      <c r="AD53" s="11"/>
      <c r="AE53" s="11"/>
    </row>
    <row r="54" ht="19.5" customHeight="1">
      <c r="A54" s="11"/>
      <c r="B54" s="101"/>
      <c r="C54" s="147" t="s">
        <v>598</v>
      </c>
      <c r="D54" s="148" t="s">
        <v>599</v>
      </c>
      <c r="E54" s="104">
        <v>3.0</v>
      </c>
      <c r="F54" s="105">
        <v>0.0</v>
      </c>
      <c r="G54" s="106">
        <v>3.0</v>
      </c>
      <c r="H54" s="106">
        <v>0.0</v>
      </c>
      <c r="I54" s="107">
        <v>0.0</v>
      </c>
      <c r="J54" s="108">
        <v>3.0</v>
      </c>
      <c r="K54" s="102">
        <v>0.0</v>
      </c>
      <c r="L54" s="102">
        <v>0.0</v>
      </c>
      <c r="M54" s="109">
        <v>0.0</v>
      </c>
      <c r="N54" s="110">
        <f t="shared" si="12"/>
        <v>0.5</v>
      </c>
      <c r="O54" s="111">
        <f t="shared" si="13"/>
        <v>1</v>
      </c>
      <c r="P54" s="11"/>
      <c r="Q54" s="11"/>
      <c r="R54" s="11"/>
      <c r="S54" s="11"/>
      <c r="T54" s="11"/>
      <c r="U54" s="11"/>
      <c r="V54" s="11"/>
      <c r="W54" s="11"/>
      <c r="X54" s="11"/>
      <c r="Y54" s="11"/>
      <c r="Z54" s="11"/>
      <c r="AA54" s="11"/>
      <c r="AB54" s="11"/>
      <c r="AC54" s="11"/>
      <c r="AD54" s="11"/>
      <c r="AE54" s="11"/>
    </row>
    <row r="55" ht="19.5" customHeight="1">
      <c r="A55" s="11"/>
      <c r="B55" s="101"/>
      <c r="C55" s="147" t="s">
        <v>609</v>
      </c>
      <c r="D55" s="148" t="s">
        <v>610</v>
      </c>
      <c r="E55" s="104">
        <v>3.0</v>
      </c>
      <c r="F55" s="105">
        <v>1.0</v>
      </c>
      <c r="G55" s="106">
        <v>2.0</v>
      </c>
      <c r="H55" s="106">
        <v>0.0</v>
      </c>
      <c r="I55" s="107">
        <v>0.0</v>
      </c>
      <c r="J55" s="108">
        <v>3.0</v>
      </c>
      <c r="K55" s="102">
        <v>0.0</v>
      </c>
      <c r="L55" s="102">
        <v>0.0</v>
      </c>
      <c r="M55" s="109">
        <v>0.0</v>
      </c>
      <c r="N55" s="110">
        <f t="shared" si="12"/>
        <v>0.6666666667</v>
      </c>
      <c r="O55" s="111">
        <f t="shared" si="13"/>
        <v>1</v>
      </c>
      <c r="P55" s="11"/>
      <c r="Q55" s="11"/>
      <c r="R55" s="11"/>
      <c r="S55" s="11"/>
      <c r="T55" s="11"/>
      <c r="U55" s="11"/>
      <c r="V55" s="11"/>
      <c r="W55" s="11"/>
      <c r="X55" s="11"/>
      <c r="Y55" s="11"/>
      <c r="Z55" s="11"/>
      <c r="AA55" s="11"/>
      <c r="AB55" s="11"/>
      <c r="AC55" s="11"/>
      <c r="AD55" s="11"/>
      <c r="AE55" s="11"/>
    </row>
    <row r="56" ht="19.5" customHeight="1">
      <c r="A56" s="11"/>
      <c r="B56" s="101"/>
      <c r="C56" s="147" t="s">
        <v>620</v>
      </c>
      <c r="D56" s="148" t="s">
        <v>621</v>
      </c>
      <c r="E56" s="104">
        <v>1.0</v>
      </c>
      <c r="F56" s="105">
        <v>1.0</v>
      </c>
      <c r="G56" s="106">
        <v>0.0</v>
      </c>
      <c r="H56" s="106">
        <v>0.0</v>
      </c>
      <c r="I56" s="107">
        <v>0.0</v>
      </c>
      <c r="J56" s="108">
        <v>1.0</v>
      </c>
      <c r="K56" s="102">
        <v>0.0</v>
      </c>
      <c r="L56" s="102">
        <v>0.0</v>
      </c>
      <c r="M56" s="109">
        <v>0.0</v>
      </c>
      <c r="N56" s="110">
        <f t="shared" si="12"/>
        <v>1</v>
      </c>
      <c r="O56" s="111">
        <f t="shared" si="13"/>
        <v>1</v>
      </c>
      <c r="P56" s="11"/>
      <c r="Q56" s="11"/>
      <c r="R56" s="11"/>
      <c r="S56" s="11"/>
      <c r="T56" s="11"/>
      <c r="U56" s="11"/>
      <c r="V56" s="11"/>
      <c r="W56" s="11"/>
      <c r="X56" s="11"/>
      <c r="Y56" s="11"/>
      <c r="Z56" s="11"/>
      <c r="AA56" s="11"/>
      <c r="AB56" s="11"/>
      <c r="AC56" s="11"/>
      <c r="AD56" s="11"/>
      <c r="AE56" s="11"/>
    </row>
    <row r="57" ht="19.5" customHeight="1">
      <c r="A57" s="11"/>
      <c r="B57" s="101"/>
      <c r="C57" s="147" t="s">
        <v>626</v>
      </c>
      <c r="D57" s="148" t="s">
        <v>627</v>
      </c>
      <c r="E57" s="104">
        <v>2.0</v>
      </c>
      <c r="F57" s="105">
        <v>1.0</v>
      </c>
      <c r="G57" s="106">
        <v>1.0</v>
      </c>
      <c r="H57" s="106">
        <v>0.0</v>
      </c>
      <c r="I57" s="107">
        <v>0.0</v>
      </c>
      <c r="J57" s="108">
        <v>1.0</v>
      </c>
      <c r="K57" s="102">
        <v>1.0</v>
      </c>
      <c r="L57" s="102">
        <v>0.0</v>
      </c>
      <c r="M57" s="109">
        <v>0.0</v>
      </c>
      <c r="N57" s="110">
        <f t="shared" si="12"/>
        <v>0.75</v>
      </c>
      <c r="O57" s="111">
        <f t="shared" si="13"/>
        <v>0.75</v>
      </c>
      <c r="P57" s="11"/>
      <c r="Q57" s="11"/>
      <c r="R57" s="11"/>
      <c r="S57" s="11"/>
      <c r="T57" s="11"/>
      <c r="U57" s="11"/>
      <c r="V57" s="11"/>
      <c r="W57" s="11"/>
      <c r="X57" s="11"/>
      <c r="Y57" s="11"/>
      <c r="Z57" s="11"/>
      <c r="AA57" s="11"/>
      <c r="AB57" s="11"/>
      <c r="AC57" s="11"/>
      <c r="AD57" s="11"/>
      <c r="AE57" s="11"/>
    </row>
    <row r="58" ht="19.5" customHeight="1">
      <c r="A58" s="11"/>
      <c r="B58" s="101"/>
      <c r="C58" s="147" t="s">
        <v>637</v>
      </c>
      <c r="D58" s="148" t="s">
        <v>638</v>
      </c>
      <c r="E58" s="104">
        <v>1.0</v>
      </c>
      <c r="F58" s="105">
        <v>0.0</v>
      </c>
      <c r="G58" s="106">
        <v>1.0</v>
      </c>
      <c r="H58" s="106">
        <v>0.0</v>
      </c>
      <c r="I58" s="107">
        <v>0.0</v>
      </c>
      <c r="J58" s="108">
        <v>1.0</v>
      </c>
      <c r="K58" s="102">
        <v>0.0</v>
      </c>
      <c r="L58" s="102">
        <v>0.0</v>
      </c>
      <c r="M58" s="109">
        <v>0.0</v>
      </c>
      <c r="N58" s="110">
        <f t="shared" si="12"/>
        <v>0.5</v>
      </c>
      <c r="O58" s="111">
        <f t="shared" si="13"/>
        <v>1</v>
      </c>
      <c r="P58" s="11"/>
      <c r="Q58" s="11"/>
      <c r="R58" s="11"/>
      <c r="S58" s="11"/>
      <c r="T58" s="11"/>
      <c r="U58" s="11"/>
      <c r="V58" s="11"/>
      <c r="W58" s="11"/>
      <c r="X58" s="11"/>
      <c r="Y58" s="11"/>
      <c r="Z58" s="11"/>
      <c r="AA58" s="11"/>
      <c r="AB58" s="11"/>
      <c r="AC58" s="11"/>
      <c r="AD58" s="11"/>
      <c r="AE58" s="11"/>
    </row>
    <row r="59" ht="19.5" customHeight="1">
      <c r="A59" s="11"/>
      <c r="B59" s="101"/>
      <c r="C59" s="152" t="s">
        <v>643</v>
      </c>
      <c r="D59" s="148" t="s">
        <v>644</v>
      </c>
      <c r="E59" s="104">
        <v>1.0</v>
      </c>
      <c r="F59" s="105">
        <v>1.0</v>
      </c>
      <c r="G59" s="106">
        <v>0.0</v>
      </c>
      <c r="H59" s="106">
        <v>0.0</v>
      </c>
      <c r="I59" s="107">
        <v>0.0</v>
      </c>
      <c r="J59" s="108">
        <v>1.0</v>
      </c>
      <c r="K59" s="102">
        <v>0.0</v>
      </c>
      <c r="L59" s="102">
        <v>0.0</v>
      </c>
      <c r="M59" s="109">
        <v>0.0</v>
      </c>
      <c r="N59" s="110">
        <f t="shared" si="12"/>
        <v>1</v>
      </c>
      <c r="O59" s="111">
        <f t="shared" si="13"/>
        <v>1</v>
      </c>
      <c r="P59" s="11"/>
      <c r="Q59" s="11"/>
      <c r="R59" s="11"/>
      <c r="S59" s="11"/>
      <c r="T59" s="11"/>
      <c r="U59" s="11"/>
      <c r="V59" s="11"/>
      <c r="W59" s="11"/>
      <c r="X59" s="11"/>
      <c r="Y59" s="11"/>
      <c r="Z59" s="11"/>
      <c r="AA59" s="11"/>
      <c r="AB59" s="11"/>
      <c r="AC59" s="11"/>
      <c r="AD59" s="11"/>
      <c r="AE59" s="11"/>
    </row>
    <row r="60" ht="19.5" customHeight="1">
      <c r="A60" s="11"/>
      <c r="B60" s="101"/>
      <c r="C60" s="147" t="s">
        <v>650</v>
      </c>
      <c r="D60" s="148" t="s">
        <v>651</v>
      </c>
      <c r="E60" s="104">
        <v>4.0</v>
      </c>
      <c r="F60" s="105">
        <v>2.0</v>
      </c>
      <c r="G60" s="106">
        <v>2.0</v>
      </c>
      <c r="H60" s="106">
        <v>0.0</v>
      </c>
      <c r="I60" s="107">
        <v>0.0</v>
      </c>
      <c r="J60" s="108">
        <v>4.0</v>
      </c>
      <c r="K60" s="102">
        <v>0.0</v>
      </c>
      <c r="L60" s="102">
        <v>0.0</v>
      </c>
      <c r="M60" s="109">
        <v>0.0</v>
      </c>
      <c r="N60" s="110">
        <f t="shared" si="12"/>
        <v>0.75</v>
      </c>
      <c r="O60" s="111">
        <f t="shared" si="13"/>
        <v>1</v>
      </c>
      <c r="P60" s="11"/>
      <c r="Q60" s="11"/>
      <c r="R60" s="11"/>
      <c r="S60" s="11"/>
      <c r="T60" s="11"/>
      <c r="U60" s="11"/>
      <c r="V60" s="11"/>
      <c r="W60" s="11"/>
      <c r="X60" s="11"/>
      <c r="Y60" s="11"/>
      <c r="Z60" s="11"/>
      <c r="AA60" s="11"/>
      <c r="AB60" s="11"/>
      <c r="AC60" s="11"/>
      <c r="AD60" s="11"/>
      <c r="AE60" s="11"/>
    </row>
    <row r="61" ht="19.5" customHeight="1">
      <c r="A61" s="11"/>
      <c r="B61" s="101"/>
      <c r="C61" s="147" t="s">
        <v>663</v>
      </c>
      <c r="D61" s="148" t="s">
        <v>664</v>
      </c>
      <c r="E61" s="104">
        <v>1.0</v>
      </c>
      <c r="F61" s="105">
        <v>1.0</v>
      </c>
      <c r="G61" s="106">
        <v>0.0</v>
      </c>
      <c r="H61" s="106">
        <v>0.0</v>
      </c>
      <c r="I61" s="107">
        <v>0.0</v>
      </c>
      <c r="J61" s="108">
        <v>1.0</v>
      </c>
      <c r="K61" s="102">
        <v>0.0</v>
      </c>
      <c r="L61" s="102">
        <v>0.0</v>
      </c>
      <c r="M61" s="109">
        <v>0.0</v>
      </c>
      <c r="N61" s="110">
        <f t="shared" si="12"/>
        <v>1</v>
      </c>
      <c r="O61" s="111">
        <f t="shared" si="13"/>
        <v>1</v>
      </c>
      <c r="P61" s="11"/>
      <c r="Q61" s="11"/>
      <c r="R61" s="11"/>
      <c r="S61" s="11"/>
      <c r="T61" s="11"/>
      <c r="U61" s="11"/>
      <c r="V61" s="11"/>
      <c r="W61" s="11"/>
      <c r="X61" s="11"/>
      <c r="Y61" s="11"/>
      <c r="Z61" s="11"/>
      <c r="AA61" s="11"/>
      <c r="AB61" s="11"/>
      <c r="AC61" s="11"/>
      <c r="AD61" s="11"/>
      <c r="AE61" s="11"/>
    </row>
    <row r="62" ht="19.5" customHeight="1">
      <c r="A62" s="11"/>
      <c r="B62" s="101"/>
      <c r="C62" s="147" t="s">
        <v>669</v>
      </c>
      <c r="D62" s="148" t="s">
        <v>670</v>
      </c>
      <c r="E62" s="104">
        <v>1.0</v>
      </c>
      <c r="F62" s="105">
        <v>1.0</v>
      </c>
      <c r="G62" s="106">
        <v>0.0</v>
      </c>
      <c r="H62" s="106">
        <v>0.0</v>
      </c>
      <c r="I62" s="107">
        <v>0.0</v>
      </c>
      <c r="J62" s="108">
        <v>1.0</v>
      </c>
      <c r="K62" s="102">
        <v>0.0</v>
      </c>
      <c r="L62" s="102">
        <v>0.0</v>
      </c>
      <c r="M62" s="109">
        <v>0.0</v>
      </c>
      <c r="N62" s="110">
        <f t="shared" si="12"/>
        <v>1</v>
      </c>
      <c r="O62" s="111">
        <f t="shared" si="13"/>
        <v>1</v>
      </c>
      <c r="P62" s="11"/>
      <c r="Q62" s="11"/>
      <c r="R62" s="11"/>
      <c r="S62" s="11"/>
      <c r="T62" s="11"/>
      <c r="U62" s="11"/>
      <c r="V62" s="11"/>
      <c r="W62" s="11"/>
      <c r="X62" s="11"/>
      <c r="Y62" s="11"/>
      <c r="Z62" s="11"/>
      <c r="AA62" s="11"/>
      <c r="AB62" s="11"/>
      <c r="AC62" s="11"/>
      <c r="AD62" s="11"/>
      <c r="AE62" s="11"/>
    </row>
    <row r="63" ht="19.5" customHeight="1">
      <c r="A63" s="11"/>
      <c r="B63" s="101"/>
      <c r="C63" s="147" t="s">
        <v>675</v>
      </c>
      <c r="D63" s="148" t="s">
        <v>676</v>
      </c>
      <c r="E63" s="104">
        <v>1.0</v>
      </c>
      <c r="F63" s="105">
        <v>1.0</v>
      </c>
      <c r="G63" s="106">
        <v>0.0</v>
      </c>
      <c r="H63" s="106">
        <v>0.0</v>
      </c>
      <c r="I63" s="107">
        <v>0.0</v>
      </c>
      <c r="J63" s="108">
        <v>1.0</v>
      </c>
      <c r="K63" s="102">
        <v>0.0</v>
      </c>
      <c r="L63" s="102">
        <v>0.0</v>
      </c>
      <c r="M63" s="109">
        <v>0.0</v>
      </c>
      <c r="N63" s="110">
        <f t="shared" si="12"/>
        <v>1</v>
      </c>
      <c r="O63" s="111">
        <f t="shared" si="13"/>
        <v>1</v>
      </c>
      <c r="P63" s="11"/>
      <c r="Q63" s="11"/>
      <c r="R63" s="11"/>
      <c r="S63" s="11"/>
      <c r="T63" s="11"/>
      <c r="U63" s="11"/>
      <c r="V63" s="11"/>
      <c r="W63" s="11"/>
      <c r="X63" s="11"/>
      <c r="Y63" s="11"/>
      <c r="Z63" s="11"/>
      <c r="AA63" s="11"/>
      <c r="AB63" s="11"/>
      <c r="AC63" s="11"/>
      <c r="AD63" s="11"/>
      <c r="AE63" s="11"/>
    </row>
    <row r="64" ht="19.5" customHeight="1">
      <c r="A64" s="11"/>
      <c r="B64" s="101"/>
      <c r="C64" s="149" t="s">
        <v>682</v>
      </c>
      <c r="D64" s="150" t="s">
        <v>683</v>
      </c>
      <c r="E64" s="128">
        <v>2.0</v>
      </c>
      <c r="F64" s="129">
        <v>0.0</v>
      </c>
      <c r="G64" s="130">
        <v>2.0</v>
      </c>
      <c r="H64" s="106">
        <v>0.0</v>
      </c>
      <c r="I64" s="107">
        <v>0.0</v>
      </c>
      <c r="J64" s="132">
        <v>2.0</v>
      </c>
      <c r="K64" s="126">
        <v>0.0</v>
      </c>
      <c r="L64" s="126">
        <v>0.0</v>
      </c>
      <c r="M64" s="151">
        <v>0.0</v>
      </c>
      <c r="N64" s="133">
        <f t="shared" si="12"/>
        <v>0.5</v>
      </c>
      <c r="O64" s="134">
        <f t="shared" si="13"/>
        <v>1</v>
      </c>
      <c r="P64" s="11"/>
      <c r="Q64" s="11"/>
      <c r="R64" s="11"/>
      <c r="S64" s="11"/>
      <c r="T64" s="11"/>
      <c r="U64" s="11"/>
      <c r="V64" s="11"/>
      <c r="W64" s="11"/>
      <c r="X64" s="11"/>
      <c r="Y64" s="11"/>
      <c r="Z64" s="11"/>
      <c r="AA64" s="11"/>
      <c r="AB64" s="11"/>
      <c r="AC64" s="11"/>
      <c r="AD64" s="11"/>
      <c r="AE64" s="11"/>
    </row>
    <row r="65" ht="22.5" customHeight="1">
      <c r="A65" s="135"/>
      <c r="B65" s="136" t="s">
        <v>980</v>
      </c>
      <c r="C65" s="137"/>
      <c r="D65" s="138"/>
      <c r="E65" s="139">
        <f t="shared" ref="E65:M65" si="14">SUM(E51:E64)</f>
        <v>28</v>
      </c>
      <c r="F65" s="139">
        <f t="shared" si="14"/>
        <v>13</v>
      </c>
      <c r="G65" s="139">
        <f t="shared" si="14"/>
        <v>15</v>
      </c>
      <c r="H65" s="139">
        <f t="shared" si="14"/>
        <v>0</v>
      </c>
      <c r="I65" s="140">
        <f t="shared" si="14"/>
        <v>0</v>
      </c>
      <c r="J65" s="141">
        <f t="shared" si="14"/>
        <v>27</v>
      </c>
      <c r="K65" s="139">
        <f t="shared" si="14"/>
        <v>1</v>
      </c>
      <c r="L65" s="139">
        <f t="shared" si="14"/>
        <v>0</v>
      </c>
      <c r="M65" s="142">
        <f t="shared" si="14"/>
        <v>0</v>
      </c>
      <c r="N65" s="143">
        <f>(($F$65)+($G$65/2))/($E$65-$I$65)</f>
        <v>0.7321428571</v>
      </c>
      <c r="O65" s="144">
        <f>(($J$65)+($K$65/2))/($E$65-$M$65)</f>
        <v>0.9821428571</v>
      </c>
      <c r="P65" s="135"/>
      <c r="Q65" s="135"/>
      <c r="R65" s="135"/>
      <c r="S65" s="135"/>
      <c r="T65" s="135"/>
      <c r="U65" s="135"/>
      <c r="V65" s="135"/>
      <c r="W65" s="135"/>
      <c r="X65" s="135"/>
      <c r="Y65" s="135"/>
      <c r="Z65" s="135"/>
      <c r="AA65" s="135"/>
      <c r="AB65" s="135"/>
      <c r="AC65" s="135"/>
      <c r="AD65" s="135"/>
      <c r="AE65" s="135"/>
    </row>
    <row r="66" ht="19.5" customHeight="1">
      <c r="A66" s="11"/>
      <c r="B66" s="86" t="s">
        <v>691</v>
      </c>
      <c r="C66" s="145" t="s">
        <v>692</v>
      </c>
      <c r="D66" s="146" t="s">
        <v>693</v>
      </c>
      <c r="E66" s="89">
        <v>2.0</v>
      </c>
      <c r="F66" s="90">
        <v>0.0</v>
      </c>
      <c r="G66" s="91">
        <v>2.0</v>
      </c>
      <c r="H66" s="91">
        <v>0.0</v>
      </c>
      <c r="I66" s="92">
        <v>0.0</v>
      </c>
      <c r="J66" s="93">
        <v>2.0</v>
      </c>
      <c r="K66" s="87">
        <v>0.0</v>
      </c>
      <c r="L66" s="87">
        <v>0.0</v>
      </c>
      <c r="M66" s="94">
        <v>0.0</v>
      </c>
      <c r="N66" s="95">
        <f t="shared" ref="N66:N99" si="15">((F66)+(G66/2))/(E66-I66)</f>
        <v>0.5</v>
      </c>
      <c r="O66" s="96">
        <f t="shared" ref="O66:O99" si="16">((J66)+(K66/2))/(E66-M66)</f>
        <v>1</v>
      </c>
      <c r="P66" s="11"/>
      <c r="Q66" s="11"/>
      <c r="R66" s="11"/>
      <c r="S66" s="11"/>
      <c r="T66" s="11"/>
      <c r="U66" s="11"/>
      <c r="V66" s="11"/>
      <c r="W66" s="11"/>
      <c r="X66" s="11"/>
      <c r="Y66" s="11"/>
      <c r="Z66" s="11"/>
      <c r="AA66" s="11"/>
      <c r="AB66" s="11"/>
      <c r="AC66" s="11"/>
      <c r="AD66" s="11"/>
      <c r="AE66" s="11"/>
    </row>
    <row r="67" ht="19.5" customHeight="1">
      <c r="A67" s="11"/>
      <c r="B67" s="101"/>
      <c r="C67" s="147" t="s">
        <v>702</v>
      </c>
      <c r="D67" s="148" t="s">
        <v>703</v>
      </c>
      <c r="E67" s="104">
        <v>2.0</v>
      </c>
      <c r="F67" s="105">
        <v>2.0</v>
      </c>
      <c r="G67" s="106">
        <v>0.0</v>
      </c>
      <c r="H67" s="106">
        <v>0.0</v>
      </c>
      <c r="I67" s="107">
        <v>0.0</v>
      </c>
      <c r="J67" s="108">
        <v>2.0</v>
      </c>
      <c r="K67" s="102">
        <v>0.0</v>
      </c>
      <c r="L67" s="102">
        <v>0.0</v>
      </c>
      <c r="M67" s="109">
        <v>0.0</v>
      </c>
      <c r="N67" s="110">
        <f t="shared" si="15"/>
        <v>1</v>
      </c>
      <c r="O67" s="111">
        <f t="shared" si="16"/>
        <v>1</v>
      </c>
      <c r="P67" s="11"/>
      <c r="Q67" s="11"/>
      <c r="R67" s="11"/>
      <c r="S67" s="11"/>
      <c r="T67" s="11"/>
      <c r="U67" s="11"/>
      <c r="V67" s="11"/>
      <c r="W67" s="11"/>
      <c r="X67" s="11"/>
      <c r="Y67" s="11"/>
      <c r="Z67" s="11"/>
      <c r="AA67" s="11"/>
      <c r="AB67" s="11"/>
      <c r="AC67" s="11"/>
      <c r="AD67" s="11"/>
      <c r="AE67" s="11"/>
    </row>
    <row r="68" ht="19.5" customHeight="1">
      <c r="A68" s="11"/>
      <c r="B68" s="101"/>
      <c r="C68" s="147" t="s">
        <v>712</v>
      </c>
      <c r="D68" s="148" t="s">
        <v>713</v>
      </c>
      <c r="E68" s="104">
        <v>1.0</v>
      </c>
      <c r="F68" s="105">
        <v>1.0</v>
      </c>
      <c r="G68" s="106">
        <v>0.0</v>
      </c>
      <c r="H68" s="106">
        <v>0.0</v>
      </c>
      <c r="I68" s="107">
        <v>0.0</v>
      </c>
      <c r="J68" s="108">
        <v>1.0</v>
      </c>
      <c r="K68" s="102">
        <v>0.0</v>
      </c>
      <c r="L68" s="102">
        <v>0.0</v>
      </c>
      <c r="M68" s="109">
        <v>0.0</v>
      </c>
      <c r="N68" s="110">
        <f t="shared" si="15"/>
        <v>1</v>
      </c>
      <c r="O68" s="111">
        <f t="shared" si="16"/>
        <v>1</v>
      </c>
      <c r="P68" s="11"/>
      <c r="Q68" s="11"/>
      <c r="R68" s="11"/>
      <c r="S68" s="11"/>
      <c r="T68" s="11"/>
      <c r="U68" s="11"/>
      <c r="V68" s="11"/>
      <c r="W68" s="11"/>
      <c r="X68" s="11"/>
      <c r="Y68" s="11"/>
      <c r="Z68" s="11"/>
      <c r="AA68" s="11"/>
      <c r="AB68" s="11"/>
      <c r="AC68" s="11"/>
      <c r="AD68" s="11"/>
      <c r="AE68" s="11"/>
    </row>
    <row r="69" ht="19.5" customHeight="1">
      <c r="A69" s="11"/>
      <c r="B69" s="101"/>
      <c r="C69" s="147" t="s">
        <v>719</v>
      </c>
      <c r="D69" s="148" t="s">
        <v>720</v>
      </c>
      <c r="E69" s="104">
        <v>1.0</v>
      </c>
      <c r="F69" s="105">
        <v>1.0</v>
      </c>
      <c r="G69" s="106">
        <v>0.0</v>
      </c>
      <c r="H69" s="106">
        <v>0.0</v>
      </c>
      <c r="I69" s="107">
        <v>0.0</v>
      </c>
      <c r="J69" s="108">
        <v>1.0</v>
      </c>
      <c r="K69" s="102">
        <v>0.0</v>
      </c>
      <c r="L69" s="102">
        <v>0.0</v>
      </c>
      <c r="M69" s="109">
        <v>0.0</v>
      </c>
      <c r="N69" s="110">
        <f t="shared" si="15"/>
        <v>1</v>
      </c>
      <c r="O69" s="111">
        <f t="shared" si="16"/>
        <v>1</v>
      </c>
      <c r="P69" s="11"/>
      <c r="Q69" s="11"/>
      <c r="R69" s="11"/>
      <c r="S69" s="11"/>
      <c r="T69" s="11"/>
      <c r="U69" s="11"/>
      <c r="V69" s="11"/>
      <c r="W69" s="11"/>
      <c r="X69" s="11"/>
      <c r="Y69" s="11"/>
      <c r="Z69" s="11"/>
      <c r="AA69" s="11"/>
      <c r="AB69" s="11"/>
      <c r="AC69" s="11"/>
      <c r="AD69" s="11"/>
      <c r="AE69" s="11"/>
    </row>
    <row r="70" ht="19.5" customHeight="1">
      <c r="A70" s="11"/>
      <c r="B70" s="101"/>
      <c r="C70" s="147" t="s">
        <v>726</v>
      </c>
      <c r="D70" s="148" t="s">
        <v>727</v>
      </c>
      <c r="E70" s="104">
        <v>1.0</v>
      </c>
      <c r="F70" s="105">
        <v>0.0</v>
      </c>
      <c r="G70" s="106">
        <v>1.0</v>
      </c>
      <c r="H70" s="106">
        <v>0.0</v>
      </c>
      <c r="I70" s="107">
        <v>0.0</v>
      </c>
      <c r="J70" s="108">
        <v>1.0</v>
      </c>
      <c r="K70" s="102">
        <v>0.0</v>
      </c>
      <c r="L70" s="102">
        <v>0.0</v>
      </c>
      <c r="M70" s="109">
        <v>0.0</v>
      </c>
      <c r="N70" s="110">
        <f t="shared" si="15"/>
        <v>0.5</v>
      </c>
      <c r="O70" s="111">
        <f t="shared" si="16"/>
        <v>1</v>
      </c>
      <c r="P70" s="11"/>
      <c r="Q70" s="11"/>
      <c r="R70" s="11"/>
      <c r="S70" s="11"/>
      <c r="T70" s="11"/>
      <c r="U70" s="11"/>
      <c r="V70" s="11"/>
      <c r="W70" s="11"/>
      <c r="X70" s="11"/>
      <c r="Y70" s="11"/>
      <c r="Z70" s="11"/>
      <c r="AA70" s="11"/>
      <c r="AB70" s="11"/>
      <c r="AC70" s="11"/>
      <c r="AD70" s="11"/>
      <c r="AE70" s="11"/>
    </row>
    <row r="71" ht="19.5" customHeight="1">
      <c r="A71" s="11"/>
      <c r="B71" s="101"/>
      <c r="C71" s="147" t="s">
        <v>733</v>
      </c>
      <c r="D71" s="148" t="s">
        <v>734</v>
      </c>
      <c r="E71" s="104">
        <v>1.0</v>
      </c>
      <c r="F71" s="105">
        <v>1.0</v>
      </c>
      <c r="G71" s="106">
        <v>0.0</v>
      </c>
      <c r="H71" s="106">
        <v>0.0</v>
      </c>
      <c r="I71" s="107">
        <v>0.0</v>
      </c>
      <c r="J71" s="108">
        <v>1.0</v>
      </c>
      <c r="K71" s="102">
        <v>0.0</v>
      </c>
      <c r="L71" s="102">
        <v>0.0</v>
      </c>
      <c r="M71" s="109">
        <v>0.0</v>
      </c>
      <c r="N71" s="110">
        <f t="shared" si="15"/>
        <v>1</v>
      </c>
      <c r="O71" s="111">
        <f t="shared" si="16"/>
        <v>1</v>
      </c>
      <c r="P71" s="11"/>
      <c r="Q71" s="11"/>
      <c r="R71" s="11"/>
      <c r="S71" s="11"/>
      <c r="T71" s="11"/>
      <c r="U71" s="11"/>
      <c r="V71" s="11"/>
      <c r="W71" s="11"/>
      <c r="X71" s="11"/>
      <c r="Y71" s="11"/>
      <c r="Z71" s="11"/>
      <c r="AA71" s="11"/>
      <c r="AB71" s="11"/>
      <c r="AC71" s="11"/>
      <c r="AD71" s="11"/>
      <c r="AE71" s="11"/>
    </row>
    <row r="72" ht="19.5" customHeight="1">
      <c r="A72" s="11"/>
      <c r="B72" s="101"/>
      <c r="C72" s="147" t="s">
        <v>740</v>
      </c>
      <c r="D72" s="148" t="s">
        <v>741</v>
      </c>
      <c r="E72" s="104">
        <v>1.0</v>
      </c>
      <c r="F72" s="105">
        <v>0.0</v>
      </c>
      <c r="G72" s="106">
        <v>1.0</v>
      </c>
      <c r="H72" s="106">
        <v>0.0</v>
      </c>
      <c r="I72" s="107">
        <v>0.0</v>
      </c>
      <c r="J72" s="108">
        <v>1.0</v>
      </c>
      <c r="K72" s="102">
        <v>0.0</v>
      </c>
      <c r="L72" s="102">
        <v>0.0</v>
      </c>
      <c r="M72" s="109">
        <v>0.0</v>
      </c>
      <c r="N72" s="110">
        <f t="shared" si="15"/>
        <v>0.5</v>
      </c>
      <c r="O72" s="111">
        <f t="shared" si="16"/>
        <v>1</v>
      </c>
      <c r="P72" s="11"/>
      <c r="Q72" s="11"/>
      <c r="R72" s="11"/>
      <c r="S72" s="11"/>
      <c r="T72" s="11"/>
      <c r="U72" s="11"/>
      <c r="V72" s="11"/>
      <c r="W72" s="11"/>
      <c r="X72" s="11"/>
      <c r="Y72" s="11"/>
      <c r="Z72" s="11"/>
      <c r="AA72" s="11"/>
      <c r="AB72" s="11"/>
      <c r="AC72" s="11"/>
      <c r="AD72" s="11"/>
      <c r="AE72" s="11"/>
    </row>
    <row r="73" ht="19.5" customHeight="1">
      <c r="A73" s="11"/>
      <c r="B73" s="101"/>
      <c r="C73" s="147" t="s">
        <v>748</v>
      </c>
      <c r="D73" s="148" t="s">
        <v>749</v>
      </c>
      <c r="E73" s="104">
        <v>2.0</v>
      </c>
      <c r="F73" s="105">
        <v>0.0</v>
      </c>
      <c r="G73" s="106">
        <v>2.0</v>
      </c>
      <c r="H73" s="106">
        <v>0.0</v>
      </c>
      <c r="I73" s="107">
        <v>0.0</v>
      </c>
      <c r="J73" s="108">
        <v>2.0</v>
      </c>
      <c r="K73" s="102">
        <v>0.0</v>
      </c>
      <c r="L73" s="102">
        <v>0.0</v>
      </c>
      <c r="M73" s="109">
        <v>0.0</v>
      </c>
      <c r="N73" s="110">
        <f t="shared" si="15"/>
        <v>0.5</v>
      </c>
      <c r="O73" s="111">
        <f t="shared" si="16"/>
        <v>1</v>
      </c>
      <c r="P73" s="11"/>
      <c r="Q73" s="11"/>
      <c r="R73" s="11"/>
      <c r="S73" s="11"/>
      <c r="T73" s="11"/>
      <c r="U73" s="11"/>
      <c r="V73" s="11"/>
      <c r="W73" s="11"/>
      <c r="X73" s="11"/>
      <c r="Y73" s="11"/>
      <c r="Z73" s="11"/>
      <c r="AA73" s="11"/>
      <c r="AB73" s="11"/>
      <c r="AC73" s="11"/>
      <c r="AD73" s="11"/>
      <c r="AE73" s="11"/>
    </row>
    <row r="74" ht="19.5" customHeight="1">
      <c r="A74" s="11"/>
      <c r="B74" s="101"/>
      <c r="C74" s="147" t="s">
        <v>757</v>
      </c>
      <c r="D74" s="148" t="s">
        <v>758</v>
      </c>
      <c r="E74" s="104">
        <v>3.0</v>
      </c>
      <c r="F74" s="105">
        <v>3.0</v>
      </c>
      <c r="G74" s="106">
        <v>0.0</v>
      </c>
      <c r="H74" s="106">
        <v>0.0</v>
      </c>
      <c r="I74" s="107">
        <v>0.0</v>
      </c>
      <c r="J74" s="108">
        <v>3.0</v>
      </c>
      <c r="K74" s="102">
        <v>0.0</v>
      </c>
      <c r="L74" s="102">
        <v>0.0</v>
      </c>
      <c r="M74" s="109">
        <v>0.0</v>
      </c>
      <c r="N74" s="110">
        <f t="shared" si="15"/>
        <v>1</v>
      </c>
      <c r="O74" s="111">
        <f t="shared" si="16"/>
        <v>1</v>
      </c>
      <c r="P74" s="11"/>
      <c r="Q74" s="11"/>
      <c r="R74" s="11"/>
      <c r="S74" s="11"/>
      <c r="T74" s="11"/>
      <c r="U74" s="11"/>
      <c r="V74" s="11"/>
      <c r="W74" s="11"/>
      <c r="X74" s="11"/>
      <c r="Y74" s="11"/>
      <c r="Z74" s="11"/>
      <c r="AA74" s="11"/>
      <c r="AB74" s="11"/>
      <c r="AC74" s="11"/>
      <c r="AD74" s="11"/>
      <c r="AE74" s="11"/>
    </row>
    <row r="75" ht="19.5" customHeight="1">
      <c r="A75" s="11"/>
      <c r="B75" s="101"/>
      <c r="C75" s="147" t="s">
        <v>767</v>
      </c>
      <c r="D75" s="148" t="s">
        <v>768</v>
      </c>
      <c r="E75" s="104">
        <v>1.0</v>
      </c>
      <c r="F75" s="105">
        <v>0.0</v>
      </c>
      <c r="G75" s="106">
        <v>1.0</v>
      </c>
      <c r="H75" s="106">
        <v>0.0</v>
      </c>
      <c r="I75" s="107">
        <v>0.0</v>
      </c>
      <c r="J75" s="108">
        <v>1.0</v>
      </c>
      <c r="K75" s="102">
        <v>0.0</v>
      </c>
      <c r="L75" s="102">
        <v>0.0</v>
      </c>
      <c r="M75" s="109">
        <v>0.0</v>
      </c>
      <c r="N75" s="110">
        <f t="shared" si="15"/>
        <v>0.5</v>
      </c>
      <c r="O75" s="111">
        <f t="shared" si="16"/>
        <v>1</v>
      </c>
      <c r="P75" s="11"/>
      <c r="Q75" s="11"/>
      <c r="R75" s="11"/>
      <c r="S75" s="11"/>
      <c r="T75" s="11"/>
      <c r="U75" s="11"/>
      <c r="V75" s="11"/>
      <c r="W75" s="11"/>
      <c r="X75" s="11"/>
      <c r="Y75" s="11"/>
      <c r="Z75" s="11"/>
      <c r="AA75" s="11"/>
      <c r="AB75" s="11"/>
      <c r="AC75" s="11"/>
      <c r="AD75" s="11"/>
      <c r="AE75" s="11"/>
    </row>
    <row r="76" ht="19.5" customHeight="1">
      <c r="A76" s="11"/>
      <c r="B76" s="101"/>
      <c r="C76" s="147" t="s">
        <v>774</v>
      </c>
      <c r="D76" s="148" t="s">
        <v>775</v>
      </c>
      <c r="E76" s="104">
        <v>1.0</v>
      </c>
      <c r="F76" s="105">
        <v>1.0</v>
      </c>
      <c r="G76" s="106">
        <v>0.0</v>
      </c>
      <c r="H76" s="106">
        <v>0.0</v>
      </c>
      <c r="I76" s="107">
        <v>0.0</v>
      </c>
      <c r="J76" s="108">
        <v>1.0</v>
      </c>
      <c r="K76" s="102">
        <v>0.0</v>
      </c>
      <c r="L76" s="102">
        <v>0.0</v>
      </c>
      <c r="M76" s="109">
        <v>0.0</v>
      </c>
      <c r="N76" s="110">
        <f t="shared" si="15"/>
        <v>1</v>
      </c>
      <c r="O76" s="111">
        <f t="shared" si="16"/>
        <v>1</v>
      </c>
      <c r="P76" s="11"/>
      <c r="Q76" s="11"/>
      <c r="R76" s="11"/>
      <c r="S76" s="11"/>
      <c r="T76" s="11"/>
      <c r="U76" s="11"/>
      <c r="V76" s="11"/>
      <c r="W76" s="11"/>
      <c r="X76" s="11"/>
      <c r="Y76" s="11"/>
      <c r="Z76" s="11"/>
      <c r="AA76" s="11"/>
      <c r="AB76" s="11"/>
      <c r="AC76" s="11"/>
      <c r="AD76" s="11"/>
      <c r="AE76" s="11"/>
    </row>
    <row r="77" ht="19.5" customHeight="1">
      <c r="A77" s="11"/>
      <c r="B77" s="101"/>
      <c r="C77" s="147" t="s">
        <v>781</v>
      </c>
      <c r="D77" s="148" t="s">
        <v>782</v>
      </c>
      <c r="E77" s="104">
        <v>2.0</v>
      </c>
      <c r="F77" s="105">
        <v>2.0</v>
      </c>
      <c r="G77" s="106">
        <v>0.0</v>
      </c>
      <c r="H77" s="106">
        <v>0.0</v>
      </c>
      <c r="I77" s="107">
        <v>0.0</v>
      </c>
      <c r="J77" s="108">
        <v>2.0</v>
      </c>
      <c r="K77" s="102">
        <v>0.0</v>
      </c>
      <c r="L77" s="102">
        <v>0.0</v>
      </c>
      <c r="M77" s="109">
        <v>0.0</v>
      </c>
      <c r="N77" s="110">
        <f t="shared" si="15"/>
        <v>1</v>
      </c>
      <c r="O77" s="111">
        <f t="shared" si="16"/>
        <v>1</v>
      </c>
      <c r="P77" s="11"/>
      <c r="Q77" s="11"/>
      <c r="R77" s="11"/>
      <c r="S77" s="11"/>
      <c r="T77" s="11"/>
      <c r="U77" s="11"/>
      <c r="V77" s="11"/>
      <c r="W77" s="11"/>
      <c r="X77" s="11"/>
      <c r="Y77" s="11"/>
      <c r="Z77" s="11"/>
      <c r="AA77" s="11"/>
      <c r="AB77" s="11"/>
      <c r="AC77" s="11"/>
      <c r="AD77" s="11"/>
      <c r="AE77" s="11"/>
    </row>
    <row r="78" ht="19.5" customHeight="1">
      <c r="A78" s="11"/>
      <c r="B78" s="101"/>
      <c r="C78" s="147" t="s">
        <v>789</v>
      </c>
      <c r="D78" s="148" t="s">
        <v>790</v>
      </c>
      <c r="E78" s="104">
        <v>1.0</v>
      </c>
      <c r="F78" s="105">
        <v>1.0</v>
      </c>
      <c r="G78" s="106">
        <v>0.0</v>
      </c>
      <c r="H78" s="106">
        <v>0.0</v>
      </c>
      <c r="I78" s="107">
        <v>0.0</v>
      </c>
      <c r="J78" s="108">
        <v>1.0</v>
      </c>
      <c r="K78" s="102">
        <v>0.0</v>
      </c>
      <c r="L78" s="102">
        <v>0.0</v>
      </c>
      <c r="M78" s="109">
        <v>0.0</v>
      </c>
      <c r="N78" s="110">
        <f t="shared" si="15"/>
        <v>1</v>
      </c>
      <c r="O78" s="111">
        <f t="shared" si="16"/>
        <v>1</v>
      </c>
      <c r="P78" s="11"/>
      <c r="Q78" s="11"/>
      <c r="R78" s="11"/>
      <c r="S78" s="11"/>
      <c r="T78" s="11"/>
      <c r="U78" s="11"/>
      <c r="V78" s="11"/>
      <c r="W78" s="11"/>
      <c r="X78" s="11"/>
      <c r="Y78" s="11"/>
      <c r="Z78" s="11"/>
      <c r="AA78" s="11"/>
      <c r="AB78" s="11"/>
      <c r="AC78" s="11"/>
      <c r="AD78" s="11"/>
      <c r="AE78" s="11"/>
    </row>
    <row r="79" ht="19.5" customHeight="1">
      <c r="A79" s="11"/>
      <c r="B79" s="101"/>
      <c r="C79" s="147" t="s">
        <v>795</v>
      </c>
      <c r="D79" s="148" t="s">
        <v>796</v>
      </c>
      <c r="E79" s="104">
        <v>1.0</v>
      </c>
      <c r="F79" s="105">
        <v>1.0</v>
      </c>
      <c r="G79" s="106">
        <v>0.0</v>
      </c>
      <c r="H79" s="106">
        <v>0.0</v>
      </c>
      <c r="I79" s="107">
        <v>0.0</v>
      </c>
      <c r="J79" s="108">
        <v>1.0</v>
      </c>
      <c r="K79" s="102">
        <v>0.0</v>
      </c>
      <c r="L79" s="102">
        <v>0.0</v>
      </c>
      <c r="M79" s="109">
        <v>0.0</v>
      </c>
      <c r="N79" s="110">
        <f t="shared" si="15"/>
        <v>1</v>
      </c>
      <c r="O79" s="111">
        <f t="shared" si="16"/>
        <v>1</v>
      </c>
      <c r="P79" s="11"/>
      <c r="Q79" s="11"/>
      <c r="R79" s="11"/>
      <c r="S79" s="11"/>
      <c r="T79" s="11"/>
      <c r="U79" s="11"/>
      <c r="V79" s="11"/>
      <c r="W79" s="11"/>
      <c r="X79" s="11"/>
      <c r="Y79" s="11"/>
      <c r="Z79" s="11"/>
      <c r="AA79" s="11"/>
      <c r="AB79" s="11"/>
      <c r="AC79" s="11"/>
      <c r="AD79" s="11"/>
      <c r="AE79" s="11"/>
    </row>
    <row r="80" ht="19.5" customHeight="1">
      <c r="A80" s="11"/>
      <c r="B80" s="101"/>
      <c r="C80" s="147" t="s">
        <v>801</v>
      </c>
      <c r="D80" s="148" t="s">
        <v>802</v>
      </c>
      <c r="E80" s="104">
        <v>3.0</v>
      </c>
      <c r="F80" s="105">
        <v>1.0</v>
      </c>
      <c r="G80" s="106">
        <v>2.0</v>
      </c>
      <c r="H80" s="106">
        <v>0.0</v>
      </c>
      <c r="I80" s="107">
        <v>0.0</v>
      </c>
      <c r="J80" s="108">
        <v>3.0</v>
      </c>
      <c r="K80" s="102">
        <v>0.0</v>
      </c>
      <c r="L80" s="102">
        <v>0.0</v>
      </c>
      <c r="M80" s="109">
        <v>0.0</v>
      </c>
      <c r="N80" s="110">
        <f t="shared" si="15"/>
        <v>0.6666666667</v>
      </c>
      <c r="O80" s="111">
        <f t="shared" si="16"/>
        <v>1</v>
      </c>
      <c r="P80" s="11"/>
      <c r="Q80" s="11"/>
      <c r="R80" s="11"/>
      <c r="S80" s="11"/>
      <c r="T80" s="11"/>
      <c r="U80" s="11"/>
      <c r="V80" s="11"/>
      <c r="W80" s="11"/>
      <c r="X80" s="11"/>
      <c r="Y80" s="11"/>
      <c r="Z80" s="11"/>
      <c r="AA80" s="11"/>
      <c r="AB80" s="11"/>
      <c r="AC80" s="11"/>
      <c r="AD80" s="11"/>
      <c r="AE80" s="11"/>
    </row>
    <row r="81" ht="19.5" customHeight="1">
      <c r="A81" s="11"/>
      <c r="B81" s="101"/>
      <c r="C81" s="147" t="s">
        <v>812</v>
      </c>
      <c r="D81" s="148" t="s">
        <v>813</v>
      </c>
      <c r="E81" s="104">
        <v>2.0</v>
      </c>
      <c r="F81" s="105">
        <v>1.0</v>
      </c>
      <c r="G81" s="106">
        <v>1.0</v>
      </c>
      <c r="H81" s="106">
        <v>0.0</v>
      </c>
      <c r="I81" s="107">
        <v>0.0</v>
      </c>
      <c r="J81" s="108">
        <v>2.0</v>
      </c>
      <c r="K81" s="102">
        <v>0.0</v>
      </c>
      <c r="L81" s="102">
        <v>0.0</v>
      </c>
      <c r="M81" s="109">
        <v>0.0</v>
      </c>
      <c r="N81" s="110">
        <f t="shared" si="15"/>
        <v>0.75</v>
      </c>
      <c r="O81" s="111">
        <f t="shared" si="16"/>
        <v>1</v>
      </c>
      <c r="P81" s="11"/>
      <c r="Q81" s="11"/>
      <c r="R81" s="11"/>
      <c r="S81" s="11"/>
      <c r="T81" s="11"/>
      <c r="U81" s="11"/>
      <c r="V81" s="11"/>
      <c r="W81" s="11"/>
      <c r="X81" s="11"/>
      <c r="Y81" s="11"/>
      <c r="Z81" s="11"/>
      <c r="AA81" s="11"/>
      <c r="AB81" s="11"/>
      <c r="AC81" s="11"/>
      <c r="AD81" s="11"/>
      <c r="AE81" s="11"/>
    </row>
    <row r="82" ht="19.5" customHeight="1">
      <c r="A82" s="11"/>
      <c r="B82" s="101"/>
      <c r="C82" s="147" t="s">
        <v>822</v>
      </c>
      <c r="D82" s="148" t="s">
        <v>823</v>
      </c>
      <c r="E82" s="104">
        <v>1.0</v>
      </c>
      <c r="F82" s="105">
        <v>1.0</v>
      </c>
      <c r="G82" s="106">
        <v>0.0</v>
      </c>
      <c r="H82" s="106">
        <v>0.0</v>
      </c>
      <c r="I82" s="107">
        <v>0.0</v>
      </c>
      <c r="J82" s="108">
        <v>1.0</v>
      </c>
      <c r="K82" s="102">
        <v>0.0</v>
      </c>
      <c r="L82" s="102">
        <v>0.0</v>
      </c>
      <c r="M82" s="109">
        <v>0.0</v>
      </c>
      <c r="N82" s="110">
        <f t="shared" si="15"/>
        <v>1</v>
      </c>
      <c r="O82" s="111">
        <f t="shared" si="16"/>
        <v>1</v>
      </c>
      <c r="P82" s="11"/>
      <c r="Q82" s="11"/>
      <c r="R82" s="11"/>
      <c r="S82" s="11"/>
      <c r="T82" s="11"/>
      <c r="U82" s="11"/>
      <c r="V82" s="11"/>
      <c r="W82" s="11"/>
      <c r="X82" s="11"/>
      <c r="Y82" s="11"/>
      <c r="Z82" s="11"/>
      <c r="AA82" s="11"/>
      <c r="AB82" s="11"/>
      <c r="AC82" s="11"/>
      <c r="AD82" s="11"/>
      <c r="AE82" s="11"/>
    </row>
    <row r="83" ht="19.5" customHeight="1">
      <c r="A83" s="11"/>
      <c r="B83" s="101"/>
      <c r="C83" s="147" t="s">
        <v>829</v>
      </c>
      <c r="D83" s="148" t="s">
        <v>830</v>
      </c>
      <c r="E83" s="104">
        <v>1.0</v>
      </c>
      <c r="F83" s="105">
        <v>1.0</v>
      </c>
      <c r="G83" s="106">
        <v>0.0</v>
      </c>
      <c r="H83" s="106">
        <v>0.0</v>
      </c>
      <c r="I83" s="107">
        <v>0.0</v>
      </c>
      <c r="J83" s="108">
        <v>1.0</v>
      </c>
      <c r="K83" s="102">
        <v>0.0</v>
      </c>
      <c r="L83" s="102">
        <v>0.0</v>
      </c>
      <c r="M83" s="109">
        <v>0.0</v>
      </c>
      <c r="N83" s="110">
        <f t="shared" si="15"/>
        <v>1</v>
      </c>
      <c r="O83" s="111">
        <f t="shared" si="16"/>
        <v>1</v>
      </c>
      <c r="P83" s="11"/>
      <c r="Q83" s="11"/>
      <c r="R83" s="11"/>
      <c r="S83" s="11"/>
      <c r="T83" s="11"/>
      <c r="U83" s="11"/>
      <c r="V83" s="11"/>
      <c r="W83" s="11"/>
      <c r="X83" s="11"/>
      <c r="Y83" s="11"/>
      <c r="Z83" s="11"/>
      <c r="AA83" s="11"/>
      <c r="AB83" s="11"/>
      <c r="AC83" s="11"/>
      <c r="AD83" s="11"/>
      <c r="AE83" s="11"/>
    </row>
    <row r="84" ht="19.5" customHeight="1">
      <c r="A84" s="11"/>
      <c r="B84" s="101"/>
      <c r="C84" s="147" t="s">
        <v>835</v>
      </c>
      <c r="D84" s="148" t="s">
        <v>836</v>
      </c>
      <c r="E84" s="104">
        <v>2.0</v>
      </c>
      <c r="F84" s="105">
        <v>2.0</v>
      </c>
      <c r="G84" s="106">
        <v>0.0</v>
      </c>
      <c r="H84" s="106">
        <v>0.0</v>
      </c>
      <c r="I84" s="107">
        <v>0.0</v>
      </c>
      <c r="J84" s="108">
        <v>2.0</v>
      </c>
      <c r="K84" s="102">
        <v>0.0</v>
      </c>
      <c r="L84" s="102">
        <v>0.0</v>
      </c>
      <c r="M84" s="109">
        <v>0.0</v>
      </c>
      <c r="N84" s="110">
        <f t="shared" si="15"/>
        <v>1</v>
      </c>
      <c r="O84" s="111">
        <f t="shared" si="16"/>
        <v>1</v>
      </c>
      <c r="P84" s="11"/>
      <c r="Q84" s="11"/>
      <c r="R84" s="11"/>
      <c r="S84" s="11"/>
      <c r="T84" s="11"/>
      <c r="U84" s="11"/>
      <c r="V84" s="11"/>
      <c r="W84" s="11"/>
      <c r="X84" s="11"/>
      <c r="Y84" s="11"/>
      <c r="Z84" s="11"/>
      <c r="AA84" s="11"/>
      <c r="AB84" s="11"/>
      <c r="AC84" s="11"/>
      <c r="AD84" s="11"/>
      <c r="AE84" s="11"/>
    </row>
    <row r="85" ht="19.5" customHeight="1">
      <c r="A85" s="11"/>
      <c r="B85" s="101"/>
      <c r="C85" s="147" t="s">
        <v>844</v>
      </c>
      <c r="D85" s="148" t="s">
        <v>845</v>
      </c>
      <c r="E85" s="104">
        <v>1.0</v>
      </c>
      <c r="F85" s="105">
        <v>1.0</v>
      </c>
      <c r="G85" s="106">
        <v>0.0</v>
      </c>
      <c r="H85" s="106">
        <v>0.0</v>
      </c>
      <c r="I85" s="107">
        <v>0.0</v>
      </c>
      <c r="J85" s="108">
        <v>1.0</v>
      </c>
      <c r="K85" s="102">
        <v>0.0</v>
      </c>
      <c r="L85" s="102">
        <v>0.0</v>
      </c>
      <c r="M85" s="109">
        <v>0.0</v>
      </c>
      <c r="N85" s="110">
        <f t="shared" si="15"/>
        <v>1</v>
      </c>
      <c r="O85" s="111">
        <f t="shared" si="16"/>
        <v>1</v>
      </c>
      <c r="P85" s="11"/>
      <c r="Q85" s="11"/>
      <c r="R85" s="11"/>
      <c r="S85" s="11"/>
      <c r="T85" s="11"/>
      <c r="U85" s="11"/>
      <c r="V85" s="11"/>
      <c r="W85" s="11"/>
      <c r="X85" s="11"/>
      <c r="Y85" s="11"/>
      <c r="Z85" s="11"/>
      <c r="AA85" s="11"/>
      <c r="AB85" s="11"/>
      <c r="AC85" s="11"/>
      <c r="AD85" s="11"/>
      <c r="AE85" s="11"/>
    </row>
    <row r="86" ht="19.5" customHeight="1">
      <c r="A86" s="11"/>
      <c r="B86" s="101"/>
      <c r="C86" s="147" t="s">
        <v>851</v>
      </c>
      <c r="D86" s="148" t="s">
        <v>852</v>
      </c>
      <c r="E86" s="104">
        <v>1.0</v>
      </c>
      <c r="F86" s="105">
        <v>0.0</v>
      </c>
      <c r="G86" s="106">
        <v>1.0</v>
      </c>
      <c r="H86" s="106">
        <v>0.0</v>
      </c>
      <c r="I86" s="107">
        <v>0.0</v>
      </c>
      <c r="J86" s="108">
        <v>1.0</v>
      </c>
      <c r="K86" s="102">
        <v>0.0</v>
      </c>
      <c r="L86" s="102">
        <v>0.0</v>
      </c>
      <c r="M86" s="109">
        <v>0.0</v>
      </c>
      <c r="N86" s="110">
        <f t="shared" si="15"/>
        <v>0.5</v>
      </c>
      <c r="O86" s="111">
        <f t="shared" si="16"/>
        <v>1</v>
      </c>
      <c r="P86" s="11"/>
      <c r="Q86" s="11"/>
      <c r="R86" s="11"/>
      <c r="S86" s="11"/>
      <c r="T86" s="11"/>
      <c r="U86" s="11"/>
      <c r="V86" s="11"/>
      <c r="W86" s="11"/>
      <c r="X86" s="11"/>
      <c r="Y86" s="11"/>
      <c r="Z86" s="11"/>
      <c r="AA86" s="11"/>
      <c r="AB86" s="11"/>
      <c r="AC86" s="11"/>
      <c r="AD86" s="11"/>
      <c r="AE86" s="11"/>
    </row>
    <row r="87" ht="19.5" customHeight="1">
      <c r="A87" s="11"/>
      <c r="B87" s="101"/>
      <c r="C87" s="147" t="s">
        <v>857</v>
      </c>
      <c r="D87" s="148" t="s">
        <v>858</v>
      </c>
      <c r="E87" s="104">
        <v>1.0</v>
      </c>
      <c r="F87" s="105">
        <v>0.0</v>
      </c>
      <c r="G87" s="106">
        <v>1.0</v>
      </c>
      <c r="H87" s="106">
        <v>0.0</v>
      </c>
      <c r="I87" s="107">
        <v>0.0</v>
      </c>
      <c r="J87" s="108">
        <v>1.0</v>
      </c>
      <c r="K87" s="102">
        <v>0.0</v>
      </c>
      <c r="L87" s="102">
        <v>0.0</v>
      </c>
      <c r="M87" s="109">
        <v>0.0</v>
      </c>
      <c r="N87" s="110">
        <f t="shared" si="15"/>
        <v>0.5</v>
      </c>
      <c r="O87" s="111">
        <f t="shared" si="16"/>
        <v>1</v>
      </c>
      <c r="P87" s="11"/>
      <c r="Q87" s="11"/>
      <c r="R87" s="11"/>
      <c r="S87" s="11"/>
      <c r="T87" s="11"/>
      <c r="U87" s="11"/>
      <c r="V87" s="11"/>
      <c r="W87" s="11"/>
      <c r="X87" s="11"/>
      <c r="Y87" s="11"/>
      <c r="Z87" s="11"/>
      <c r="AA87" s="11"/>
      <c r="AB87" s="11"/>
      <c r="AC87" s="11"/>
      <c r="AD87" s="11"/>
      <c r="AE87" s="11"/>
    </row>
    <row r="88" ht="19.5" customHeight="1">
      <c r="A88" s="11"/>
      <c r="B88" s="101"/>
      <c r="C88" s="147" t="s">
        <v>862</v>
      </c>
      <c r="D88" s="148" t="s">
        <v>863</v>
      </c>
      <c r="E88" s="104">
        <v>1.0</v>
      </c>
      <c r="F88" s="105">
        <v>0.0</v>
      </c>
      <c r="G88" s="106">
        <v>1.0</v>
      </c>
      <c r="H88" s="106">
        <v>0.0</v>
      </c>
      <c r="I88" s="107">
        <v>0.0</v>
      </c>
      <c r="J88" s="108">
        <v>1.0</v>
      </c>
      <c r="K88" s="102">
        <v>0.0</v>
      </c>
      <c r="L88" s="102">
        <v>0.0</v>
      </c>
      <c r="M88" s="109">
        <v>0.0</v>
      </c>
      <c r="N88" s="110">
        <f t="shared" si="15"/>
        <v>0.5</v>
      </c>
      <c r="O88" s="111">
        <f t="shared" si="16"/>
        <v>1</v>
      </c>
      <c r="P88" s="11"/>
      <c r="Q88" s="11"/>
      <c r="R88" s="11"/>
      <c r="S88" s="11"/>
      <c r="T88" s="11"/>
      <c r="U88" s="11"/>
      <c r="V88" s="11"/>
      <c r="W88" s="11"/>
      <c r="X88" s="11"/>
      <c r="Y88" s="11"/>
      <c r="Z88" s="11"/>
      <c r="AA88" s="11"/>
      <c r="AB88" s="11"/>
      <c r="AC88" s="11"/>
      <c r="AD88" s="11"/>
      <c r="AE88" s="11"/>
    </row>
    <row r="89" ht="19.5" customHeight="1">
      <c r="A89" s="11"/>
      <c r="B89" s="101"/>
      <c r="C89" s="147" t="s">
        <v>869</v>
      </c>
      <c r="D89" s="148" t="s">
        <v>870</v>
      </c>
      <c r="E89" s="104">
        <v>3.0</v>
      </c>
      <c r="F89" s="105">
        <v>0.0</v>
      </c>
      <c r="G89" s="106">
        <v>3.0</v>
      </c>
      <c r="H89" s="106">
        <v>0.0</v>
      </c>
      <c r="I89" s="107">
        <v>0.0</v>
      </c>
      <c r="J89" s="108">
        <v>3.0</v>
      </c>
      <c r="K89" s="102">
        <v>0.0</v>
      </c>
      <c r="L89" s="102">
        <v>0.0</v>
      </c>
      <c r="M89" s="109">
        <v>0.0</v>
      </c>
      <c r="N89" s="110">
        <f t="shared" si="15"/>
        <v>0.5</v>
      </c>
      <c r="O89" s="111">
        <f t="shared" si="16"/>
        <v>1</v>
      </c>
      <c r="P89" s="11"/>
      <c r="Q89" s="11"/>
      <c r="R89" s="11"/>
      <c r="S89" s="11"/>
      <c r="T89" s="11"/>
      <c r="U89" s="11"/>
      <c r="V89" s="11"/>
      <c r="W89" s="11"/>
      <c r="X89" s="11"/>
      <c r="Y89" s="11"/>
      <c r="Z89" s="11"/>
      <c r="AA89" s="11"/>
      <c r="AB89" s="11"/>
      <c r="AC89" s="11"/>
      <c r="AD89" s="11"/>
      <c r="AE89" s="11"/>
    </row>
    <row r="90" ht="19.5" customHeight="1">
      <c r="A90" s="11"/>
      <c r="B90" s="101"/>
      <c r="C90" s="147" t="s">
        <v>880</v>
      </c>
      <c r="D90" s="148" t="s">
        <v>881</v>
      </c>
      <c r="E90" s="104">
        <v>1.0</v>
      </c>
      <c r="F90" s="105">
        <v>1.0</v>
      </c>
      <c r="G90" s="106">
        <v>0.0</v>
      </c>
      <c r="H90" s="106">
        <v>0.0</v>
      </c>
      <c r="I90" s="107">
        <v>0.0</v>
      </c>
      <c r="J90" s="108">
        <v>1.0</v>
      </c>
      <c r="K90" s="102">
        <v>0.0</v>
      </c>
      <c r="L90" s="102">
        <v>0.0</v>
      </c>
      <c r="M90" s="109">
        <v>0.0</v>
      </c>
      <c r="N90" s="110">
        <f t="shared" si="15"/>
        <v>1</v>
      </c>
      <c r="O90" s="111">
        <f t="shared" si="16"/>
        <v>1</v>
      </c>
      <c r="P90" s="11"/>
      <c r="Q90" s="11"/>
      <c r="R90" s="11"/>
      <c r="S90" s="11"/>
      <c r="T90" s="11"/>
      <c r="U90" s="11"/>
      <c r="V90" s="11"/>
      <c r="W90" s="11"/>
      <c r="X90" s="11"/>
      <c r="Y90" s="11"/>
      <c r="Z90" s="11"/>
      <c r="AA90" s="11"/>
      <c r="AB90" s="11"/>
      <c r="AC90" s="11"/>
      <c r="AD90" s="11"/>
      <c r="AE90" s="11"/>
    </row>
    <row r="91" ht="19.5" customHeight="1">
      <c r="A91" s="11"/>
      <c r="B91" s="101"/>
      <c r="C91" s="147" t="s">
        <v>886</v>
      </c>
      <c r="D91" s="148" t="s">
        <v>887</v>
      </c>
      <c r="E91" s="104">
        <v>2.0</v>
      </c>
      <c r="F91" s="105">
        <v>0.0</v>
      </c>
      <c r="G91" s="106">
        <v>1.0</v>
      </c>
      <c r="H91" s="106">
        <v>0.0</v>
      </c>
      <c r="I91" s="107">
        <v>1.0</v>
      </c>
      <c r="J91" s="108">
        <v>1.0</v>
      </c>
      <c r="K91" s="102">
        <v>0.0</v>
      </c>
      <c r="L91" s="102">
        <v>0.0</v>
      </c>
      <c r="M91" s="109">
        <v>1.0</v>
      </c>
      <c r="N91" s="110">
        <f t="shared" si="15"/>
        <v>0.5</v>
      </c>
      <c r="O91" s="111">
        <f t="shared" si="16"/>
        <v>1</v>
      </c>
      <c r="P91" s="11"/>
      <c r="Q91" s="11"/>
      <c r="R91" s="11"/>
      <c r="S91" s="11"/>
      <c r="T91" s="11"/>
      <c r="U91" s="11"/>
      <c r="V91" s="11"/>
      <c r="W91" s="11"/>
      <c r="X91" s="11"/>
      <c r="Y91" s="11"/>
      <c r="Z91" s="11"/>
      <c r="AA91" s="11"/>
      <c r="AB91" s="11"/>
      <c r="AC91" s="11"/>
      <c r="AD91" s="11"/>
      <c r="AE91" s="11"/>
    </row>
    <row r="92" ht="19.5" customHeight="1">
      <c r="A92" s="11"/>
      <c r="B92" s="101"/>
      <c r="C92" s="147" t="s">
        <v>894</v>
      </c>
      <c r="D92" s="148" t="s">
        <v>895</v>
      </c>
      <c r="E92" s="104">
        <v>1.0</v>
      </c>
      <c r="F92" s="105">
        <v>1.0</v>
      </c>
      <c r="G92" s="106">
        <v>0.0</v>
      </c>
      <c r="H92" s="106">
        <v>0.0</v>
      </c>
      <c r="I92" s="107">
        <v>0.0</v>
      </c>
      <c r="J92" s="108">
        <v>1.0</v>
      </c>
      <c r="K92" s="102">
        <v>0.0</v>
      </c>
      <c r="L92" s="102">
        <v>0.0</v>
      </c>
      <c r="M92" s="109">
        <v>0.0</v>
      </c>
      <c r="N92" s="110">
        <f t="shared" si="15"/>
        <v>1</v>
      </c>
      <c r="O92" s="111">
        <f t="shared" si="16"/>
        <v>1</v>
      </c>
      <c r="P92" s="11"/>
      <c r="Q92" s="11"/>
      <c r="R92" s="11"/>
      <c r="S92" s="11"/>
      <c r="T92" s="11"/>
      <c r="U92" s="11"/>
      <c r="V92" s="11"/>
      <c r="W92" s="11"/>
      <c r="X92" s="11"/>
      <c r="Y92" s="11"/>
      <c r="Z92" s="11"/>
      <c r="AA92" s="11"/>
      <c r="AB92" s="11"/>
      <c r="AC92" s="11"/>
      <c r="AD92" s="11"/>
      <c r="AE92" s="11"/>
    </row>
    <row r="93" ht="19.5" customHeight="1">
      <c r="A93" s="11"/>
      <c r="B93" s="101"/>
      <c r="C93" s="147" t="s">
        <v>901</v>
      </c>
      <c r="D93" s="148" t="s">
        <v>902</v>
      </c>
      <c r="E93" s="104">
        <v>3.0</v>
      </c>
      <c r="F93" s="105">
        <v>1.0</v>
      </c>
      <c r="G93" s="106">
        <v>2.0</v>
      </c>
      <c r="H93" s="106">
        <v>0.0</v>
      </c>
      <c r="I93" s="107">
        <v>0.0</v>
      </c>
      <c r="J93" s="108">
        <v>2.0</v>
      </c>
      <c r="K93" s="102">
        <v>1.0</v>
      </c>
      <c r="L93" s="102">
        <v>0.0</v>
      </c>
      <c r="M93" s="109">
        <v>0.0</v>
      </c>
      <c r="N93" s="110">
        <f t="shared" si="15"/>
        <v>0.6666666667</v>
      </c>
      <c r="O93" s="111">
        <f t="shared" si="16"/>
        <v>0.8333333333</v>
      </c>
      <c r="P93" s="11"/>
      <c r="Q93" s="11"/>
      <c r="R93" s="11"/>
      <c r="S93" s="11"/>
      <c r="T93" s="11"/>
      <c r="U93" s="11"/>
      <c r="V93" s="11"/>
      <c r="W93" s="11"/>
      <c r="X93" s="11"/>
      <c r="Y93" s="11"/>
      <c r="Z93" s="11"/>
      <c r="AA93" s="11"/>
      <c r="AB93" s="11"/>
      <c r="AC93" s="11"/>
      <c r="AD93" s="11"/>
      <c r="AE93" s="11"/>
    </row>
    <row r="94" ht="19.5" customHeight="1">
      <c r="A94" s="11"/>
      <c r="B94" s="101"/>
      <c r="C94" s="147" t="s">
        <v>913</v>
      </c>
      <c r="D94" s="148" t="s">
        <v>914</v>
      </c>
      <c r="E94" s="104">
        <v>2.0</v>
      </c>
      <c r="F94" s="105">
        <v>2.0</v>
      </c>
      <c r="G94" s="106">
        <v>0.0</v>
      </c>
      <c r="H94" s="106">
        <v>0.0</v>
      </c>
      <c r="I94" s="107">
        <v>0.0</v>
      </c>
      <c r="J94" s="108">
        <v>2.0</v>
      </c>
      <c r="K94" s="102">
        <v>0.0</v>
      </c>
      <c r="L94" s="102">
        <v>0.0</v>
      </c>
      <c r="M94" s="109">
        <v>0.0</v>
      </c>
      <c r="N94" s="110">
        <f t="shared" si="15"/>
        <v>1</v>
      </c>
      <c r="O94" s="111">
        <f t="shared" si="16"/>
        <v>1</v>
      </c>
      <c r="P94" s="11"/>
      <c r="Q94" s="11"/>
      <c r="R94" s="11"/>
      <c r="S94" s="11"/>
      <c r="T94" s="11"/>
      <c r="U94" s="11"/>
      <c r="V94" s="11"/>
      <c r="W94" s="11"/>
      <c r="X94" s="11"/>
      <c r="Y94" s="11"/>
      <c r="Z94" s="11"/>
      <c r="AA94" s="11"/>
      <c r="AB94" s="11"/>
      <c r="AC94" s="11"/>
      <c r="AD94" s="11"/>
      <c r="AE94" s="11"/>
    </row>
    <row r="95" ht="19.5" customHeight="1">
      <c r="A95" s="11"/>
      <c r="B95" s="101"/>
      <c r="C95" s="147" t="s">
        <v>921</v>
      </c>
      <c r="D95" s="148" t="s">
        <v>922</v>
      </c>
      <c r="E95" s="104">
        <v>1.0</v>
      </c>
      <c r="F95" s="105">
        <v>0.0</v>
      </c>
      <c r="G95" s="106">
        <v>1.0</v>
      </c>
      <c r="H95" s="106">
        <v>0.0</v>
      </c>
      <c r="I95" s="107">
        <v>0.0</v>
      </c>
      <c r="J95" s="108">
        <v>0.0</v>
      </c>
      <c r="K95" s="102">
        <v>1.0</v>
      </c>
      <c r="L95" s="102">
        <v>0.0</v>
      </c>
      <c r="M95" s="109">
        <v>0.0</v>
      </c>
      <c r="N95" s="110">
        <f t="shared" si="15"/>
        <v>0.5</v>
      </c>
      <c r="O95" s="111">
        <f t="shared" si="16"/>
        <v>0.5</v>
      </c>
      <c r="P95" s="11"/>
      <c r="Q95" s="11"/>
      <c r="R95" s="11"/>
      <c r="S95" s="11"/>
      <c r="T95" s="11"/>
      <c r="U95" s="11"/>
      <c r="V95" s="11"/>
      <c r="W95" s="11"/>
      <c r="X95" s="11"/>
      <c r="Y95" s="11"/>
      <c r="Z95" s="11"/>
      <c r="AA95" s="11"/>
      <c r="AB95" s="11"/>
      <c r="AC95" s="11"/>
      <c r="AD95" s="11"/>
      <c r="AE95" s="11"/>
    </row>
    <row r="96" ht="19.5" customHeight="1">
      <c r="A96" s="11"/>
      <c r="B96" s="101"/>
      <c r="C96" s="147" t="s">
        <v>927</v>
      </c>
      <c r="D96" s="148" t="s">
        <v>928</v>
      </c>
      <c r="E96" s="104">
        <v>2.0</v>
      </c>
      <c r="F96" s="105">
        <v>2.0</v>
      </c>
      <c r="G96" s="106">
        <v>0.0</v>
      </c>
      <c r="H96" s="106">
        <v>0.0</v>
      </c>
      <c r="I96" s="107">
        <v>0.0</v>
      </c>
      <c r="J96" s="108">
        <v>2.0</v>
      </c>
      <c r="K96" s="102">
        <v>0.0</v>
      </c>
      <c r="L96" s="102">
        <v>0.0</v>
      </c>
      <c r="M96" s="109">
        <v>0.0</v>
      </c>
      <c r="N96" s="110">
        <f t="shared" si="15"/>
        <v>1</v>
      </c>
      <c r="O96" s="111">
        <f t="shared" si="16"/>
        <v>1</v>
      </c>
      <c r="P96" s="11"/>
      <c r="Q96" s="11"/>
      <c r="R96" s="11"/>
      <c r="S96" s="11"/>
      <c r="T96" s="11"/>
      <c r="U96" s="11"/>
      <c r="V96" s="11"/>
      <c r="W96" s="11"/>
      <c r="X96" s="11"/>
      <c r="Y96" s="11"/>
      <c r="Z96" s="11"/>
      <c r="AA96" s="11"/>
      <c r="AB96" s="11"/>
      <c r="AC96" s="11"/>
      <c r="AD96" s="11"/>
      <c r="AE96" s="11"/>
    </row>
    <row r="97" ht="19.5" customHeight="1">
      <c r="A97" s="11"/>
      <c r="B97" s="101"/>
      <c r="C97" s="147" t="s">
        <v>935</v>
      </c>
      <c r="D97" s="148" t="s">
        <v>936</v>
      </c>
      <c r="E97" s="104">
        <v>4.0</v>
      </c>
      <c r="F97" s="105">
        <v>3.0</v>
      </c>
      <c r="G97" s="106">
        <v>1.0</v>
      </c>
      <c r="H97" s="106">
        <v>0.0</v>
      </c>
      <c r="I97" s="107">
        <v>0.0</v>
      </c>
      <c r="J97" s="108">
        <v>4.0</v>
      </c>
      <c r="K97" s="102">
        <v>0.0</v>
      </c>
      <c r="L97" s="102">
        <v>0.0</v>
      </c>
      <c r="M97" s="109">
        <v>0.0</v>
      </c>
      <c r="N97" s="110">
        <f t="shared" si="15"/>
        <v>0.875</v>
      </c>
      <c r="O97" s="111">
        <f t="shared" si="16"/>
        <v>1</v>
      </c>
      <c r="P97" s="11"/>
      <c r="Q97" s="11"/>
      <c r="R97" s="11"/>
      <c r="S97" s="11"/>
      <c r="T97" s="11"/>
      <c r="U97" s="11"/>
      <c r="V97" s="11"/>
      <c r="W97" s="11"/>
      <c r="X97" s="11"/>
      <c r="Y97" s="11"/>
      <c r="Z97" s="11"/>
      <c r="AA97" s="11"/>
      <c r="AB97" s="11"/>
      <c r="AC97" s="11"/>
      <c r="AD97" s="11"/>
      <c r="AE97" s="11"/>
    </row>
    <row r="98" ht="19.5" customHeight="1">
      <c r="A98" s="11"/>
      <c r="B98" s="101"/>
      <c r="C98" s="147" t="s">
        <v>948</v>
      </c>
      <c r="D98" s="148" t="s">
        <v>949</v>
      </c>
      <c r="E98" s="104">
        <v>1.0</v>
      </c>
      <c r="F98" s="105">
        <v>1.0</v>
      </c>
      <c r="G98" s="106">
        <v>0.0</v>
      </c>
      <c r="H98" s="106">
        <v>0.0</v>
      </c>
      <c r="I98" s="107">
        <v>0.0</v>
      </c>
      <c r="J98" s="108">
        <v>1.0</v>
      </c>
      <c r="K98" s="102">
        <v>0.0</v>
      </c>
      <c r="L98" s="102">
        <v>0.0</v>
      </c>
      <c r="M98" s="109">
        <v>0.0</v>
      </c>
      <c r="N98" s="110">
        <f t="shared" si="15"/>
        <v>1</v>
      </c>
      <c r="O98" s="111">
        <f t="shared" si="16"/>
        <v>1</v>
      </c>
      <c r="P98" s="11"/>
      <c r="Q98" s="11"/>
      <c r="R98" s="11"/>
      <c r="S98" s="11"/>
      <c r="T98" s="11"/>
      <c r="U98" s="11"/>
      <c r="V98" s="11"/>
      <c r="W98" s="11"/>
      <c r="X98" s="11"/>
      <c r="Y98" s="11"/>
      <c r="Z98" s="11"/>
      <c r="AA98" s="11"/>
      <c r="AB98" s="11"/>
      <c r="AC98" s="11"/>
      <c r="AD98" s="11"/>
      <c r="AE98" s="11"/>
    </row>
    <row r="99" ht="19.5" customHeight="1">
      <c r="A99" s="11"/>
      <c r="B99" s="101"/>
      <c r="C99" s="149" t="s">
        <v>955</v>
      </c>
      <c r="D99" s="150" t="s">
        <v>956</v>
      </c>
      <c r="E99" s="128">
        <v>2.0</v>
      </c>
      <c r="F99" s="105">
        <v>0.0</v>
      </c>
      <c r="G99" s="130">
        <v>2.0</v>
      </c>
      <c r="H99" s="106">
        <v>0.0</v>
      </c>
      <c r="I99" s="107">
        <v>0.0</v>
      </c>
      <c r="J99" s="132">
        <v>2.0</v>
      </c>
      <c r="K99" s="126">
        <v>0.0</v>
      </c>
      <c r="L99" s="126">
        <v>0.0</v>
      </c>
      <c r="M99" s="151">
        <v>0.0</v>
      </c>
      <c r="N99" s="133">
        <f t="shared" si="15"/>
        <v>0.5</v>
      </c>
      <c r="O99" s="134">
        <f t="shared" si="16"/>
        <v>1</v>
      </c>
      <c r="P99" s="11"/>
      <c r="Q99" s="11"/>
      <c r="R99" s="11"/>
      <c r="S99" s="11"/>
      <c r="T99" s="11"/>
      <c r="U99" s="11"/>
      <c r="V99" s="11"/>
      <c r="W99" s="11"/>
      <c r="X99" s="11"/>
      <c r="Y99" s="11"/>
      <c r="Z99" s="11"/>
      <c r="AA99" s="11"/>
      <c r="AB99" s="11"/>
      <c r="AC99" s="11"/>
      <c r="AD99" s="11"/>
      <c r="AE99" s="11"/>
    </row>
    <row r="100" ht="22.5" customHeight="1">
      <c r="A100" s="135"/>
      <c r="B100" s="136" t="s">
        <v>980</v>
      </c>
      <c r="C100" s="137"/>
      <c r="D100" s="138"/>
      <c r="E100" s="139">
        <f t="shared" ref="E100:M100" si="17">SUM(E66:E99)</f>
        <v>55</v>
      </c>
      <c r="F100" s="139">
        <f t="shared" si="17"/>
        <v>31</v>
      </c>
      <c r="G100" s="139">
        <f t="shared" si="17"/>
        <v>23</v>
      </c>
      <c r="H100" s="139">
        <f t="shared" si="17"/>
        <v>0</v>
      </c>
      <c r="I100" s="140">
        <f t="shared" si="17"/>
        <v>1</v>
      </c>
      <c r="J100" s="153">
        <f t="shared" si="17"/>
        <v>52</v>
      </c>
      <c r="K100" s="154">
        <f t="shared" si="17"/>
        <v>2</v>
      </c>
      <c r="L100" s="154">
        <f t="shared" si="17"/>
        <v>0</v>
      </c>
      <c r="M100" s="155">
        <f t="shared" si="17"/>
        <v>1</v>
      </c>
      <c r="N100" s="143">
        <f>(($F$100)+($G$100/2))/($E$100-$I$100)</f>
        <v>0.787037037</v>
      </c>
      <c r="O100" s="156">
        <f>(($J$100)+($K$100/2))/($E$100-$M$100)</f>
        <v>0.9814814815</v>
      </c>
      <c r="P100" s="135"/>
      <c r="Q100" s="135"/>
      <c r="R100" s="135"/>
      <c r="S100" s="135"/>
      <c r="T100" s="135"/>
      <c r="U100" s="135"/>
      <c r="V100" s="135"/>
      <c r="W100" s="135"/>
      <c r="X100" s="135"/>
      <c r="Y100" s="135"/>
      <c r="Z100" s="135"/>
      <c r="AA100" s="135"/>
      <c r="AB100" s="135"/>
      <c r="AC100" s="135"/>
      <c r="AD100" s="135"/>
      <c r="AE100" s="135"/>
    </row>
    <row r="101" ht="16.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row>
    <row r="102" ht="16.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row>
    <row r="103" ht="16.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row>
    <row r="104" ht="16.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row>
    <row r="105" ht="16.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row>
    <row r="106" ht="16.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row>
    <row r="107" ht="16.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row>
    <row r="108" ht="16.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row>
    <row r="109" ht="16.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row>
    <row r="110" ht="16.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row>
    <row r="111" ht="16.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row>
    <row r="112" ht="16.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row>
    <row r="113" ht="16.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row>
    <row r="114" ht="16.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row>
    <row r="115" ht="16.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row>
    <row r="116" ht="16.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row>
    <row r="117" ht="16.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row>
    <row r="118" ht="16.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row>
    <row r="119" ht="16.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row>
    <row r="120" ht="16.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row>
    <row r="121" ht="16.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row>
    <row r="122" ht="16.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row>
    <row r="123" ht="16.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row>
    <row r="124" ht="16.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row>
    <row r="125" ht="16.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row>
    <row r="126" ht="16.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row>
    <row r="127" ht="16.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row>
    <row r="128" ht="16.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row>
    <row r="129" ht="16.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row>
    <row r="130" ht="16.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row>
    <row r="131" ht="16.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row>
    <row r="132" ht="16.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row>
    <row r="133" ht="16.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row>
    <row r="134" ht="16.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row>
    <row r="135" ht="16.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row>
    <row r="136" ht="16.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row>
    <row r="137" ht="16.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row>
    <row r="138" ht="16.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row>
    <row r="139" ht="16.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row>
    <row r="140" ht="16.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row>
    <row r="141" ht="16.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row>
    <row r="142" ht="16.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row>
    <row r="143" ht="16.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row>
    <row r="144" ht="16.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row>
    <row r="145" ht="16.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row>
    <row r="146" ht="16.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row>
    <row r="147" ht="16.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row>
    <row r="148" ht="16.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row>
    <row r="149" ht="16.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row>
    <row r="150" ht="16.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row>
    <row r="151" ht="16.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row>
    <row r="152" ht="16.5"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row>
    <row r="153" ht="16.5"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row>
    <row r="154" ht="16.5"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row>
    <row r="155" ht="16.5"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row>
    <row r="156" ht="16.5"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row>
    <row r="157" ht="16.5"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row>
    <row r="158" ht="16.5"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row>
    <row r="159" ht="16.5"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row>
    <row r="160" ht="16.5"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row>
    <row r="161" ht="16.5"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row>
    <row r="162" ht="16.5"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row>
    <row r="163" ht="16.5"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row>
    <row r="164" ht="16.5"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row>
    <row r="165" ht="16.5"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row>
    <row r="166" ht="16.5"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row>
    <row r="167" ht="16.5"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row>
    <row r="168" ht="16.5"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row>
    <row r="169" ht="16.5"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row>
    <row r="170" ht="16.5"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row>
    <row r="171" ht="16.5"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row>
    <row r="172" ht="16.5"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row>
    <row r="173" ht="16.5"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row>
    <row r="174" ht="16.5"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row>
    <row r="175" ht="16.5"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row>
    <row r="176" ht="16.5"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row>
    <row r="177" ht="16.5"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row>
    <row r="178" ht="16.5"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row>
    <row r="179" ht="16.5"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row>
    <row r="180" ht="16.5"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row>
    <row r="181" ht="16.5"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row>
    <row r="182" ht="16.5"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row>
    <row r="183" ht="16.5"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row>
    <row r="184" ht="16.5"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row>
    <row r="185" ht="16.5"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row>
    <row r="186" ht="16.5"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row>
    <row r="187" ht="16.5"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row>
    <row r="188" ht="16.5"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row>
    <row r="189" ht="16.5"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row>
    <row r="190" ht="16.5"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row>
    <row r="191" ht="16.5"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row>
    <row r="192" ht="16.5"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row>
    <row r="193" ht="16.5"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row>
    <row r="194" ht="16.5"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row>
    <row r="195" ht="16.5"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row>
    <row r="196" ht="16.5"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row>
    <row r="197" ht="16.5"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row>
    <row r="198" ht="16.5"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row>
    <row r="199" ht="16.5"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row>
    <row r="200" ht="16.5"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row>
    <row r="201" ht="16.5" customHeight="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row>
    <row r="202" ht="16.5" customHeight="1">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row>
    <row r="203" ht="16.5" customHeight="1">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row>
    <row r="204" ht="16.5" customHeight="1">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row>
    <row r="205" ht="16.5" customHeight="1">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row>
    <row r="206" ht="16.5" customHeight="1">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row>
    <row r="207" ht="16.5" customHeight="1">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row>
    <row r="208" ht="16.5" customHeight="1">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row>
    <row r="209" ht="16.5" customHeight="1">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row>
    <row r="210" ht="16.5" customHeight="1">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row>
    <row r="211" ht="16.5" customHeight="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row>
    <row r="212" ht="16.5" customHeight="1">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row>
    <row r="213" ht="16.5" customHeight="1">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row>
    <row r="214" ht="16.5" customHeight="1">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row>
    <row r="215" ht="16.5" customHeight="1">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row>
    <row r="216" ht="16.5" customHeight="1">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row>
    <row r="217" ht="16.5" customHeight="1">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row>
    <row r="218" ht="16.5" customHeight="1">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row>
    <row r="219" ht="16.5" customHeight="1">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row>
    <row r="220" ht="16.5" customHeight="1">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row>
    <row r="221" ht="16.5" customHeight="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row>
    <row r="222" ht="16.5" customHeight="1">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row>
    <row r="223" ht="16.5" customHeight="1">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row>
    <row r="224" ht="16.5" customHeight="1">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row>
    <row r="225" ht="16.5" customHeight="1">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row>
    <row r="226" ht="16.5" customHeight="1">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row>
    <row r="227" ht="16.5" customHeight="1">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row>
    <row r="228" ht="16.5" customHeight="1">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row>
    <row r="229" ht="16.5" customHeight="1">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row>
    <row r="230" ht="16.5" customHeight="1">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row>
    <row r="231" ht="16.5" customHeight="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row>
    <row r="232" ht="16.5" customHeight="1">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row>
    <row r="233" ht="16.5" customHeight="1">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row>
    <row r="234" ht="16.5" customHeight="1">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row>
    <row r="235" ht="16.5" customHeight="1">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row>
    <row r="236" ht="16.5" customHeight="1">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row>
    <row r="237" ht="16.5" customHeight="1">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row>
    <row r="238" ht="16.5" customHeight="1">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row>
    <row r="239" ht="16.5" customHeight="1">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row>
    <row r="240" ht="16.5" customHeight="1">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row>
    <row r="241" ht="16.5" customHeight="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row>
    <row r="242" ht="16.5" customHeight="1">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row>
    <row r="243" ht="16.5" customHeight="1">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row>
    <row r="244" ht="16.5" customHeight="1">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row>
    <row r="245" ht="16.5" customHeight="1">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row>
    <row r="246" ht="16.5" customHeight="1">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row>
    <row r="247" ht="16.5" customHeight="1">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row>
    <row r="248" ht="16.5" customHeight="1">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row>
    <row r="249" ht="16.5" customHeight="1">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row>
    <row r="250" ht="16.5" customHeight="1">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row>
    <row r="251" ht="16.5" customHeight="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row>
    <row r="252" ht="16.5" customHeight="1">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row>
    <row r="253" ht="16.5" customHeight="1">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row>
    <row r="254" ht="16.5" customHeight="1">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row>
    <row r="255" ht="16.5" customHeight="1">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row>
    <row r="256" ht="16.5" customHeight="1">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row>
    <row r="257" ht="16.5" customHeight="1">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row>
    <row r="258" ht="16.5" customHeight="1">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row>
    <row r="259" ht="16.5" customHeight="1">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row>
    <row r="260" ht="16.5" customHeight="1">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row>
    <row r="261" ht="16.5" customHeight="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row>
    <row r="262" ht="16.5" customHeight="1">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row>
    <row r="263" ht="16.5" customHeight="1">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row>
    <row r="264" ht="16.5" customHeight="1">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row>
    <row r="265" ht="16.5" customHeight="1">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row>
    <row r="266" ht="16.5" customHeight="1">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row>
    <row r="267" ht="16.5" customHeight="1">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row>
    <row r="268" ht="16.5" customHeight="1">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row>
    <row r="269" ht="16.5" customHeight="1">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row>
    <row r="270" ht="16.5" customHeight="1">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row>
    <row r="271" ht="16.5" customHeight="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row>
    <row r="272" ht="16.5" customHeight="1">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row>
    <row r="273" ht="16.5" customHeight="1">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row>
    <row r="274" ht="16.5" customHeight="1">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row>
    <row r="275" ht="16.5" customHeight="1">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row>
    <row r="276" ht="16.5" customHeight="1">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row>
    <row r="277" ht="16.5" customHeight="1">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row>
    <row r="278" ht="16.5" customHeight="1">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row>
    <row r="279" ht="16.5" customHeight="1">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row>
    <row r="280" ht="16.5" customHeight="1">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row>
    <row r="281" ht="16.5" customHeight="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row>
    <row r="282" ht="16.5" customHeight="1">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row>
    <row r="283" ht="16.5" customHeight="1">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row>
    <row r="284" ht="16.5" customHeight="1">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row>
    <row r="285" ht="16.5" customHeight="1">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row>
    <row r="286" ht="16.5" customHeight="1">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row>
    <row r="287" ht="16.5" customHeight="1">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row>
    <row r="288" ht="16.5" customHeight="1">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row>
    <row r="289" ht="16.5" customHeight="1">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row>
    <row r="290" ht="16.5" customHeight="1">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row>
    <row r="291" ht="16.5" customHeight="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row>
    <row r="292" ht="16.5" customHeight="1">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row>
    <row r="293" ht="16.5" customHeight="1">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row>
    <row r="294" ht="16.5" customHeight="1">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row>
    <row r="295" ht="16.5" customHeight="1">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row>
    <row r="296" ht="16.5" customHeight="1">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row>
    <row r="297" ht="16.5" customHeight="1">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row>
    <row r="298" ht="16.5" customHeight="1">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row>
    <row r="299" ht="16.5" customHeight="1">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row>
    <row r="300" ht="16.5" customHeight="1">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row>
    <row r="301" ht="16.5" customHeight="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row>
    <row r="302" ht="16.5" customHeight="1">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row>
    <row r="303" ht="16.5" customHeight="1">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row>
    <row r="304" ht="16.5" customHeight="1">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row>
    <row r="305" ht="16.5" customHeight="1">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row>
    <row r="306" ht="16.5" customHeight="1">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row>
    <row r="307" ht="16.5" customHeight="1">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row>
    <row r="308" ht="16.5" customHeight="1">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row>
    <row r="309" ht="16.5" customHeight="1">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row>
    <row r="310" ht="16.5" customHeight="1">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row>
    <row r="311" ht="16.5" customHeight="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row>
    <row r="312" ht="16.5" customHeight="1">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row>
    <row r="313" ht="16.5" customHeight="1">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row>
    <row r="314" ht="16.5" customHeight="1">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row>
    <row r="315" ht="16.5" customHeight="1">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row>
    <row r="316" ht="16.5" customHeight="1">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row>
    <row r="317" ht="16.5" customHeight="1">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row>
    <row r="318" ht="16.5" customHeight="1">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row>
    <row r="319" ht="16.5" customHeight="1">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row>
    <row r="320" ht="16.5" customHeight="1">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row>
    <row r="321" ht="16.5" customHeight="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row>
    <row r="322" ht="16.5" customHeight="1">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row>
    <row r="323" ht="16.5" customHeight="1">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row>
    <row r="324" ht="16.5" customHeight="1">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row>
    <row r="325" ht="16.5" customHeight="1">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row>
    <row r="326" ht="16.5" customHeight="1">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row>
    <row r="327" ht="16.5" customHeight="1">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row>
    <row r="328" ht="16.5" customHeight="1">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row>
    <row r="329" ht="16.5" customHeight="1">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row>
    <row r="330" ht="16.5" customHeight="1">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row>
    <row r="331" ht="16.5" customHeight="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row>
    <row r="332" ht="16.5" customHeight="1">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row>
    <row r="333" ht="16.5" customHeight="1">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row>
    <row r="334" ht="16.5" customHeight="1">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row>
    <row r="335" ht="16.5" customHeight="1">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row>
    <row r="336" ht="16.5" customHeight="1">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row>
    <row r="337" ht="16.5" customHeight="1">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row>
    <row r="338" ht="16.5" customHeight="1">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row>
    <row r="339" ht="16.5" customHeight="1">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row>
    <row r="340" ht="16.5" customHeight="1">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row>
    <row r="341" ht="16.5" customHeight="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row>
    <row r="342" ht="16.5" customHeight="1">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row>
    <row r="343" ht="16.5" customHeight="1">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row>
    <row r="344" ht="16.5" customHeight="1">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row>
    <row r="345" ht="16.5" customHeight="1">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row>
    <row r="346" ht="16.5" customHeight="1">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row>
    <row r="347" ht="16.5" customHeight="1">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row>
    <row r="348" ht="16.5" customHeight="1">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row>
    <row r="349" ht="16.5" customHeight="1">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row>
    <row r="350" ht="16.5" customHeight="1">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row>
    <row r="351" ht="16.5" customHeight="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row>
    <row r="352" ht="16.5" customHeight="1">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row>
    <row r="353" ht="16.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row>
    <row r="354" ht="16.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row>
    <row r="355" ht="16.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row>
    <row r="356" ht="16.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row>
    <row r="357" ht="16.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row>
    <row r="358" ht="16.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row>
    <row r="359" ht="16.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row>
    <row r="360" ht="16.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row>
    <row r="361" ht="16.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row>
    <row r="362" ht="16.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row>
    <row r="363" ht="16.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row>
    <row r="364" ht="16.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row>
    <row r="365" ht="16.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row>
    <row r="366" ht="16.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row>
    <row r="367" ht="16.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row>
    <row r="368" ht="16.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row>
    <row r="369" ht="16.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row>
    <row r="370" ht="16.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row>
    <row r="371" ht="16.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row>
    <row r="372" ht="16.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row>
    <row r="373" ht="16.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row>
    <row r="374" ht="16.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row>
    <row r="375" ht="16.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row>
    <row r="376" ht="16.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row>
    <row r="377" ht="16.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row>
    <row r="378" ht="16.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row>
    <row r="379" ht="16.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row>
    <row r="380" ht="16.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row>
    <row r="381" ht="16.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row>
    <row r="382" ht="16.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row>
    <row r="383" ht="16.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row>
    <row r="384" ht="16.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row>
    <row r="385" ht="16.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row>
    <row r="386" ht="16.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row>
    <row r="387" ht="16.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row>
    <row r="388" ht="16.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row>
    <row r="389" ht="16.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row>
    <row r="390" ht="16.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row>
    <row r="391" ht="16.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row>
    <row r="392" ht="16.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row>
    <row r="393" ht="16.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row>
    <row r="394" ht="16.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row>
    <row r="395" ht="16.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row>
    <row r="396" ht="16.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row>
    <row r="397" ht="16.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row>
    <row r="398" ht="16.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row>
    <row r="399" ht="16.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row>
    <row r="400" ht="16.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row>
    <row r="401" ht="16.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row>
    <row r="402" ht="16.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row>
    <row r="403" ht="16.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row>
    <row r="404" ht="16.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row>
    <row r="405" ht="16.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row>
    <row r="406" ht="16.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row>
    <row r="407" ht="16.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row>
    <row r="408" ht="16.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row>
    <row r="409" ht="16.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row>
    <row r="410" ht="16.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row>
    <row r="411" ht="16.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row>
    <row r="412" ht="16.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row>
    <row r="413" ht="16.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row>
    <row r="414" ht="16.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row>
    <row r="415" ht="16.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row>
    <row r="416" ht="16.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row>
    <row r="417" ht="16.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row>
    <row r="418" ht="16.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row>
    <row r="419" ht="16.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row>
    <row r="420" ht="16.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row>
    <row r="421" ht="16.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row>
    <row r="422" ht="16.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row>
    <row r="423" ht="16.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row>
    <row r="424" ht="16.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row>
    <row r="425" ht="16.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row>
    <row r="426" ht="16.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row>
    <row r="427" ht="16.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row>
    <row r="428" ht="16.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row>
    <row r="429" ht="16.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row>
    <row r="430" ht="16.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row>
    <row r="431" ht="16.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row>
    <row r="432" ht="16.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row>
    <row r="433" ht="16.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row>
    <row r="434" ht="16.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row>
    <row r="435" ht="16.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row>
    <row r="436" ht="16.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row>
    <row r="437" ht="16.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row>
    <row r="438" ht="16.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row>
    <row r="439" ht="16.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row>
    <row r="440" ht="16.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row>
    <row r="441" ht="16.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row>
    <row r="442" ht="16.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row>
    <row r="443" ht="16.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row>
    <row r="444" ht="16.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row>
    <row r="445" ht="16.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row>
    <row r="446" ht="16.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row>
    <row r="447" ht="16.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row>
    <row r="448" ht="16.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row>
    <row r="449" ht="16.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row>
    <row r="450" ht="16.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row>
    <row r="451" ht="16.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row>
    <row r="452" ht="16.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row>
    <row r="453" ht="16.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row>
    <row r="454" ht="16.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row>
    <row r="455" ht="16.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row>
    <row r="456" ht="16.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row>
    <row r="457" ht="16.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row>
    <row r="458" ht="16.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row>
    <row r="459" ht="16.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row>
    <row r="460" ht="16.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row>
    <row r="461" ht="16.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row>
    <row r="462" ht="16.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row>
    <row r="463" ht="16.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row>
    <row r="464" ht="16.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row>
    <row r="465" ht="16.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row>
    <row r="466" ht="16.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row>
    <row r="467" ht="16.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row>
    <row r="468" ht="16.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row>
    <row r="469" ht="16.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row>
    <row r="470" ht="16.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row>
    <row r="471" ht="16.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row>
    <row r="472" ht="16.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row>
    <row r="473" ht="16.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row>
    <row r="474" ht="16.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row>
    <row r="475" ht="16.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row>
    <row r="476" ht="16.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row>
    <row r="477" ht="16.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row>
    <row r="478" ht="16.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row>
    <row r="479" ht="16.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row>
    <row r="480" ht="16.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row>
    <row r="481" ht="16.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row>
    <row r="482" ht="16.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row>
    <row r="483" ht="16.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row>
    <row r="484" ht="16.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row>
    <row r="485" ht="16.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row>
    <row r="486" ht="16.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row>
    <row r="487" ht="16.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row>
    <row r="488" ht="16.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row>
    <row r="489" ht="16.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row>
    <row r="490" ht="16.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row>
    <row r="491" ht="16.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row>
    <row r="492" ht="16.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row>
    <row r="493" ht="16.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row>
    <row r="494" ht="16.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row>
    <row r="495" ht="16.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row>
    <row r="496" ht="16.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row>
    <row r="497" ht="16.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row>
    <row r="498" ht="16.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row>
    <row r="499" ht="16.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row>
    <row r="500" ht="16.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row>
    <row r="501" ht="16.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row>
    <row r="502" ht="16.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row>
    <row r="503" ht="16.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row>
    <row r="504" ht="16.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row>
    <row r="505" ht="16.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row>
    <row r="506" ht="16.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row>
    <row r="507" ht="16.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row>
    <row r="508" ht="16.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row>
    <row r="509" ht="16.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row>
    <row r="510" ht="16.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row>
    <row r="511" ht="16.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row>
    <row r="512" ht="16.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row>
    <row r="513" ht="16.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row>
    <row r="514" ht="16.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row>
    <row r="515" ht="16.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row>
    <row r="516" ht="16.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row>
    <row r="517" ht="16.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row>
    <row r="518" ht="16.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row>
    <row r="519" ht="16.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row>
    <row r="520" ht="16.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row>
    <row r="521" ht="16.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row>
    <row r="522" ht="16.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row>
    <row r="523" ht="16.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row>
    <row r="524" ht="16.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row>
    <row r="525" ht="16.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row>
    <row r="526" ht="16.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row>
    <row r="527" ht="16.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row>
    <row r="528" ht="16.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row>
    <row r="529" ht="16.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row>
    <row r="530" ht="16.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row>
    <row r="531" ht="16.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row>
    <row r="532" ht="16.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row>
    <row r="533" ht="16.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row>
    <row r="534" ht="16.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row>
    <row r="535" ht="16.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row>
    <row r="536" ht="16.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row>
    <row r="537" ht="16.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row>
    <row r="538" ht="16.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row>
    <row r="539" ht="16.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row>
    <row r="540" ht="16.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row>
    <row r="541" ht="16.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row>
    <row r="542" ht="16.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row>
    <row r="543" ht="16.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row>
    <row r="544" ht="16.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row>
    <row r="545" ht="16.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row>
    <row r="546" ht="16.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row>
    <row r="547" ht="16.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row>
    <row r="548" ht="16.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row>
    <row r="549" ht="16.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row>
    <row r="550" ht="16.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row>
    <row r="551" ht="16.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row>
    <row r="552" ht="16.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row>
    <row r="553" ht="16.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row>
    <row r="554" ht="16.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row>
    <row r="555" ht="16.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row>
    <row r="556" ht="16.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row>
    <row r="557" ht="16.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row>
    <row r="558" ht="16.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row>
    <row r="559" ht="16.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row>
    <row r="560" ht="16.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row>
    <row r="561" ht="16.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row>
    <row r="562" ht="16.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row>
    <row r="563" ht="16.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row>
    <row r="564" ht="16.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row>
    <row r="565" ht="16.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row>
    <row r="566" ht="16.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row>
    <row r="567" ht="16.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row>
    <row r="568" ht="16.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row>
    <row r="569" ht="16.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row>
    <row r="570" ht="16.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row>
    <row r="571" ht="16.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row>
    <row r="572" ht="16.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row>
    <row r="573" ht="16.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row>
    <row r="574" ht="16.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row>
    <row r="575" ht="16.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row>
    <row r="576" ht="16.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row>
    <row r="577" ht="16.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row>
    <row r="578" ht="16.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row>
    <row r="579" ht="16.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row>
    <row r="580" ht="16.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row>
    <row r="581" ht="16.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row>
    <row r="582" ht="16.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row>
    <row r="583" ht="16.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row>
    <row r="584" ht="16.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row>
    <row r="585" ht="16.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row>
    <row r="586" ht="16.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row>
    <row r="587" ht="16.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row>
    <row r="588" ht="16.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row>
    <row r="589" ht="16.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row>
    <row r="590" ht="16.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row>
    <row r="591" ht="16.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row>
    <row r="592" ht="16.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row>
    <row r="593" ht="16.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row>
    <row r="594" ht="16.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row>
    <row r="595" ht="16.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row>
    <row r="596" ht="16.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row>
    <row r="597" ht="16.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row>
    <row r="598" ht="16.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row>
    <row r="599" ht="16.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row>
    <row r="600" ht="16.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row>
    <row r="601" ht="16.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row>
    <row r="602" ht="16.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row>
    <row r="603" ht="16.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row>
    <row r="604" ht="16.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row>
    <row r="605" ht="16.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row>
    <row r="606" ht="16.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row>
    <row r="607" ht="16.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row>
    <row r="608" ht="16.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row>
    <row r="609" ht="16.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row>
    <row r="610" ht="16.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row>
    <row r="611" ht="16.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row>
    <row r="612" ht="16.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row>
    <row r="613" ht="16.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row>
    <row r="614" ht="16.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row>
    <row r="615" ht="16.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row>
    <row r="616" ht="16.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row>
    <row r="617" ht="16.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row>
    <row r="618" ht="16.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row>
    <row r="619" ht="16.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row>
    <row r="620" ht="16.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row>
    <row r="621" ht="16.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row>
    <row r="622" ht="16.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row>
    <row r="623" ht="16.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row>
    <row r="624" ht="16.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row>
    <row r="625" ht="16.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row>
    <row r="626" ht="16.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row>
    <row r="627" ht="16.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row>
    <row r="628" ht="16.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row>
    <row r="629" ht="16.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row>
    <row r="630" ht="16.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row>
    <row r="631" ht="16.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row>
    <row r="632" ht="16.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row>
    <row r="633" ht="16.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row>
    <row r="634" ht="16.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row>
    <row r="635" ht="16.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row>
    <row r="636" ht="16.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row>
    <row r="637" ht="16.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row>
    <row r="638" ht="16.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row>
    <row r="639" ht="16.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row>
    <row r="640" ht="16.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row>
    <row r="641" ht="16.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row>
    <row r="642" ht="16.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row>
    <row r="643" ht="16.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row>
    <row r="644" ht="16.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row>
    <row r="645" ht="16.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row>
    <row r="646" ht="16.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row>
    <row r="647" ht="16.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row>
    <row r="648" ht="16.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row>
    <row r="649" ht="16.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row>
    <row r="650" ht="16.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row>
    <row r="651" ht="16.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row>
    <row r="652" ht="16.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row>
    <row r="653" ht="16.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row>
    <row r="654" ht="16.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row>
    <row r="655" ht="16.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row>
    <row r="656" ht="16.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row>
    <row r="657" ht="16.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row>
    <row r="658" ht="16.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row>
    <row r="659" ht="16.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row>
    <row r="660" ht="16.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row>
    <row r="661" ht="16.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row>
    <row r="662" ht="16.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row>
    <row r="663" ht="16.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row>
    <row r="664" ht="16.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row>
    <row r="665" ht="16.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row>
    <row r="666" ht="16.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row>
    <row r="667" ht="16.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row>
    <row r="668" ht="16.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row>
    <row r="669" ht="16.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row>
    <row r="670" ht="16.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row>
    <row r="671" ht="16.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row>
    <row r="672" ht="16.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row>
    <row r="673" ht="16.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row>
    <row r="674" ht="16.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row>
    <row r="675" ht="16.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row>
    <row r="676" ht="16.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row>
    <row r="677" ht="16.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row>
    <row r="678" ht="16.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row>
    <row r="679" ht="16.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row>
    <row r="680" ht="16.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row>
    <row r="681" ht="16.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row>
    <row r="682" ht="16.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row>
    <row r="683" ht="16.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row>
    <row r="684" ht="16.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row>
    <row r="685" ht="16.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row>
    <row r="686" ht="16.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row>
    <row r="687" ht="16.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row>
    <row r="688" ht="16.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row>
    <row r="689" ht="16.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row>
    <row r="690" ht="16.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row>
    <row r="691" ht="16.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row>
    <row r="692" ht="16.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row>
    <row r="693" ht="16.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row>
    <row r="694" ht="16.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row>
    <row r="695" ht="16.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row>
    <row r="696" ht="16.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row>
    <row r="697" ht="16.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row>
    <row r="698" ht="16.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row>
    <row r="699" ht="16.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row>
    <row r="700" ht="16.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row>
    <row r="701" ht="16.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row>
    <row r="702" ht="16.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row>
    <row r="703" ht="16.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row>
    <row r="704" ht="16.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row>
    <row r="705" ht="16.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row>
    <row r="706" ht="16.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row>
    <row r="707" ht="16.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row>
    <row r="708" ht="16.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row>
    <row r="709" ht="16.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row>
    <row r="710" ht="16.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row>
    <row r="711" ht="16.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row>
    <row r="712" ht="16.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row>
    <row r="713" ht="16.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row>
    <row r="714" ht="16.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row>
    <row r="715" ht="16.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row>
    <row r="716" ht="16.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row>
    <row r="717" ht="16.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row>
    <row r="718" ht="16.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row>
    <row r="719" ht="16.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row>
    <row r="720" ht="16.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row>
    <row r="721" ht="16.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row>
    <row r="722" ht="16.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row>
    <row r="723" ht="16.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row>
    <row r="724" ht="16.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row>
    <row r="725" ht="16.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row>
    <row r="726" ht="16.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row>
    <row r="727" ht="16.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row>
    <row r="728" ht="16.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row>
    <row r="729" ht="16.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row>
    <row r="730" ht="16.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row>
    <row r="731" ht="16.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row>
    <row r="732" ht="16.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row>
    <row r="733" ht="16.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row>
    <row r="734" ht="16.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row>
    <row r="735" ht="16.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row>
    <row r="736" ht="16.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row>
    <row r="737" ht="16.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row>
    <row r="738" ht="16.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row>
    <row r="739" ht="16.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row>
    <row r="740" ht="16.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row>
    <row r="741" ht="16.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row>
    <row r="742" ht="16.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row>
    <row r="743" ht="16.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row>
    <row r="744" ht="16.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row>
    <row r="745" ht="16.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row>
    <row r="746" ht="16.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row>
    <row r="747" ht="16.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row>
    <row r="748" ht="16.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row>
    <row r="749" ht="16.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row>
    <row r="750" ht="16.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row>
    <row r="751" ht="16.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row>
    <row r="752" ht="16.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row>
    <row r="753" ht="16.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row>
    <row r="754" ht="16.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row>
    <row r="755" ht="16.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row>
    <row r="756" ht="16.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row>
    <row r="757" ht="16.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row>
    <row r="758" ht="16.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row>
    <row r="759" ht="16.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row>
    <row r="760" ht="16.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row>
    <row r="761" ht="16.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row>
    <row r="762" ht="16.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row>
    <row r="763" ht="16.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row>
    <row r="764" ht="16.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row>
    <row r="765" ht="16.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row>
    <row r="766" ht="16.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row>
    <row r="767" ht="16.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row>
    <row r="768" ht="16.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row>
    <row r="769" ht="16.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row>
    <row r="770" ht="16.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row>
    <row r="771" ht="16.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row>
    <row r="772" ht="16.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row>
    <row r="773" ht="16.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row>
    <row r="774" ht="16.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row>
    <row r="775" ht="16.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row>
    <row r="776" ht="16.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row>
    <row r="777" ht="16.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row>
    <row r="778" ht="16.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row>
    <row r="779" ht="16.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row>
    <row r="780" ht="16.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row>
    <row r="781" ht="16.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row>
    <row r="782" ht="16.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row>
    <row r="783" ht="16.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row>
    <row r="784" ht="16.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row>
    <row r="785" ht="16.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row>
    <row r="786" ht="16.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row>
    <row r="787" ht="16.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row>
    <row r="788" ht="16.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row>
    <row r="789" ht="16.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row>
    <row r="790" ht="16.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row>
    <row r="791" ht="16.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row>
    <row r="792" ht="16.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row>
    <row r="793" ht="16.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row>
    <row r="794" ht="16.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row>
    <row r="795" ht="16.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row>
    <row r="796" ht="16.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row>
    <row r="797" ht="16.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row>
    <row r="798" ht="16.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row>
    <row r="799" ht="16.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row>
    <row r="800" ht="16.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row>
    <row r="801" ht="16.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row>
    <row r="802" ht="16.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row>
    <row r="803" ht="16.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row>
    <row r="804" ht="16.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row>
    <row r="805" ht="16.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row>
    <row r="806" ht="16.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row>
    <row r="807" ht="16.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row>
    <row r="808" ht="16.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row>
    <row r="809" ht="16.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row>
    <row r="810" ht="16.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row>
    <row r="811" ht="16.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row>
    <row r="812" ht="16.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row>
    <row r="813" ht="16.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row>
    <row r="814" ht="16.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row>
    <row r="815" ht="16.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row>
    <row r="816" ht="16.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row>
    <row r="817" ht="16.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row>
    <row r="818" ht="16.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row>
    <row r="819" ht="16.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row>
    <row r="820" ht="16.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row>
    <row r="821" ht="16.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row>
    <row r="822" ht="16.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row>
    <row r="823" ht="16.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row>
    <row r="824" ht="16.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row>
    <row r="825" ht="16.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row>
    <row r="826" ht="16.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row>
    <row r="827" ht="16.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row>
    <row r="828" ht="16.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row>
    <row r="829" ht="16.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row>
    <row r="830" ht="16.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row>
    <row r="831" ht="16.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row>
    <row r="832" ht="16.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row>
    <row r="833" ht="16.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row>
    <row r="834" ht="16.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row>
    <row r="835" ht="16.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row>
    <row r="836" ht="16.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row>
    <row r="837" ht="16.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row>
    <row r="838" ht="16.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row>
    <row r="839" ht="16.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row>
    <row r="840" ht="16.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row>
    <row r="841" ht="16.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row>
    <row r="842" ht="16.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row>
    <row r="843" ht="16.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row>
    <row r="844" ht="16.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row>
    <row r="845" ht="16.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row>
    <row r="846" ht="16.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row>
    <row r="847" ht="16.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row>
    <row r="848" ht="16.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row>
    <row r="849" ht="16.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row>
    <row r="850" ht="16.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row>
    <row r="851" ht="16.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row>
    <row r="852" ht="16.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row>
    <row r="853" ht="16.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row>
    <row r="854" ht="16.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row>
    <row r="855" ht="16.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row>
    <row r="856" ht="16.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row>
    <row r="857" ht="16.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row>
    <row r="858" ht="16.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row>
    <row r="859" ht="16.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row>
    <row r="860" ht="16.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row>
    <row r="861" ht="16.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row>
    <row r="862" ht="16.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row>
    <row r="863" ht="16.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row>
    <row r="864" ht="16.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row>
    <row r="865" ht="16.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row>
    <row r="866" ht="16.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row>
    <row r="867" ht="16.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row>
    <row r="868" ht="16.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row>
    <row r="869" ht="16.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row>
    <row r="870" ht="16.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row>
    <row r="871" ht="16.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row>
    <row r="872" ht="16.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row>
    <row r="873" ht="16.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row>
    <row r="874" ht="16.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row>
    <row r="875" ht="16.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row>
    <row r="876" ht="16.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row>
    <row r="877" ht="16.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row>
    <row r="878" ht="16.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row>
    <row r="879" ht="16.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row>
    <row r="880" ht="16.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row>
    <row r="881" ht="16.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row>
    <row r="882" ht="16.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row>
    <row r="883" ht="16.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row>
    <row r="884" ht="16.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row>
    <row r="885" ht="16.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row>
    <row r="886" ht="16.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row>
    <row r="887" ht="16.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row>
    <row r="888" ht="16.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row>
    <row r="889" ht="16.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row>
    <row r="890" ht="16.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row>
    <row r="891" ht="16.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row>
    <row r="892" ht="16.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row>
    <row r="893" ht="16.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row>
    <row r="894" ht="16.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row>
    <row r="895" ht="16.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row>
    <row r="896" ht="16.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row>
    <row r="897" ht="16.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row>
    <row r="898" ht="16.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row>
    <row r="899" ht="16.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row>
    <row r="900" ht="16.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row>
    <row r="901" ht="16.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row>
    <row r="902" ht="16.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row>
    <row r="903" ht="16.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row>
    <row r="904" ht="16.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row>
    <row r="905" ht="16.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row>
    <row r="906" ht="16.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row>
    <row r="907" ht="16.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row>
    <row r="908" ht="16.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row>
    <row r="909" ht="16.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row>
    <row r="910" ht="16.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row>
    <row r="911" ht="16.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row>
    <row r="912" ht="16.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row>
    <row r="913" ht="16.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row>
    <row r="914" ht="16.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row>
    <row r="915" ht="16.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row>
    <row r="916" ht="16.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row>
    <row r="917" ht="16.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row>
    <row r="918" ht="16.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row>
    <row r="919" ht="16.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row>
    <row r="920" ht="16.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row>
    <row r="921" ht="16.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row>
    <row r="922" ht="16.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row>
    <row r="923" ht="16.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row>
    <row r="924" ht="16.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row>
    <row r="925" ht="16.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row>
    <row r="926" ht="16.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row>
    <row r="927" ht="16.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row>
    <row r="928" ht="16.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row>
    <row r="929" ht="16.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row>
    <row r="930" ht="16.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row>
    <row r="931" ht="16.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row>
    <row r="932" ht="16.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row>
    <row r="933" ht="16.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row>
    <row r="934" ht="16.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row>
    <row r="935" ht="16.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row>
    <row r="936" ht="16.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row>
    <row r="937" ht="16.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row>
    <row r="938" ht="16.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row>
    <row r="939" ht="16.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row>
    <row r="940" ht="16.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row>
    <row r="941" ht="16.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row>
    <row r="942" ht="16.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row>
    <row r="943" ht="16.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row>
    <row r="944" ht="16.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row>
    <row r="945" ht="16.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row>
    <row r="946" ht="16.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row>
    <row r="947" ht="16.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row>
    <row r="948" ht="16.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row>
    <row r="949" ht="16.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row>
    <row r="950" ht="16.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row>
    <row r="951" ht="16.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row>
    <row r="952" ht="16.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row>
    <row r="953" ht="16.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row>
    <row r="954" ht="16.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row>
    <row r="955" ht="16.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row>
    <row r="956" ht="16.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row>
    <row r="957" ht="16.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row>
    <row r="958" ht="16.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row>
    <row r="959" ht="16.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row>
    <row r="960" ht="16.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row>
    <row r="961" ht="16.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row>
    <row r="962" ht="16.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row>
    <row r="963" ht="16.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row>
    <row r="964" ht="16.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row>
    <row r="965" ht="16.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row>
    <row r="966" ht="16.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row>
    <row r="967" ht="16.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row>
    <row r="968" ht="16.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row>
    <row r="969" ht="16.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row>
    <row r="970" ht="16.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row>
    <row r="971" ht="16.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row>
    <row r="972" ht="16.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row>
    <row r="973" ht="16.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row>
    <row r="974" ht="16.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row>
    <row r="975" ht="16.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row>
    <row r="976" ht="16.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row>
    <row r="977" ht="16.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row>
    <row r="978" ht="16.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row>
    <row r="979" ht="16.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row>
    <row r="980" ht="16.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row>
    <row r="981" ht="16.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row>
    <row r="982" ht="16.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row>
    <row r="983" ht="16.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row>
    <row r="984" ht="16.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row>
    <row r="985" ht="16.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row>
    <row r="986" ht="16.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row>
    <row r="987" ht="16.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row>
    <row r="988" ht="16.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row>
    <row r="989" ht="16.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row>
    <row r="990" ht="16.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row>
    <row r="991" ht="16.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row>
    <row r="992" ht="16.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row>
    <row r="993" ht="16.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row>
    <row r="994" ht="16.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row>
    <row r="995" ht="16.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row>
    <row r="996" ht="16.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row>
    <row r="997" ht="16.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row>
    <row r="998" ht="16.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row>
    <row r="999" ht="16.5" customHeight="1">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row>
    <row r="1000" ht="16.5" customHeight="1">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row>
  </sheetData>
  <mergeCells count="20">
    <mergeCell ref="O2:O3"/>
    <mergeCell ref="Q2:Q3"/>
    <mergeCell ref="R2:R3"/>
    <mergeCell ref="S2:S3"/>
    <mergeCell ref="Q12:AE39"/>
    <mergeCell ref="B4:B40"/>
    <mergeCell ref="B41:D41"/>
    <mergeCell ref="B42:B49"/>
    <mergeCell ref="B50:D50"/>
    <mergeCell ref="B51:B64"/>
    <mergeCell ref="B65:D65"/>
    <mergeCell ref="B66:B99"/>
    <mergeCell ref="B100:D100"/>
    <mergeCell ref="B2:B3"/>
    <mergeCell ref="C2:C3"/>
    <mergeCell ref="D2:D3"/>
    <mergeCell ref="E2:E3"/>
    <mergeCell ref="F2:I2"/>
    <mergeCell ref="J2:M2"/>
    <mergeCell ref="N2:N3"/>
  </mergeCells>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9.0" ySplit="7.0" topLeftCell="J8" activePane="bottomRight" state="frozen"/>
      <selection activeCell="J1" sqref="J1" pane="topRight"/>
      <selection activeCell="A8" sqref="A8" pane="bottomLeft"/>
      <selection activeCell="J8" sqref="J8" pane="bottomRight"/>
    </sheetView>
  </sheetViews>
  <sheetFormatPr customHeight="1" defaultColWidth="14.43" defaultRowHeight="15.0"/>
  <cols>
    <col customWidth="1" min="1" max="1" width="3.0"/>
    <col customWidth="1" min="3" max="3" width="9.29"/>
    <col customWidth="1" min="4" max="4" width="21.0"/>
    <col customWidth="1" min="5" max="5" width="15.0"/>
    <col customWidth="1" min="6" max="6" width="6.0"/>
    <col customWidth="1" min="7" max="7" width="50.71"/>
    <col customWidth="1" min="8" max="8" width="7.29"/>
    <col customWidth="1" min="9" max="11" width="50.71"/>
    <col customWidth="1" min="12" max="12" width="90.86"/>
    <col customWidth="1" min="13" max="13" width="16.86"/>
    <col customWidth="1" min="14" max="14" width="27.0"/>
    <col customWidth="1" min="15" max="15" width="8.71"/>
    <col customWidth="1" min="16" max="26" width="9.0"/>
  </cols>
  <sheetData>
    <row r="1" ht="16.5" customHeight="1">
      <c r="A1" s="8"/>
      <c r="B1" s="27"/>
      <c r="C1" s="27"/>
      <c r="D1" s="27"/>
      <c r="E1" s="28"/>
      <c r="F1" s="31"/>
      <c r="G1" s="28"/>
      <c r="H1" s="157"/>
      <c r="I1" s="158"/>
      <c r="J1" s="27"/>
      <c r="K1" s="27"/>
      <c r="L1" s="27"/>
      <c r="M1" s="27"/>
      <c r="N1" s="31"/>
      <c r="O1" s="31"/>
      <c r="P1" s="8"/>
      <c r="Q1" s="8"/>
      <c r="R1" s="8"/>
      <c r="S1" s="8"/>
      <c r="T1" s="8"/>
      <c r="U1" s="8"/>
      <c r="V1" s="8"/>
      <c r="W1" s="8"/>
      <c r="X1" s="8"/>
      <c r="Y1" s="8"/>
      <c r="Z1" s="8"/>
    </row>
    <row r="2" ht="16.5" customHeight="1">
      <c r="A2" s="8"/>
      <c r="B2" s="159" t="s">
        <v>981</v>
      </c>
      <c r="C2" s="160"/>
      <c r="D2" s="160"/>
      <c r="E2" s="160"/>
      <c r="F2" s="160"/>
      <c r="G2" s="160"/>
      <c r="H2" s="160"/>
      <c r="I2" s="160"/>
      <c r="J2" s="160"/>
      <c r="K2" s="160"/>
      <c r="L2" s="160"/>
      <c r="M2" s="160"/>
      <c r="N2" s="160"/>
      <c r="O2" s="161"/>
      <c r="P2" s="8"/>
      <c r="Q2" s="8"/>
      <c r="R2" s="8"/>
      <c r="S2" s="8"/>
      <c r="T2" s="8"/>
      <c r="U2" s="8"/>
      <c r="V2" s="8"/>
      <c r="W2" s="8"/>
      <c r="X2" s="8"/>
      <c r="Y2" s="8"/>
      <c r="Z2" s="8"/>
    </row>
    <row r="3" ht="16.5" customHeight="1">
      <c r="A3" s="8"/>
      <c r="B3" s="162"/>
      <c r="C3" s="27"/>
      <c r="D3" s="27"/>
      <c r="E3" s="28"/>
      <c r="F3" s="31"/>
      <c r="G3" s="28"/>
      <c r="H3" s="157"/>
      <c r="I3" s="158"/>
      <c r="J3" s="27"/>
      <c r="K3" s="27"/>
      <c r="L3" s="27"/>
      <c r="M3" s="27"/>
      <c r="N3" s="31"/>
      <c r="O3" s="163"/>
      <c r="P3" s="8"/>
      <c r="Q3" s="8"/>
      <c r="R3" s="8"/>
      <c r="S3" s="8"/>
      <c r="T3" s="8"/>
      <c r="U3" s="8"/>
      <c r="V3" s="8"/>
      <c r="W3" s="8"/>
      <c r="X3" s="8"/>
      <c r="Y3" s="8"/>
      <c r="Z3" s="8"/>
    </row>
    <row r="4" ht="16.5" customHeight="1">
      <c r="A4" s="8"/>
      <c r="B4" s="162"/>
      <c r="C4" s="27"/>
      <c r="D4" s="27"/>
      <c r="E4" s="28"/>
      <c r="F4" s="31"/>
      <c r="G4" s="28"/>
      <c r="H4" s="157"/>
      <c r="I4" s="158"/>
      <c r="J4" s="27"/>
      <c r="K4" s="27"/>
      <c r="L4" s="27"/>
      <c r="M4" s="27"/>
      <c r="N4" s="31"/>
      <c r="O4" s="163"/>
      <c r="P4" s="8"/>
      <c r="Q4" s="8"/>
      <c r="R4" s="8"/>
      <c r="S4" s="8"/>
      <c r="T4" s="8"/>
      <c r="U4" s="8"/>
      <c r="V4" s="8"/>
      <c r="W4" s="8"/>
      <c r="X4" s="8"/>
      <c r="Y4" s="8"/>
      <c r="Z4" s="8"/>
    </row>
    <row r="5" ht="16.5" customHeight="1">
      <c r="A5" s="8"/>
      <c r="B5" s="162"/>
      <c r="C5" s="27"/>
      <c r="D5" s="27"/>
      <c r="E5" s="28"/>
      <c r="F5" s="31"/>
      <c r="G5" s="28"/>
      <c r="H5" s="157"/>
      <c r="I5" s="158"/>
      <c r="J5" s="27"/>
      <c r="K5" s="27"/>
      <c r="L5" s="27"/>
      <c r="M5" s="27"/>
      <c r="N5" s="31"/>
      <c r="O5" s="163"/>
      <c r="P5" s="8"/>
      <c r="Q5" s="8"/>
      <c r="R5" s="8"/>
      <c r="S5" s="8"/>
      <c r="T5" s="8"/>
      <c r="U5" s="8"/>
      <c r="V5" s="8"/>
      <c r="W5" s="8"/>
      <c r="X5" s="8"/>
      <c r="Y5" s="8"/>
      <c r="Z5" s="8"/>
    </row>
    <row r="6" ht="16.5" customHeight="1">
      <c r="A6" s="8"/>
      <c r="B6" s="162"/>
      <c r="C6" s="27"/>
      <c r="D6" s="27"/>
      <c r="E6" s="28"/>
      <c r="F6" s="31"/>
      <c r="G6" s="28"/>
      <c r="H6" s="157"/>
      <c r="I6" s="158"/>
      <c r="J6" s="27"/>
      <c r="K6" s="27"/>
      <c r="L6" s="27"/>
      <c r="M6" s="27"/>
      <c r="N6" s="31"/>
      <c r="O6" s="163"/>
      <c r="P6" s="8"/>
      <c r="Q6" s="8"/>
      <c r="R6" s="8"/>
      <c r="S6" s="8"/>
      <c r="T6" s="8"/>
      <c r="U6" s="8"/>
      <c r="V6" s="8"/>
      <c r="W6" s="8"/>
      <c r="X6" s="8"/>
      <c r="Y6" s="8"/>
      <c r="Z6" s="8"/>
    </row>
    <row r="7" ht="49.5" customHeight="1">
      <c r="A7" s="8"/>
      <c r="B7" s="164" t="s">
        <v>982</v>
      </c>
      <c r="C7" s="165" t="s">
        <v>152</v>
      </c>
      <c r="D7" s="165" t="s">
        <v>153</v>
      </c>
      <c r="E7" s="165" t="s">
        <v>154</v>
      </c>
      <c r="F7" s="165" t="s">
        <v>155</v>
      </c>
      <c r="G7" s="165" t="s">
        <v>156</v>
      </c>
      <c r="H7" s="165" t="s">
        <v>983</v>
      </c>
      <c r="I7" s="166" t="s">
        <v>157</v>
      </c>
      <c r="J7" s="165" t="s">
        <v>984</v>
      </c>
      <c r="K7" s="166" t="s">
        <v>985</v>
      </c>
      <c r="L7" s="166" t="s">
        <v>986</v>
      </c>
      <c r="M7" s="166" t="s">
        <v>5</v>
      </c>
      <c r="N7" s="166" t="s">
        <v>987</v>
      </c>
      <c r="O7" s="167" t="s">
        <v>988</v>
      </c>
      <c r="P7" s="8"/>
      <c r="Q7" s="8"/>
      <c r="R7" s="8"/>
      <c r="S7" s="8"/>
      <c r="T7" s="8"/>
      <c r="U7" s="8"/>
      <c r="V7" s="8"/>
      <c r="W7" s="8"/>
      <c r="X7" s="8"/>
      <c r="Y7" s="8"/>
      <c r="Z7" s="8"/>
    </row>
    <row r="8" ht="199.5" customHeight="1">
      <c r="A8" s="8"/>
      <c r="B8" s="168" t="s">
        <v>158</v>
      </c>
      <c r="C8" s="145" t="s">
        <v>159</v>
      </c>
      <c r="D8" s="145" t="s">
        <v>160</v>
      </c>
      <c r="E8" s="145" t="s">
        <v>161</v>
      </c>
      <c r="F8" s="145" t="s">
        <v>162</v>
      </c>
      <c r="G8" s="145" t="s">
        <v>163</v>
      </c>
      <c r="H8" s="169" t="s">
        <v>22</v>
      </c>
      <c r="I8" s="170" t="s">
        <v>989</v>
      </c>
      <c r="J8" s="145" t="s">
        <v>990</v>
      </c>
      <c r="K8" s="171" t="s">
        <v>991</v>
      </c>
      <c r="L8" s="171" t="s">
        <v>992</v>
      </c>
      <c r="M8" s="145" t="s">
        <v>993</v>
      </c>
      <c r="N8" s="145" t="s">
        <v>994</v>
      </c>
      <c r="O8" s="172"/>
      <c r="P8" s="8"/>
      <c r="Q8" s="8"/>
      <c r="R8" s="8"/>
      <c r="S8" s="8"/>
      <c r="T8" s="8"/>
      <c r="U8" s="8"/>
      <c r="V8" s="8"/>
      <c r="W8" s="8"/>
      <c r="X8" s="8"/>
      <c r="Y8" s="8"/>
      <c r="Z8" s="8"/>
    </row>
    <row r="9" ht="199.5" customHeight="1">
      <c r="A9" s="8"/>
      <c r="B9" s="173"/>
      <c r="C9" s="147"/>
      <c r="D9" s="147"/>
      <c r="E9" s="147"/>
      <c r="F9" s="147" t="s">
        <v>167</v>
      </c>
      <c r="G9" s="147" t="s">
        <v>168</v>
      </c>
      <c r="H9" s="174" t="s">
        <v>22</v>
      </c>
      <c r="I9" s="175" t="s">
        <v>995</v>
      </c>
      <c r="J9" s="147" t="s">
        <v>990</v>
      </c>
      <c r="K9" s="147" t="s">
        <v>996</v>
      </c>
      <c r="L9" s="147" t="s">
        <v>997</v>
      </c>
      <c r="M9" s="147" t="s">
        <v>998</v>
      </c>
      <c r="N9" s="147" t="s">
        <v>999</v>
      </c>
      <c r="O9" s="176"/>
      <c r="P9" s="8"/>
      <c r="Q9" s="8"/>
      <c r="R9" s="8"/>
      <c r="S9" s="8"/>
      <c r="T9" s="8"/>
      <c r="U9" s="8"/>
      <c r="V9" s="8"/>
      <c r="W9" s="8"/>
      <c r="X9" s="8"/>
      <c r="Y9" s="8"/>
      <c r="Z9" s="8"/>
    </row>
    <row r="10" ht="199.5" customHeight="1">
      <c r="A10" s="8"/>
      <c r="B10" s="173"/>
      <c r="C10" s="147"/>
      <c r="D10" s="147"/>
      <c r="E10" s="147"/>
      <c r="F10" s="147" t="s">
        <v>171</v>
      </c>
      <c r="G10" s="147" t="s">
        <v>172</v>
      </c>
      <c r="H10" s="174" t="s">
        <v>22</v>
      </c>
      <c r="I10" s="175" t="s">
        <v>1000</v>
      </c>
      <c r="J10" s="147" t="s">
        <v>990</v>
      </c>
      <c r="K10" s="177" t="s">
        <v>1001</v>
      </c>
      <c r="L10" s="147" t="s">
        <v>1002</v>
      </c>
      <c r="M10" s="147" t="s">
        <v>998</v>
      </c>
      <c r="N10" s="147" t="s">
        <v>999</v>
      </c>
      <c r="O10" s="176"/>
      <c r="P10" s="8"/>
      <c r="Q10" s="8"/>
      <c r="R10" s="8"/>
      <c r="S10" s="8"/>
      <c r="T10" s="8"/>
      <c r="U10" s="8"/>
      <c r="V10" s="8"/>
      <c r="W10" s="8"/>
      <c r="X10" s="8"/>
      <c r="Y10" s="8"/>
      <c r="Z10" s="8"/>
    </row>
    <row r="11" ht="199.5" customHeight="1">
      <c r="A11" s="8"/>
      <c r="B11" s="173"/>
      <c r="C11" s="147"/>
      <c r="D11" s="147"/>
      <c r="E11" s="147"/>
      <c r="F11" s="147" t="s">
        <v>174</v>
      </c>
      <c r="G11" s="147" t="s">
        <v>175</v>
      </c>
      <c r="H11" s="174" t="s">
        <v>22</v>
      </c>
      <c r="I11" s="175" t="s">
        <v>1003</v>
      </c>
      <c r="J11" s="147" t="s">
        <v>990</v>
      </c>
      <c r="K11" s="147" t="s">
        <v>1001</v>
      </c>
      <c r="L11" s="147" t="s">
        <v>1004</v>
      </c>
      <c r="M11" s="147" t="s">
        <v>998</v>
      </c>
      <c r="N11" s="147" t="s">
        <v>999</v>
      </c>
      <c r="O11" s="176"/>
      <c r="P11" s="8"/>
      <c r="Q11" s="8"/>
      <c r="R11" s="8"/>
      <c r="S11" s="8"/>
      <c r="T11" s="8"/>
      <c r="U11" s="8"/>
      <c r="V11" s="8"/>
      <c r="W11" s="8"/>
      <c r="X11" s="8"/>
      <c r="Y11" s="8"/>
      <c r="Z11" s="8"/>
    </row>
    <row r="12" ht="199.5" customHeight="1">
      <c r="A12" s="8"/>
      <c r="B12" s="173"/>
      <c r="C12" s="147"/>
      <c r="D12" s="147"/>
      <c r="E12" s="147"/>
      <c r="F12" s="147" t="s">
        <v>1005</v>
      </c>
      <c r="G12" s="147" t="s">
        <v>178</v>
      </c>
      <c r="H12" s="174" t="s">
        <v>22</v>
      </c>
      <c r="I12" s="175" t="s">
        <v>1006</v>
      </c>
      <c r="J12" s="147" t="s">
        <v>990</v>
      </c>
      <c r="K12" s="147" t="s">
        <v>1007</v>
      </c>
      <c r="L12" s="147" t="s">
        <v>1008</v>
      </c>
      <c r="M12" s="147" t="s">
        <v>998</v>
      </c>
      <c r="N12" s="147" t="s">
        <v>999</v>
      </c>
      <c r="O12" s="176"/>
      <c r="P12" s="8"/>
      <c r="Q12" s="8"/>
      <c r="R12" s="8"/>
      <c r="S12" s="8"/>
      <c r="T12" s="8"/>
      <c r="U12" s="8"/>
      <c r="V12" s="8"/>
      <c r="W12" s="8"/>
      <c r="X12" s="8"/>
      <c r="Y12" s="8"/>
      <c r="Z12" s="8"/>
    </row>
    <row r="13" ht="199.5" customHeight="1">
      <c r="A13" s="8"/>
      <c r="B13" s="173"/>
      <c r="C13" s="147">
        <v>5.2</v>
      </c>
      <c r="D13" s="147" t="s">
        <v>181</v>
      </c>
      <c r="E13" s="147" t="s">
        <v>182</v>
      </c>
      <c r="F13" s="147" t="s">
        <v>183</v>
      </c>
      <c r="G13" s="147" t="s">
        <v>184</v>
      </c>
      <c r="H13" s="174" t="s">
        <v>307</v>
      </c>
      <c r="I13" s="175" t="s">
        <v>1009</v>
      </c>
      <c r="J13" s="147" t="s">
        <v>1010</v>
      </c>
      <c r="K13" s="177" t="s">
        <v>1011</v>
      </c>
      <c r="L13" s="147"/>
      <c r="M13" s="147" t="s">
        <v>998</v>
      </c>
      <c r="N13" s="147" t="s">
        <v>999</v>
      </c>
      <c r="O13" s="176"/>
      <c r="P13" s="8"/>
      <c r="Q13" s="8"/>
      <c r="R13" s="8"/>
      <c r="S13" s="8"/>
      <c r="T13" s="8"/>
      <c r="U13" s="8"/>
      <c r="V13" s="8"/>
      <c r="W13" s="8"/>
      <c r="X13" s="8"/>
      <c r="Y13" s="8"/>
      <c r="Z13" s="8"/>
    </row>
    <row r="14" ht="199.5" customHeight="1">
      <c r="A14" s="8"/>
      <c r="B14" s="173"/>
      <c r="C14" s="147"/>
      <c r="D14" s="147"/>
      <c r="E14" s="147"/>
      <c r="F14" s="147" t="s">
        <v>188</v>
      </c>
      <c r="G14" s="147" t="s">
        <v>189</v>
      </c>
      <c r="H14" s="174" t="s">
        <v>22</v>
      </c>
      <c r="I14" s="147" t="s">
        <v>1012</v>
      </c>
      <c r="J14" s="147" t="s">
        <v>990</v>
      </c>
      <c r="K14" s="147" t="s">
        <v>1007</v>
      </c>
      <c r="L14" s="147" t="s">
        <v>1013</v>
      </c>
      <c r="M14" s="147" t="s">
        <v>998</v>
      </c>
      <c r="N14" s="147" t="s">
        <v>999</v>
      </c>
      <c r="O14" s="176"/>
      <c r="P14" s="8"/>
      <c r="Q14" s="8"/>
      <c r="R14" s="8"/>
      <c r="S14" s="8"/>
      <c r="T14" s="8"/>
      <c r="U14" s="8"/>
      <c r="V14" s="8"/>
      <c r="W14" s="8"/>
      <c r="X14" s="8"/>
      <c r="Y14" s="8"/>
      <c r="Z14" s="8"/>
    </row>
    <row r="15" ht="199.5" customHeight="1">
      <c r="A15" s="8"/>
      <c r="B15" s="173"/>
      <c r="C15" s="147">
        <v>5.3</v>
      </c>
      <c r="D15" s="147" t="s">
        <v>192</v>
      </c>
      <c r="E15" s="147" t="s">
        <v>193</v>
      </c>
      <c r="F15" s="147" t="s">
        <v>194</v>
      </c>
      <c r="G15" s="147" t="s">
        <v>195</v>
      </c>
      <c r="H15" s="174" t="s">
        <v>22</v>
      </c>
      <c r="I15" s="147" t="s">
        <v>1014</v>
      </c>
      <c r="J15" s="147" t="s">
        <v>1015</v>
      </c>
      <c r="K15" s="147" t="s">
        <v>1016</v>
      </c>
      <c r="L15" s="147" t="s">
        <v>1017</v>
      </c>
      <c r="M15" s="147" t="s">
        <v>998</v>
      </c>
      <c r="N15" s="147" t="s">
        <v>999</v>
      </c>
      <c r="O15" s="176"/>
      <c r="P15" s="8"/>
      <c r="Q15" s="8"/>
      <c r="R15" s="8"/>
      <c r="S15" s="8"/>
      <c r="T15" s="8"/>
      <c r="U15" s="8"/>
      <c r="V15" s="8"/>
      <c r="W15" s="8"/>
      <c r="X15" s="8"/>
      <c r="Y15" s="8"/>
      <c r="Z15" s="8"/>
    </row>
    <row r="16" ht="199.5" customHeight="1">
      <c r="A16" s="8"/>
      <c r="B16" s="173"/>
      <c r="C16" s="147"/>
      <c r="D16" s="147"/>
      <c r="E16" s="147"/>
      <c r="F16" s="147" t="s">
        <v>199</v>
      </c>
      <c r="G16" s="147" t="s">
        <v>200</v>
      </c>
      <c r="H16" s="174" t="s">
        <v>22</v>
      </c>
      <c r="I16" s="147" t="s">
        <v>1018</v>
      </c>
      <c r="J16" s="147" t="s">
        <v>990</v>
      </c>
      <c r="K16" s="147" t="s">
        <v>1019</v>
      </c>
      <c r="L16" s="147" t="s">
        <v>1020</v>
      </c>
      <c r="M16" s="147" t="s">
        <v>1021</v>
      </c>
      <c r="N16" s="147" t="s">
        <v>1022</v>
      </c>
      <c r="O16" s="176"/>
      <c r="P16" s="8"/>
      <c r="Q16" s="8"/>
      <c r="R16" s="8"/>
      <c r="S16" s="8"/>
      <c r="T16" s="8"/>
      <c r="U16" s="8"/>
      <c r="V16" s="8"/>
      <c r="W16" s="8"/>
      <c r="X16" s="8"/>
      <c r="Y16" s="8"/>
      <c r="Z16" s="8"/>
    </row>
    <row r="17" ht="199.5" customHeight="1">
      <c r="A17" s="8"/>
      <c r="B17" s="173"/>
      <c r="C17" s="147">
        <v>5.4</v>
      </c>
      <c r="D17" s="147" t="s">
        <v>203</v>
      </c>
      <c r="E17" s="147" t="s">
        <v>204</v>
      </c>
      <c r="F17" s="147" t="s">
        <v>205</v>
      </c>
      <c r="G17" s="147" t="s">
        <v>206</v>
      </c>
      <c r="H17" s="174" t="s">
        <v>22</v>
      </c>
      <c r="I17" s="147" t="s">
        <v>1023</v>
      </c>
      <c r="J17" s="147" t="s">
        <v>1024</v>
      </c>
      <c r="K17" s="147" t="s">
        <v>1025</v>
      </c>
      <c r="L17" s="147" t="s">
        <v>1026</v>
      </c>
      <c r="M17" s="147" t="s">
        <v>1027</v>
      </c>
      <c r="N17" s="147" t="s">
        <v>1028</v>
      </c>
      <c r="O17" s="176"/>
      <c r="P17" s="8"/>
      <c r="Q17" s="8"/>
      <c r="R17" s="8"/>
      <c r="S17" s="8"/>
      <c r="T17" s="8"/>
      <c r="U17" s="8"/>
      <c r="V17" s="8"/>
      <c r="W17" s="8"/>
      <c r="X17" s="8"/>
      <c r="Y17" s="8"/>
      <c r="Z17" s="8"/>
    </row>
    <row r="18" ht="199.5" customHeight="1">
      <c r="A18" s="8"/>
      <c r="B18" s="173"/>
      <c r="C18" s="147">
        <v>5.5</v>
      </c>
      <c r="D18" s="147" t="s">
        <v>211</v>
      </c>
      <c r="E18" s="147" t="s">
        <v>212</v>
      </c>
      <c r="F18" s="147" t="s">
        <v>213</v>
      </c>
      <c r="G18" s="147" t="s">
        <v>214</v>
      </c>
      <c r="H18" s="174" t="s">
        <v>22</v>
      </c>
      <c r="I18" s="147" t="s">
        <v>1029</v>
      </c>
      <c r="J18" s="147" t="s">
        <v>1030</v>
      </c>
      <c r="K18" s="147" t="s">
        <v>1031</v>
      </c>
      <c r="L18" s="147" t="s">
        <v>1032</v>
      </c>
      <c r="M18" s="147" t="s">
        <v>998</v>
      </c>
      <c r="N18" s="147" t="s">
        <v>999</v>
      </c>
      <c r="O18" s="176"/>
      <c r="P18" s="8"/>
      <c r="Q18" s="8"/>
      <c r="R18" s="8"/>
      <c r="S18" s="8"/>
      <c r="T18" s="8"/>
      <c r="U18" s="8"/>
      <c r="V18" s="8"/>
      <c r="W18" s="8"/>
      <c r="X18" s="8"/>
      <c r="Y18" s="8"/>
      <c r="Z18" s="8"/>
    </row>
    <row r="19" ht="199.5" customHeight="1">
      <c r="A19" s="8"/>
      <c r="B19" s="173"/>
      <c r="C19" s="147">
        <v>5.6</v>
      </c>
      <c r="D19" s="147" t="s">
        <v>218</v>
      </c>
      <c r="E19" s="147" t="s">
        <v>219</v>
      </c>
      <c r="F19" s="147" t="s">
        <v>220</v>
      </c>
      <c r="G19" s="147" t="s">
        <v>221</v>
      </c>
      <c r="H19" s="174" t="s">
        <v>22</v>
      </c>
      <c r="I19" s="178" t="s">
        <v>1033</v>
      </c>
      <c r="J19" s="147" t="s">
        <v>1034</v>
      </c>
      <c r="K19" s="147" t="s">
        <v>1035</v>
      </c>
      <c r="L19" s="147" t="s">
        <v>1036</v>
      </c>
      <c r="M19" s="147" t="s">
        <v>1021</v>
      </c>
      <c r="N19" s="147" t="s">
        <v>1022</v>
      </c>
      <c r="O19" s="176"/>
      <c r="P19" s="8"/>
      <c r="Q19" s="8"/>
      <c r="R19" s="8"/>
      <c r="S19" s="8"/>
      <c r="T19" s="8"/>
      <c r="U19" s="8"/>
      <c r="V19" s="8"/>
      <c r="W19" s="8"/>
      <c r="X19" s="8"/>
      <c r="Y19" s="8"/>
      <c r="Z19" s="8"/>
    </row>
    <row r="20" ht="199.5" customHeight="1">
      <c r="A20" s="8"/>
      <c r="B20" s="173"/>
      <c r="C20" s="147">
        <v>5.7</v>
      </c>
      <c r="D20" s="147" t="s">
        <v>223</v>
      </c>
      <c r="E20" s="147" t="s">
        <v>224</v>
      </c>
      <c r="F20" s="147" t="s">
        <v>225</v>
      </c>
      <c r="G20" s="147" t="s">
        <v>226</v>
      </c>
      <c r="H20" s="174" t="s">
        <v>22</v>
      </c>
      <c r="I20" s="147" t="s">
        <v>1037</v>
      </c>
      <c r="J20" s="147" t="s">
        <v>1038</v>
      </c>
      <c r="K20" s="147" t="s">
        <v>1039</v>
      </c>
      <c r="L20" s="147" t="s">
        <v>1040</v>
      </c>
      <c r="M20" s="147" t="s">
        <v>1021</v>
      </c>
      <c r="N20" s="147" t="s">
        <v>1022</v>
      </c>
      <c r="O20" s="176"/>
      <c r="P20" s="8"/>
      <c r="Q20" s="8"/>
      <c r="R20" s="8"/>
      <c r="S20" s="8"/>
      <c r="T20" s="8"/>
      <c r="U20" s="8"/>
      <c r="V20" s="8"/>
      <c r="W20" s="8"/>
      <c r="X20" s="8"/>
      <c r="Y20" s="8"/>
      <c r="Z20" s="8"/>
    </row>
    <row r="21" ht="199.5" customHeight="1">
      <c r="A21" s="8"/>
      <c r="B21" s="173"/>
      <c r="C21" s="147" t="s">
        <v>233</v>
      </c>
      <c r="D21" s="147" t="s">
        <v>234</v>
      </c>
      <c r="E21" s="147" t="s">
        <v>235</v>
      </c>
      <c r="F21" s="147" t="s">
        <v>236</v>
      </c>
      <c r="G21" s="147" t="s">
        <v>237</v>
      </c>
      <c r="H21" s="179" t="s">
        <v>22</v>
      </c>
      <c r="I21" s="147" t="s">
        <v>1041</v>
      </c>
      <c r="J21" s="147" t="s">
        <v>1042</v>
      </c>
      <c r="K21" s="147" t="s">
        <v>1043</v>
      </c>
      <c r="L21" s="147" t="s">
        <v>1044</v>
      </c>
      <c r="M21" s="147" t="s">
        <v>1021</v>
      </c>
      <c r="N21" s="147" t="s">
        <v>1022</v>
      </c>
      <c r="O21" s="176"/>
      <c r="P21" s="8"/>
      <c r="Q21" s="8"/>
      <c r="R21" s="8"/>
      <c r="S21" s="8"/>
      <c r="T21" s="8"/>
      <c r="U21" s="8"/>
      <c r="V21" s="8"/>
      <c r="W21" s="8"/>
      <c r="X21" s="8"/>
      <c r="Y21" s="8"/>
      <c r="Z21" s="8"/>
    </row>
    <row r="22" ht="199.5" customHeight="1">
      <c r="A22" s="8"/>
      <c r="B22" s="173"/>
      <c r="C22" s="147"/>
      <c r="D22" s="147"/>
      <c r="E22" s="147"/>
      <c r="F22" s="147" t="s">
        <v>229</v>
      </c>
      <c r="G22" s="147" t="s">
        <v>230</v>
      </c>
      <c r="H22" s="179" t="s">
        <v>307</v>
      </c>
      <c r="I22" s="147" t="s">
        <v>1045</v>
      </c>
      <c r="J22" s="147" t="s">
        <v>1046</v>
      </c>
      <c r="K22" s="147" t="s">
        <v>1047</v>
      </c>
      <c r="L22" s="147"/>
      <c r="M22" s="147" t="s">
        <v>1021</v>
      </c>
      <c r="N22" s="147" t="s">
        <v>1022</v>
      </c>
      <c r="O22" s="176"/>
      <c r="P22" s="8"/>
      <c r="Q22" s="8"/>
      <c r="R22" s="8"/>
      <c r="S22" s="8"/>
      <c r="T22" s="8"/>
      <c r="U22" s="8"/>
      <c r="V22" s="8"/>
      <c r="W22" s="8"/>
      <c r="X22" s="8"/>
      <c r="Y22" s="8"/>
      <c r="Z22" s="8"/>
    </row>
    <row r="23" ht="199.5" customHeight="1">
      <c r="A23" s="8"/>
      <c r="B23" s="173"/>
      <c r="C23" s="147" t="s">
        <v>241</v>
      </c>
      <c r="D23" s="147" t="s">
        <v>242</v>
      </c>
      <c r="E23" s="147" t="s">
        <v>243</v>
      </c>
      <c r="F23" s="147" t="s">
        <v>244</v>
      </c>
      <c r="G23" s="178" t="s">
        <v>245</v>
      </c>
      <c r="H23" s="174" t="s">
        <v>22</v>
      </c>
      <c r="I23" s="147" t="s">
        <v>1048</v>
      </c>
      <c r="J23" s="147" t="s">
        <v>1049</v>
      </c>
      <c r="K23" s="147" t="s">
        <v>1050</v>
      </c>
      <c r="L23" s="147" t="s">
        <v>1051</v>
      </c>
      <c r="M23" s="147" t="s">
        <v>1021</v>
      </c>
      <c r="N23" s="147" t="s">
        <v>1022</v>
      </c>
      <c r="O23" s="176"/>
      <c r="P23" s="8"/>
      <c r="Q23" s="8"/>
      <c r="R23" s="8"/>
      <c r="S23" s="8"/>
      <c r="T23" s="8"/>
      <c r="U23" s="8"/>
      <c r="V23" s="8"/>
      <c r="W23" s="8"/>
      <c r="X23" s="8"/>
      <c r="Y23" s="8"/>
      <c r="Z23" s="8"/>
    </row>
    <row r="24" ht="199.5" customHeight="1">
      <c r="A24" s="8"/>
      <c r="B24" s="173"/>
      <c r="C24" s="147"/>
      <c r="D24" s="147"/>
      <c r="E24" s="147"/>
      <c r="F24" s="147" t="s">
        <v>248</v>
      </c>
      <c r="G24" s="178" t="s">
        <v>249</v>
      </c>
      <c r="H24" s="174" t="s">
        <v>22</v>
      </c>
      <c r="I24" s="147" t="s">
        <v>1052</v>
      </c>
      <c r="J24" s="147" t="s">
        <v>1053</v>
      </c>
      <c r="K24" s="147" t="s">
        <v>1054</v>
      </c>
      <c r="L24" s="147" t="s">
        <v>1055</v>
      </c>
      <c r="M24" s="147" t="s">
        <v>1021</v>
      </c>
      <c r="N24" s="147" t="s">
        <v>1022</v>
      </c>
      <c r="O24" s="176"/>
      <c r="P24" s="8"/>
      <c r="Q24" s="8"/>
      <c r="R24" s="8"/>
      <c r="S24" s="8"/>
      <c r="T24" s="8"/>
      <c r="U24" s="8"/>
      <c r="V24" s="8"/>
      <c r="W24" s="8"/>
      <c r="X24" s="8"/>
      <c r="Y24" s="8"/>
      <c r="Z24" s="8"/>
    </row>
    <row r="25" ht="199.5" customHeight="1">
      <c r="A25" s="8"/>
      <c r="B25" s="173"/>
      <c r="C25" s="147"/>
      <c r="D25" s="147"/>
      <c r="E25" s="147"/>
      <c r="F25" s="147" t="s">
        <v>251</v>
      </c>
      <c r="G25" s="178" t="s">
        <v>252</v>
      </c>
      <c r="H25" s="174" t="s">
        <v>22</v>
      </c>
      <c r="I25" s="147" t="s">
        <v>1056</v>
      </c>
      <c r="J25" s="147" t="s">
        <v>1057</v>
      </c>
      <c r="K25" s="147" t="s">
        <v>1058</v>
      </c>
      <c r="L25" s="147" t="s">
        <v>1055</v>
      </c>
      <c r="M25" s="147" t="s">
        <v>1021</v>
      </c>
      <c r="N25" s="147" t="s">
        <v>1022</v>
      </c>
      <c r="O25" s="176"/>
      <c r="P25" s="8"/>
      <c r="Q25" s="8"/>
      <c r="R25" s="8"/>
      <c r="S25" s="8"/>
      <c r="T25" s="8"/>
      <c r="U25" s="8"/>
      <c r="V25" s="8"/>
      <c r="W25" s="8"/>
      <c r="X25" s="8"/>
      <c r="Y25" s="8"/>
      <c r="Z25" s="8"/>
    </row>
    <row r="26" ht="199.5" customHeight="1">
      <c r="A26" s="8"/>
      <c r="B26" s="173"/>
      <c r="C26" s="147" t="s">
        <v>254</v>
      </c>
      <c r="D26" s="147" t="s">
        <v>255</v>
      </c>
      <c r="E26" s="147" t="s">
        <v>256</v>
      </c>
      <c r="F26" s="147" t="s">
        <v>257</v>
      </c>
      <c r="G26" s="178" t="s">
        <v>258</v>
      </c>
      <c r="H26" s="174" t="s">
        <v>22</v>
      </c>
      <c r="I26" s="147" t="s">
        <v>1059</v>
      </c>
      <c r="J26" s="147" t="s">
        <v>1057</v>
      </c>
      <c r="K26" s="147" t="s">
        <v>1058</v>
      </c>
      <c r="L26" s="147" t="s">
        <v>1055</v>
      </c>
      <c r="M26" s="147" t="s">
        <v>1021</v>
      </c>
      <c r="N26" s="147" t="s">
        <v>1022</v>
      </c>
      <c r="O26" s="176"/>
      <c r="P26" s="8"/>
      <c r="Q26" s="8"/>
      <c r="R26" s="8"/>
      <c r="S26" s="8"/>
      <c r="T26" s="8"/>
      <c r="U26" s="8"/>
      <c r="V26" s="8"/>
      <c r="W26" s="8"/>
      <c r="X26" s="8"/>
      <c r="Y26" s="8"/>
      <c r="Z26" s="8"/>
    </row>
    <row r="27" ht="199.5" customHeight="1">
      <c r="A27" s="8"/>
      <c r="B27" s="173"/>
      <c r="C27" s="147"/>
      <c r="D27" s="147"/>
      <c r="E27" s="147"/>
      <c r="F27" s="147" t="s">
        <v>260</v>
      </c>
      <c r="G27" s="147" t="s">
        <v>261</v>
      </c>
      <c r="H27" s="174" t="s">
        <v>22</v>
      </c>
      <c r="I27" s="147" t="s">
        <v>1060</v>
      </c>
      <c r="J27" s="147" t="s">
        <v>1061</v>
      </c>
      <c r="K27" s="147" t="s">
        <v>1062</v>
      </c>
      <c r="L27" s="147" t="s">
        <v>1063</v>
      </c>
      <c r="M27" s="147" t="s">
        <v>1021</v>
      </c>
      <c r="N27" s="147" t="s">
        <v>1022</v>
      </c>
      <c r="O27" s="176"/>
      <c r="P27" s="8"/>
      <c r="Q27" s="8"/>
      <c r="R27" s="8"/>
      <c r="S27" s="8"/>
      <c r="T27" s="8"/>
      <c r="U27" s="8"/>
      <c r="V27" s="8"/>
      <c r="W27" s="8"/>
      <c r="X27" s="8"/>
      <c r="Y27" s="8"/>
      <c r="Z27" s="8"/>
    </row>
    <row r="28" ht="199.5" customHeight="1">
      <c r="A28" s="8"/>
      <c r="B28" s="173"/>
      <c r="C28" s="147" t="s">
        <v>263</v>
      </c>
      <c r="D28" s="147" t="s">
        <v>264</v>
      </c>
      <c r="E28" s="147" t="s">
        <v>265</v>
      </c>
      <c r="F28" s="147" t="s">
        <v>266</v>
      </c>
      <c r="G28" s="147" t="s">
        <v>267</v>
      </c>
      <c r="H28" s="174" t="s">
        <v>22</v>
      </c>
      <c r="I28" s="147" t="s">
        <v>1064</v>
      </c>
      <c r="J28" s="147" t="s">
        <v>1065</v>
      </c>
      <c r="K28" s="147" t="s">
        <v>1066</v>
      </c>
      <c r="L28" s="147" t="s">
        <v>1067</v>
      </c>
      <c r="M28" s="147" t="s">
        <v>1068</v>
      </c>
      <c r="N28" s="147" t="s">
        <v>1069</v>
      </c>
      <c r="O28" s="176"/>
      <c r="P28" s="8"/>
      <c r="Q28" s="8"/>
      <c r="R28" s="8"/>
      <c r="S28" s="8"/>
      <c r="T28" s="8"/>
      <c r="U28" s="8"/>
      <c r="V28" s="8"/>
      <c r="W28" s="8"/>
      <c r="X28" s="8"/>
      <c r="Y28" s="8"/>
      <c r="Z28" s="8"/>
    </row>
    <row r="29" ht="199.5" customHeight="1">
      <c r="A29" s="8"/>
      <c r="B29" s="173"/>
      <c r="C29" s="147" t="s">
        <v>270</v>
      </c>
      <c r="D29" s="147" t="s">
        <v>271</v>
      </c>
      <c r="E29" s="147" t="s">
        <v>272</v>
      </c>
      <c r="F29" s="147" t="s">
        <v>273</v>
      </c>
      <c r="G29" s="147" t="s">
        <v>274</v>
      </c>
      <c r="H29" s="174" t="s">
        <v>22</v>
      </c>
      <c r="I29" s="147" t="s">
        <v>1070</v>
      </c>
      <c r="J29" s="147" t="s">
        <v>1071</v>
      </c>
      <c r="K29" s="147" t="s">
        <v>1072</v>
      </c>
      <c r="L29" s="147" t="s">
        <v>1073</v>
      </c>
      <c r="M29" s="147" t="s">
        <v>1021</v>
      </c>
      <c r="N29" s="147" t="s">
        <v>1022</v>
      </c>
      <c r="O29" s="176"/>
      <c r="P29" s="8"/>
      <c r="Q29" s="8"/>
      <c r="R29" s="8"/>
      <c r="S29" s="8"/>
      <c r="T29" s="8"/>
      <c r="U29" s="8"/>
      <c r="V29" s="8"/>
      <c r="W29" s="8"/>
      <c r="X29" s="8"/>
      <c r="Y29" s="8"/>
      <c r="Z29" s="8"/>
    </row>
    <row r="30" ht="199.5" customHeight="1">
      <c r="A30" s="8"/>
      <c r="B30" s="173"/>
      <c r="C30" s="147" t="s">
        <v>277</v>
      </c>
      <c r="D30" s="147" t="s">
        <v>278</v>
      </c>
      <c r="E30" s="147" t="s">
        <v>279</v>
      </c>
      <c r="F30" s="147" t="s">
        <v>280</v>
      </c>
      <c r="G30" s="147" t="s">
        <v>281</v>
      </c>
      <c r="H30" s="174" t="s">
        <v>22</v>
      </c>
      <c r="I30" s="147" t="s">
        <v>1074</v>
      </c>
      <c r="J30" s="147" t="s">
        <v>1071</v>
      </c>
      <c r="K30" s="147" t="s">
        <v>1072</v>
      </c>
      <c r="L30" s="147" t="s">
        <v>1055</v>
      </c>
      <c r="M30" s="147" t="s">
        <v>1021</v>
      </c>
      <c r="N30" s="147" t="s">
        <v>1022</v>
      </c>
      <c r="O30" s="176"/>
      <c r="P30" s="8"/>
      <c r="Q30" s="8"/>
      <c r="R30" s="8"/>
      <c r="S30" s="8"/>
      <c r="T30" s="8"/>
      <c r="U30" s="8"/>
      <c r="V30" s="8"/>
      <c r="W30" s="8"/>
      <c r="X30" s="8"/>
      <c r="Y30" s="8"/>
      <c r="Z30" s="8"/>
    </row>
    <row r="31" ht="199.5" customHeight="1">
      <c r="A31" s="8"/>
      <c r="B31" s="173"/>
      <c r="C31" s="147" t="s">
        <v>284</v>
      </c>
      <c r="D31" s="147" t="s">
        <v>285</v>
      </c>
      <c r="E31" s="147" t="s">
        <v>286</v>
      </c>
      <c r="F31" s="147" t="s">
        <v>287</v>
      </c>
      <c r="G31" s="147" t="s">
        <v>288</v>
      </c>
      <c r="H31" s="174" t="s">
        <v>22</v>
      </c>
      <c r="I31" s="147" t="s">
        <v>1075</v>
      </c>
      <c r="J31" s="147" t="s">
        <v>1046</v>
      </c>
      <c r="K31" s="147" t="s">
        <v>1076</v>
      </c>
      <c r="L31" s="147" t="s">
        <v>1077</v>
      </c>
      <c r="M31" s="147" t="s">
        <v>1021</v>
      </c>
      <c r="N31" s="147" t="s">
        <v>1022</v>
      </c>
      <c r="O31" s="176"/>
      <c r="P31" s="8"/>
      <c r="Q31" s="8"/>
      <c r="R31" s="8"/>
      <c r="S31" s="8"/>
      <c r="T31" s="8"/>
      <c r="U31" s="8"/>
      <c r="V31" s="8"/>
      <c r="W31" s="8"/>
      <c r="X31" s="8"/>
      <c r="Y31" s="8"/>
      <c r="Z31" s="8"/>
    </row>
    <row r="32" ht="199.5" customHeight="1">
      <c r="A32" s="8"/>
      <c r="B32" s="173"/>
      <c r="C32" s="147"/>
      <c r="D32" s="147"/>
      <c r="E32" s="147"/>
      <c r="F32" s="147" t="s">
        <v>291</v>
      </c>
      <c r="G32" s="147" t="s">
        <v>292</v>
      </c>
      <c r="H32" s="174" t="s">
        <v>22</v>
      </c>
      <c r="I32" s="147" t="s">
        <v>1078</v>
      </c>
      <c r="J32" s="147" t="s">
        <v>1079</v>
      </c>
      <c r="K32" s="147" t="s">
        <v>1080</v>
      </c>
      <c r="L32" s="147" t="s">
        <v>1081</v>
      </c>
      <c r="M32" s="147" t="s">
        <v>1021</v>
      </c>
      <c r="N32" s="147" t="s">
        <v>1022</v>
      </c>
      <c r="O32" s="176"/>
      <c r="P32" s="8"/>
      <c r="Q32" s="8"/>
      <c r="R32" s="8"/>
      <c r="S32" s="8"/>
      <c r="T32" s="8"/>
      <c r="U32" s="8"/>
      <c r="V32" s="8"/>
      <c r="W32" s="8"/>
      <c r="X32" s="8"/>
      <c r="Y32" s="8"/>
      <c r="Z32" s="8"/>
    </row>
    <row r="33" ht="199.5" customHeight="1">
      <c r="A33" s="8"/>
      <c r="B33" s="173"/>
      <c r="C33" s="147"/>
      <c r="D33" s="147"/>
      <c r="E33" s="147"/>
      <c r="F33" s="147" t="s">
        <v>293</v>
      </c>
      <c r="G33" s="147" t="s">
        <v>294</v>
      </c>
      <c r="H33" s="174" t="s">
        <v>22</v>
      </c>
      <c r="I33" s="147" t="s">
        <v>1082</v>
      </c>
      <c r="J33" s="147" t="s">
        <v>1083</v>
      </c>
      <c r="K33" s="147" t="s">
        <v>1084</v>
      </c>
      <c r="L33" s="147" t="s">
        <v>1085</v>
      </c>
      <c r="M33" s="147" t="s">
        <v>1021</v>
      </c>
      <c r="N33" s="147" t="s">
        <v>1022</v>
      </c>
      <c r="O33" s="176"/>
      <c r="P33" s="8"/>
      <c r="Q33" s="8"/>
      <c r="R33" s="8"/>
      <c r="S33" s="8"/>
      <c r="T33" s="8"/>
      <c r="U33" s="8"/>
      <c r="V33" s="8"/>
      <c r="W33" s="8"/>
      <c r="X33" s="8"/>
      <c r="Y33" s="8"/>
      <c r="Z33" s="8"/>
    </row>
    <row r="34" ht="199.5" customHeight="1">
      <c r="A34" s="8"/>
      <c r="B34" s="173"/>
      <c r="C34" s="147" t="s">
        <v>295</v>
      </c>
      <c r="D34" s="147" t="s">
        <v>296</v>
      </c>
      <c r="E34" s="147" t="s">
        <v>297</v>
      </c>
      <c r="F34" s="147" t="s">
        <v>298</v>
      </c>
      <c r="G34" s="147" t="s">
        <v>299</v>
      </c>
      <c r="H34" s="174" t="s">
        <v>22</v>
      </c>
      <c r="I34" s="147" t="s">
        <v>1086</v>
      </c>
      <c r="J34" s="147" t="s">
        <v>1087</v>
      </c>
      <c r="K34" s="147" t="s">
        <v>1088</v>
      </c>
      <c r="L34" s="147" t="s">
        <v>1089</v>
      </c>
      <c r="M34" s="147" t="s">
        <v>1021</v>
      </c>
      <c r="N34" s="147" t="s">
        <v>1022</v>
      </c>
      <c r="O34" s="176"/>
      <c r="P34" s="8"/>
      <c r="Q34" s="8"/>
      <c r="R34" s="8"/>
      <c r="S34" s="8"/>
      <c r="T34" s="8"/>
      <c r="U34" s="8"/>
      <c r="V34" s="8"/>
      <c r="W34" s="8"/>
      <c r="X34" s="8"/>
      <c r="Y34" s="8"/>
      <c r="Z34" s="8"/>
    </row>
    <row r="35" ht="199.5" customHeight="1">
      <c r="A35" s="8"/>
      <c r="B35" s="173"/>
      <c r="C35" s="147"/>
      <c r="D35" s="147"/>
      <c r="E35" s="147"/>
      <c r="F35" s="147" t="s">
        <v>301</v>
      </c>
      <c r="G35" s="147" t="s">
        <v>302</v>
      </c>
      <c r="H35" s="174" t="s">
        <v>22</v>
      </c>
      <c r="I35" s="147" t="s">
        <v>1090</v>
      </c>
      <c r="J35" s="147" t="s">
        <v>1091</v>
      </c>
      <c r="K35" s="147" t="s">
        <v>1092</v>
      </c>
      <c r="L35" s="147" t="s">
        <v>1093</v>
      </c>
      <c r="M35" s="147" t="s">
        <v>1094</v>
      </c>
      <c r="N35" s="147" t="s">
        <v>1095</v>
      </c>
      <c r="O35" s="176"/>
      <c r="P35" s="8"/>
      <c r="Q35" s="8"/>
      <c r="R35" s="8"/>
      <c r="S35" s="8"/>
      <c r="T35" s="8"/>
      <c r="U35" s="8"/>
      <c r="V35" s="8"/>
      <c r="W35" s="8"/>
      <c r="X35" s="8"/>
      <c r="Y35" s="8"/>
      <c r="Z35" s="8"/>
    </row>
    <row r="36" ht="199.5" customHeight="1">
      <c r="A36" s="8"/>
      <c r="B36" s="173"/>
      <c r="C36" s="147"/>
      <c r="D36" s="147"/>
      <c r="E36" s="147"/>
      <c r="F36" s="147" t="s">
        <v>303</v>
      </c>
      <c r="G36" s="147" t="s">
        <v>304</v>
      </c>
      <c r="H36" s="174" t="s">
        <v>22</v>
      </c>
      <c r="I36" s="147" t="s">
        <v>1096</v>
      </c>
      <c r="J36" s="147" t="s">
        <v>1087</v>
      </c>
      <c r="K36" s="147" t="s">
        <v>1088</v>
      </c>
      <c r="L36" s="147" t="s">
        <v>1097</v>
      </c>
      <c r="M36" s="147" t="s">
        <v>1021</v>
      </c>
      <c r="N36" s="147" t="s">
        <v>1022</v>
      </c>
      <c r="O36" s="176"/>
      <c r="P36" s="8"/>
      <c r="Q36" s="8"/>
      <c r="R36" s="8"/>
      <c r="S36" s="8"/>
      <c r="T36" s="8"/>
      <c r="U36" s="8"/>
      <c r="V36" s="8"/>
      <c r="W36" s="8"/>
      <c r="X36" s="8"/>
      <c r="Y36" s="8"/>
      <c r="Z36" s="8"/>
    </row>
    <row r="37" ht="199.5" customHeight="1">
      <c r="A37" s="8"/>
      <c r="B37" s="173"/>
      <c r="C37" s="147"/>
      <c r="D37" s="147"/>
      <c r="E37" s="147"/>
      <c r="F37" s="147" t="s">
        <v>305</v>
      </c>
      <c r="G37" s="147" t="s">
        <v>306</v>
      </c>
      <c r="H37" s="174" t="s">
        <v>22</v>
      </c>
      <c r="I37" s="147" t="s">
        <v>1096</v>
      </c>
      <c r="J37" s="147" t="s">
        <v>1087</v>
      </c>
      <c r="K37" s="147" t="s">
        <v>1088</v>
      </c>
      <c r="L37" s="147" t="s">
        <v>1098</v>
      </c>
      <c r="M37" s="147" t="s">
        <v>1021</v>
      </c>
      <c r="N37" s="147" t="s">
        <v>1022</v>
      </c>
      <c r="O37" s="176"/>
      <c r="P37" s="8"/>
      <c r="Q37" s="8"/>
      <c r="R37" s="8"/>
      <c r="S37" s="8"/>
      <c r="T37" s="8"/>
      <c r="U37" s="8"/>
      <c r="V37" s="8"/>
      <c r="W37" s="8"/>
      <c r="X37" s="8"/>
      <c r="Y37" s="8"/>
      <c r="Z37" s="8"/>
    </row>
    <row r="38" ht="199.5" customHeight="1">
      <c r="A38" s="8"/>
      <c r="B38" s="173"/>
      <c r="C38" s="147"/>
      <c r="D38" s="147"/>
      <c r="E38" s="147"/>
      <c r="F38" s="147" t="s">
        <v>308</v>
      </c>
      <c r="G38" s="147" t="s">
        <v>309</v>
      </c>
      <c r="H38" s="174" t="s">
        <v>22</v>
      </c>
      <c r="I38" s="147" t="s">
        <v>1099</v>
      </c>
      <c r="J38" s="147" t="s">
        <v>1100</v>
      </c>
      <c r="K38" s="147" t="s">
        <v>1101</v>
      </c>
      <c r="L38" s="147" t="s">
        <v>1102</v>
      </c>
      <c r="M38" s="147" t="s">
        <v>998</v>
      </c>
      <c r="N38" s="147" t="s">
        <v>999</v>
      </c>
      <c r="O38" s="176"/>
      <c r="P38" s="8"/>
      <c r="Q38" s="8"/>
      <c r="R38" s="8"/>
      <c r="S38" s="8"/>
      <c r="T38" s="8"/>
      <c r="U38" s="8"/>
      <c r="V38" s="8"/>
      <c r="W38" s="8"/>
      <c r="X38" s="8"/>
      <c r="Y38" s="8"/>
      <c r="Z38" s="8"/>
    </row>
    <row r="39" ht="199.5" customHeight="1">
      <c r="A39" s="8"/>
      <c r="B39" s="173"/>
      <c r="C39" s="147"/>
      <c r="D39" s="147"/>
      <c r="E39" s="147"/>
      <c r="F39" s="147" t="s">
        <v>310</v>
      </c>
      <c r="G39" s="147" t="s">
        <v>311</v>
      </c>
      <c r="H39" s="174" t="s">
        <v>22</v>
      </c>
      <c r="I39" s="147" t="s">
        <v>1103</v>
      </c>
      <c r="J39" s="147" t="s">
        <v>1100</v>
      </c>
      <c r="K39" s="147" t="s">
        <v>1104</v>
      </c>
      <c r="L39" s="147" t="s">
        <v>1105</v>
      </c>
      <c r="M39" s="147" t="s">
        <v>1106</v>
      </c>
      <c r="N39" s="147" t="s">
        <v>1107</v>
      </c>
      <c r="O39" s="176"/>
      <c r="P39" s="8"/>
      <c r="Q39" s="8"/>
      <c r="R39" s="8"/>
      <c r="S39" s="8"/>
      <c r="T39" s="8"/>
      <c r="U39" s="8"/>
      <c r="V39" s="8"/>
      <c r="W39" s="8"/>
      <c r="X39" s="8"/>
      <c r="Y39" s="8"/>
      <c r="Z39" s="8"/>
    </row>
    <row r="40" ht="199.5" customHeight="1">
      <c r="A40" s="8"/>
      <c r="B40" s="173"/>
      <c r="C40" s="147" t="s">
        <v>312</v>
      </c>
      <c r="D40" s="147" t="s">
        <v>313</v>
      </c>
      <c r="E40" s="147" t="s">
        <v>314</v>
      </c>
      <c r="F40" s="147" t="s">
        <v>315</v>
      </c>
      <c r="G40" s="147" t="s">
        <v>316</v>
      </c>
      <c r="H40" s="174" t="s">
        <v>22</v>
      </c>
      <c r="I40" s="147" t="s">
        <v>1108</v>
      </c>
      <c r="J40" s="147" t="s">
        <v>1109</v>
      </c>
      <c r="K40" s="147" t="s">
        <v>1110</v>
      </c>
      <c r="L40" s="147" t="s">
        <v>1111</v>
      </c>
      <c r="M40" s="147" t="s">
        <v>1112</v>
      </c>
      <c r="N40" s="147" t="s">
        <v>1113</v>
      </c>
      <c r="O40" s="176"/>
      <c r="P40" s="8"/>
      <c r="Q40" s="8"/>
      <c r="R40" s="8"/>
      <c r="S40" s="8"/>
      <c r="T40" s="8"/>
      <c r="U40" s="8"/>
      <c r="V40" s="8"/>
      <c r="W40" s="8"/>
      <c r="X40" s="8"/>
      <c r="Y40" s="8"/>
      <c r="Z40" s="8"/>
    </row>
    <row r="41" ht="199.5" customHeight="1">
      <c r="A41" s="8"/>
      <c r="B41" s="173"/>
      <c r="C41" s="147" t="s">
        <v>319</v>
      </c>
      <c r="D41" s="147" t="s">
        <v>320</v>
      </c>
      <c r="E41" s="147" t="s">
        <v>321</v>
      </c>
      <c r="F41" s="147" t="s">
        <v>322</v>
      </c>
      <c r="G41" s="147" t="s">
        <v>323</v>
      </c>
      <c r="H41" s="174" t="s">
        <v>22</v>
      </c>
      <c r="I41" s="147" t="s">
        <v>1114</v>
      </c>
      <c r="J41" s="147" t="s">
        <v>1049</v>
      </c>
      <c r="K41" s="147" t="s">
        <v>1115</v>
      </c>
      <c r="L41" s="147" t="s">
        <v>1116</v>
      </c>
      <c r="M41" s="147" t="s">
        <v>1021</v>
      </c>
      <c r="N41" s="147" t="s">
        <v>1022</v>
      </c>
      <c r="O41" s="176"/>
      <c r="P41" s="8"/>
      <c r="Q41" s="8"/>
      <c r="R41" s="8"/>
      <c r="S41" s="8"/>
      <c r="T41" s="8"/>
      <c r="U41" s="8"/>
      <c r="V41" s="8"/>
      <c r="W41" s="8"/>
      <c r="X41" s="8"/>
      <c r="Y41" s="8"/>
      <c r="Z41" s="8"/>
    </row>
    <row r="42" ht="199.5" customHeight="1">
      <c r="A42" s="8"/>
      <c r="B42" s="173"/>
      <c r="C42" s="147"/>
      <c r="D42" s="147"/>
      <c r="E42" s="147"/>
      <c r="F42" s="147" t="s">
        <v>326</v>
      </c>
      <c r="G42" s="147" t="s">
        <v>327</v>
      </c>
      <c r="H42" s="174" t="s">
        <v>22</v>
      </c>
      <c r="I42" s="147" t="s">
        <v>1117</v>
      </c>
      <c r="J42" s="147" t="s">
        <v>1118</v>
      </c>
      <c r="K42" s="147" t="s">
        <v>1119</v>
      </c>
      <c r="L42" s="147" t="s">
        <v>1120</v>
      </c>
      <c r="M42" s="147" t="s">
        <v>1121</v>
      </c>
      <c r="N42" s="147" t="s">
        <v>1122</v>
      </c>
      <c r="O42" s="176"/>
      <c r="P42" s="8"/>
      <c r="Q42" s="8"/>
      <c r="R42" s="8"/>
      <c r="S42" s="8"/>
      <c r="T42" s="8"/>
      <c r="U42" s="8"/>
      <c r="V42" s="8"/>
      <c r="W42" s="8"/>
      <c r="X42" s="8"/>
      <c r="Y42" s="8"/>
      <c r="Z42" s="8"/>
    </row>
    <row r="43" ht="199.5" customHeight="1">
      <c r="A43" s="8"/>
      <c r="B43" s="173"/>
      <c r="C43" s="147"/>
      <c r="D43" s="147"/>
      <c r="E43" s="147"/>
      <c r="F43" s="147" t="s">
        <v>328</v>
      </c>
      <c r="G43" s="147" t="s">
        <v>329</v>
      </c>
      <c r="H43" s="174" t="s">
        <v>22</v>
      </c>
      <c r="I43" s="147" t="s">
        <v>1123</v>
      </c>
      <c r="J43" s="147" t="s">
        <v>990</v>
      </c>
      <c r="K43" s="147" t="s">
        <v>1124</v>
      </c>
      <c r="L43" s="147" t="s">
        <v>1125</v>
      </c>
      <c r="M43" s="147" t="s">
        <v>1126</v>
      </c>
      <c r="N43" s="147" t="s">
        <v>1127</v>
      </c>
      <c r="O43" s="176"/>
      <c r="P43" s="8"/>
      <c r="Q43" s="8"/>
      <c r="R43" s="8"/>
      <c r="S43" s="8"/>
      <c r="T43" s="8"/>
      <c r="U43" s="8"/>
      <c r="V43" s="8"/>
      <c r="W43" s="8"/>
      <c r="X43" s="8"/>
      <c r="Y43" s="8"/>
      <c r="Z43" s="8"/>
    </row>
    <row r="44" ht="199.5" customHeight="1">
      <c r="A44" s="8"/>
      <c r="B44" s="173"/>
      <c r="C44" s="147"/>
      <c r="D44" s="147"/>
      <c r="E44" s="147"/>
      <c r="F44" s="147" t="s">
        <v>330</v>
      </c>
      <c r="G44" s="147" t="s">
        <v>331</v>
      </c>
      <c r="H44" s="174" t="s">
        <v>22</v>
      </c>
      <c r="I44" s="147" t="s">
        <v>1128</v>
      </c>
      <c r="J44" s="147" t="s">
        <v>1034</v>
      </c>
      <c r="K44" s="147" t="s">
        <v>1129</v>
      </c>
      <c r="L44" s="147" t="s">
        <v>1130</v>
      </c>
      <c r="M44" s="147" t="s">
        <v>1131</v>
      </c>
      <c r="N44" s="147" t="s">
        <v>1132</v>
      </c>
      <c r="O44" s="176"/>
      <c r="P44" s="8"/>
      <c r="Q44" s="8"/>
      <c r="R44" s="8"/>
      <c r="S44" s="8"/>
      <c r="T44" s="8"/>
      <c r="U44" s="8"/>
      <c r="V44" s="8"/>
      <c r="W44" s="8"/>
      <c r="X44" s="8"/>
      <c r="Y44" s="8"/>
      <c r="Z44" s="8"/>
    </row>
    <row r="45" ht="199.5" customHeight="1">
      <c r="A45" s="8"/>
      <c r="B45" s="173"/>
      <c r="C45" s="147" t="s">
        <v>332</v>
      </c>
      <c r="D45" s="147" t="s">
        <v>333</v>
      </c>
      <c r="E45" s="147" t="s">
        <v>334</v>
      </c>
      <c r="F45" s="147" t="s">
        <v>335</v>
      </c>
      <c r="G45" s="147" t="s">
        <v>336</v>
      </c>
      <c r="H45" s="174" t="s">
        <v>22</v>
      </c>
      <c r="I45" s="147" t="s">
        <v>1133</v>
      </c>
      <c r="J45" s="147" t="s">
        <v>1134</v>
      </c>
      <c r="K45" s="147" t="s">
        <v>1135</v>
      </c>
      <c r="L45" s="147" t="s">
        <v>1136</v>
      </c>
      <c r="M45" s="147" t="s">
        <v>1112</v>
      </c>
      <c r="N45" s="147" t="s">
        <v>1113</v>
      </c>
      <c r="O45" s="176"/>
      <c r="P45" s="8"/>
      <c r="Q45" s="8"/>
      <c r="R45" s="8"/>
      <c r="S45" s="8"/>
      <c r="T45" s="8"/>
      <c r="U45" s="8"/>
      <c r="V45" s="8"/>
      <c r="W45" s="8"/>
      <c r="X45" s="8"/>
      <c r="Y45" s="8"/>
      <c r="Z45" s="8"/>
    </row>
    <row r="46" ht="199.5" customHeight="1">
      <c r="A46" s="8"/>
      <c r="B46" s="173"/>
      <c r="C46" s="147"/>
      <c r="D46" s="147"/>
      <c r="E46" s="147"/>
      <c r="F46" s="147" t="s">
        <v>338</v>
      </c>
      <c r="G46" s="147" t="s">
        <v>339</v>
      </c>
      <c r="H46" s="174" t="s">
        <v>22</v>
      </c>
      <c r="I46" s="147" t="s">
        <v>1137</v>
      </c>
      <c r="J46" s="147" t="s">
        <v>1118</v>
      </c>
      <c r="K46" s="147" t="s">
        <v>1119</v>
      </c>
      <c r="L46" s="147" t="s">
        <v>1138</v>
      </c>
      <c r="M46" s="147" t="s">
        <v>1139</v>
      </c>
      <c r="N46" s="147" t="s">
        <v>1140</v>
      </c>
      <c r="O46" s="176"/>
      <c r="P46" s="8"/>
      <c r="Q46" s="8"/>
      <c r="R46" s="8"/>
      <c r="S46" s="8"/>
      <c r="T46" s="8"/>
      <c r="U46" s="8"/>
      <c r="V46" s="8"/>
      <c r="W46" s="8"/>
      <c r="X46" s="8"/>
      <c r="Y46" s="8"/>
      <c r="Z46" s="8"/>
    </row>
    <row r="47" ht="199.5" customHeight="1">
      <c r="A47" s="8"/>
      <c r="B47" s="173"/>
      <c r="C47" s="147"/>
      <c r="D47" s="147"/>
      <c r="E47" s="147"/>
      <c r="F47" s="147" t="s">
        <v>340</v>
      </c>
      <c r="G47" s="147" t="s">
        <v>341</v>
      </c>
      <c r="H47" s="174" t="s">
        <v>22</v>
      </c>
      <c r="I47" s="147" t="s">
        <v>1141</v>
      </c>
      <c r="J47" s="147" t="s">
        <v>1049</v>
      </c>
      <c r="K47" s="147" t="s">
        <v>1142</v>
      </c>
      <c r="L47" s="147" t="s">
        <v>1143</v>
      </c>
      <c r="M47" s="147" t="s">
        <v>1021</v>
      </c>
      <c r="N47" s="147" t="s">
        <v>1022</v>
      </c>
      <c r="O47" s="176"/>
      <c r="P47" s="8"/>
      <c r="Q47" s="8"/>
      <c r="R47" s="8"/>
      <c r="S47" s="8"/>
      <c r="T47" s="8"/>
      <c r="U47" s="8"/>
      <c r="V47" s="8"/>
      <c r="W47" s="8"/>
      <c r="X47" s="8"/>
      <c r="Y47" s="8"/>
      <c r="Z47" s="8"/>
    </row>
    <row r="48" ht="199.5" customHeight="1">
      <c r="A48" s="8"/>
      <c r="B48" s="173"/>
      <c r="C48" s="147"/>
      <c r="D48" s="147"/>
      <c r="E48" s="147"/>
      <c r="F48" s="147" t="s">
        <v>342</v>
      </c>
      <c r="G48" s="147" t="s">
        <v>343</v>
      </c>
      <c r="H48" s="174" t="s">
        <v>22</v>
      </c>
      <c r="I48" s="147" t="s">
        <v>1144</v>
      </c>
      <c r="J48" s="147" t="s">
        <v>1145</v>
      </c>
      <c r="K48" s="147" t="s">
        <v>1146</v>
      </c>
      <c r="L48" s="147" t="s">
        <v>1147</v>
      </c>
      <c r="M48" s="147" t="s">
        <v>1148</v>
      </c>
      <c r="N48" s="147" t="s">
        <v>1149</v>
      </c>
      <c r="O48" s="176"/>
      <c r="P48" s="8"/>
      <c r="Q48" s="8"/>
      <c r="R48" s="8"/>
      <c r="S48" s="8"/>
      <c r="T48" s="8"/>
      <c r="U48" s="8"/>
      <c r="V48" s="8"/>
      <c r="W48" s="8"/>
      <c r="X48" s="8"/>
      <c r="Y48" s="8"/>
      <c r="Z48" s="8"/>
    </row>
    <row r="49" ht="199.5" customHeight="1">
      <c r="A49" s="8"/>
      <c r="B49" s="173"/>
      <c r="C49" s="147" t="s">
        <v>344</v>
      </c>
      <c r="D49" s="147" t="s">
        <v>345</v>
      </c>
      <c r="E49" s="147" t="s">
        <v>346</v>
      </c>
      <c r="F49" s="147" t="s">
        <v>347</v>
      </c>
      <c r="G49" s="147" t="s">
        <v>348</v>
      </c>
      <c r="H49" s="179" t="s">
        <v>307</v>
      </c>
      <c r="I49" s="147" t="s">
        <v>1150</v>
      </c>
      <c r="J49" s="147" t="s">
        <v>1109</v>
      </c>
      <c r="K49" s="147" t="s">
        <v>1151</v>
      </c>
      <c r="L49" s="147"/>
      <c r="M49" s="147" t="s">
        <v>1021</v>
      </c>
      <c r="N49" s="147" t="s">
        <v>1022</v>
      </c>
      <c r="O49" s="176"/>
      <c r="P49" s="8"/>
      <c r="Q49" s="8"/>
      <c r="R49" s="8"/>
      <c r="S49" s="8"/>
      <c r="T49" s="8"/>
      <c r="U49" s="8"/>
      <c r="V49" s="8"/>
      <c r="W49" s="8"/>
      <c r="X49" s="8"/>
      <c r="Y49" s="8"/>
      <c r="Z49" s="8"/>
    </row>
    <row r="50" ht="199.5" customHeight="1">
      <c r="A50" s="8"/>
      <c r="B50" s="173"/>
      <c r="C50" s="147" t="s">
        <v>351</v>
      </c>
      <c r="D50" s="147" t="s">
        <v>352</v>
      </c>
      <c r="E50" s="147" t="s">
        <v>353</v>
      </c>
      <c r="F50" s="147" t="s">
        <v>354</v>
      </c>
      <c r="G50" s="147" t="s">
        <v>355</v>
      </c>
      <c r="H50" s="179" t="s">
        <v>307</v>
      </c>
      <c r="I50" s="147" t="s">
        <v>1152</v>
      </c>
      <c r="J50" s="147" t="s">
        <v>1153</v>
      </c>
      <c r="K50" s="147" t="s">
        <v>1154</v>
      </c>
      <c r="L50" s="147"/>
      <c r="M50" s="147" t="s">
        <v>1021</v>
      </c>
      <c r="N50" s="147" t="s">
        <v>1022</v>
      </c>
      <c r="O50" s="176"/>
      <c r="P50" s="8"/>
      <c r="Q50" s="8"/>
      <c r="R50" s="8"/>
      <c r="S50" s="8"/>
      <c r="T50" s="8"/>
      <c r="U50" s="8"/>
      <c r="V50" s="8"/>
      <c r="W50" s="8"/>
      <c r="X50" s="8"/>
      <c r="Y50" s="8"/>
      <c r="Z50" s="8"/>
    </row>
    <row r="51" ht="199.5" customHeight="1">
      <c r="A51" s="8"/>
      <c r="B51" s="173"/>
      <c r="C51" s="147" t="s">
        <v>357</v>
      </c>
      <c r="D51" s="147" t="s">
        <v>358</v>
      </c>
      <c r="E51" s="147" t="s">
        <v>359</v>
      </c>
      <c r="F51" s="147" t="s">
        <v>360</v>
      </c>
      <c r="G51" s="147" t="s">
        <v>361</v>
      </c>
      <c r="H51" s="179" t="s">
        <v>307</v>
      </c>
      <c r="I51" s="147" t="s">
        <v>1155</v>
      </c>
      <c r="J51" s="147" t="s">
        <v>1156</v>
      </c>
      <c r="K51" s="147" t="s">
        <v>1157</v>
      </c>
      <c r="L51" s="147"/>
      <c r="M51" s="147" t="s">
        <v>1021</v>
      </c>
      <c r="N51" s="147" t="s">
        <v>1022</v>
      </c>
      <c r="O51" s="176"/>
      <c r="P51" s="8"/>
      <c r="Q51" s="8"/>
      <c r="R51" s="8"/>
      <c r="S51" s="8"/>
      <c r="T51" s="8"/>
      <c r="U51" s="8"/>
      <c r="V51" s="8"/>
      <c r="W51" s="8"/>
      <c r="X51" s="8"/>
      <c r="Y51" s="8"/>
      <c r="Z51" s="8"/>
    </row>
    <row r="52" ht="199.5" customHeight="1">
      <c r="A52" s="8"/>
      <c r="B52" s="173"/>
      <c r="C52" s="147" t="s">
        <v>362</v>
      </c>
      <c r="D52" s="147" t="s">
        <v>363</v>
      </c>
      <c r="E52" s="147" t="s">
        <v>364</v>
      </c>
      <c r="F52" s="147" t="s">
        <v>365</v>
      </c>
      <c r="G52" s="147" t="s">
        <v>366</v>
      </c>
      <c r="H52" s="174" t="s">
        <v>22</v>
      </c>
      <c r="I52" s="147" t="s">
        <v>1158</v>
      </c>
      <c r="J52" s="147" t="s">
        <v>990</v>
      </c>
      <c r="K52" s="147" t="s">
        <v>1159</v>
      </c>
      <c r="L52" s="177" t="s">
        <v>1160</v>
      </c>
      <c r="M52" s="147" t="s">
        <v>1021</v>
      </c>
      <c r="N52" s="147" t="s">
        <v>1022</v>
      </c>
      <c r="O52" s="176"/>
      <c r="P52" s="8"/>
      <c r="Q52" s="8"/>
      <c r="R52" s="8"/>
      <c r="S52" s="8"/>
      <c r="T52" s="8"/>
      <c r="U52" s="8"/>
      <c r="V52" s="8"/>
      <c r="W52" s="8"/>
      <c r="X52" s="8"/>
      <c r="Y52" s="8"/>
      <c r="Z52" s="8"/>
    </row>
    <row r="53" ht="199.5" customHeight="1">
      <c r="A53" s="8"/>
      <c r="B53" s="173"/>
      <c r="C53" s="147"/>
      <c r="D53" s="147"/>
      <c r="E53" s="147"/>
      <c r="F53" s="147" t="s">
        <v>369</v>
      </c>
      <c r="G53" s="147" t="s">
        <v>370</v>
      </c>
      <c r="H53" s="174" t="s">
        <v>22</v>
      </c>
      <c r="I53" s="147" t="s">
        <v>1161</v>
      </c>
      <c r="J53" s="147" t="s">
        <v>1030</v>
      </c>
      <c r="K53" s="147" t="s">
        <v>1162</v>
      </c>
      <c r="L53" s="177" t="s">
        <v>1163</v>
      </c>
      <c r="M53" s="147" t="s">
        <v>1164</v>
      </c>
      <c r="N53" s="147" t="s">
        <v>1165</v>
      </c>
      <c r="O53" s="176"/>
      <c r="P53" s="8"/>
      <c r="Q53" s="8"/>
      <c r="R53" s="8"/>
      <c r="S53" s="8"/>
      <c r="T53" s="8"/>
      <c r="U53" s="8"/>
      <c r="V53" s="8"/>
      <c r="W53" s="8"/>
      <c r="X53" s="8"/>
      <c r="Y53" s="8"/>
      <c r="Z53" s="8"/>
    </row>
    <row r="54" ht="199.5" customHeight="1">
      <c r="A54" s="8"/>
      <c r="B54" s="173"/>
      <c r="C54" s="147" t="s">
        <v>371</v>
      </c>
      <c r="D54" s="147" t="s">
        <v>372</v>
      </c>
      <c r="E54" s="147" t="s">
        <v>373</v>
      </c>
      <c r="F54" s="147" t="s">
        <v>374</v>
      </c>
      <c r="G54" s="147" t="s">
        <v>375</v>
      </c>
      <c r="H54" s="174" t="s">
        <v>307</v>
      </c>
      <c r="I54" s="147" t="s">
        <v>1166</v>
      </c>
      <c r="J54" s="147" t="s">
        <v>1030</v>
      </c>
      <c r="K54" s="147" t="s">
        <v>1167</v>
      </c>
      <c r="L54" s="147"/>
      <c r="M54" s="147" t="s">
        <v>1168</v>
      </c>
      <c r="N54" s="147" t="s">
        <v>1169</v>
      </c>
      <c r="O54" s="176"/>
      <c r="P54" s="8"/>
      <c r="Q54" s="8"/>
      <c r="R54" s="8"/>
      <c r="S54" s="8"/>
      <c r="T54" s="8"/>
      <c r="U54" s="8"/>
      <c r="V54" s="8"/>
      <c r="W54" s="8"/>
      <c r="X54" s="8"/>
      <c r="Y54" s="8"/>
      <c r="Z54" s="8"/>
    </row>
    <row r="55" ht="199.5" customHeight="1">
      <c r="A55" s="8"/>
      <c r="B55" s="173"/>
      <c r="C55" s="147"/>
      <c r="D55" s="147"/>
      <c r="E55" s="147"/>
      <c r="F55" s="147" t="s">
        <v>378</v>
      </c>
      <c r="G55" s="147" t="s">
        <v>379</v>
      </c>
      <c r="H55" s="174" t="s">
        <v>307</v>
      </c>
      <c r="I55" s="147" t="s">
        <v>1170</v>
      </c>
      <c r="J55" s="147" t="s">
        <v>1030</v>
      </c>
      <c r="K55" s="147" t="s">
        <v>1167</v>
      </c>
      <c r="L55" s="147"/>
      <c r="M55" s="147" t="s">
        <v>1021</v>
      </c>
      <c r="N55" s="147" t="s">
        <v>1022</v>
      </c>
      <c r="O55" s="176"/>
      <c r="P55" s="8"/>
      <c r="Q55" s="8"/>
      <c r="R55" s="8"/>
      <c r="S55" s="8"/>
      <c r="T55" s="8"/>
      <c r="U55" s="8"/>
      <c r="V55" s="8"/>
      <c r="W55" s="8"/>
      <c r="X55" s="8"/>
      <c r="Y55" s="8"/>
      <c r="Z55" s="8"/>
    </row>
    <row r="56" ht="199.5" customHeight="1">
      <c r="A56" s="8"/>
      <c r="B56" s="173"/>
      <c r="C56" s="147"/>
      <c r="D56" s="147"/>
      <c r="E56" s="147"/>
      <c r="F56" s="147" t="s">
        <v>380</v>
      </c>
      <c r="G56" s="147" t="s">
        <v>381</v>
      </c>
      <c r="H56" s="174" t="s">
        <v>22</v>
      </c>
      <c r="I56" s="147" t="s">
        <v>1171</v>
      </c>
      <c r="J56" s="147" t="s">
        <v>1172</v>
      </c>
      <c r="K56" s="147" t="s">
        <v>1173</v>
      </c>
      <c r="L56" s="177" t="s">
        <v>1174</v>
      </c>
      <c r="M56" s="147" t="s">
        <v>1021</v>
      </c>
      <c r="N56" s="147" t="s">
        <v>1022</v>
      </c>
      <c r="O56" s="176"/>
      <c r="P56" s="8"/>
      <c r="Q56" s="8"/>
      <c r="R56" s="8"/>
      <c r="S56" s="8"/>
      <c r="T56" s="8"/>
      <c r="U56" s="8"/>
      <c r="V56" s="8"/>
      <c r="W56" s="8"/>
      <c r="X56" s="8"/>
      <c r="Y56" s="8"/>
      <c r="Z56" s="8"/>
    </row>
    <row r="57" ht="199.5" customHeight="1">
      <c r="A57" s="8"/>
      <c r="B57" s="173"/>
      <c r="C57" s="147"/>
      <c r="D57" s="147"/>
      <c r="E57" s="147"/>
      <c r="F57" s="147" t="s">
        <v>382</v>
      </c>
      <c r="G57" s="147" t="s">
        <v>383</v>
      </c>
      <c r="H57" s="174" t="s">
        <v>22</v>
      </c>
      <c r="I57" s="147" t="s">
        <v>1175</v>
      </c>
      <c r="J57" s="147" t="s">
        <v>1176</v>
      </c>
      <c r="K57" s="147" t="s">
        <v>1177</v>
      </c>
      <c r="L57" s="177" t="s">
        <v>1178</v>
      </c>
      <c r="M57" s="147" t="s">
        <v>1168</v>
      </c>
      <c r="N57" s="147" t="s">
        <v>1169</v>
      </c>
      <c r="O57" s="176"/>
      <c r="P57" s="8"/>
      <c r="Q57" s="8"/>
      <c r="R57" s="8"/>
      <c r="S57" s="8"/>
      <c r="T57" s="8"/>
      <c r="U57" s="8"/>
      <c r="V57" s="8"/>
      <c r="W57" s="8"/>
      <c r="X57" s="8"/>
      <c r="Y57" s="8"/>
      <c r="Z57" s="8"/>
    </row>
    <row r="58" ht="199.5" customHeight="1">
      <c r="A58" s="8"/>
      <c r="B58" s="173"/>
      <c r="C58" s="147" t="s">
        <v>384</v>
      </c>
      <c r="D58" s="147" t="s">
        <v>385</v>
      </c>
      <c r="E58" s="147" t="s">
        <v>386</v>
      </c>
      <c r="F58" s="147" t="s">
        <v>387</v>
      </c>
      <c r="G58" s="180" t="s">
        <v>388</v>
      </c>
      <c r="H58" s="174" t="s">
        <v>22</v>
      </c>
      <c r="I58" s="147" t="s">
        <v>1179</v>
      </c>
      <c r="J58" s="147" t="s">
        <v>1180</v>
      </c>
      <c r="K58" s="147" t="s">
        <v>1181</v>
      </c>
      <c r="L58" s="177" t="s">
        <v>1182</v>
      </c>
      <c r="M58" s="147" t="s">
        <v>1021</v>
      </c>
      <c r="N58" s="147" t="s">
        <v>1022</v>
      </c>
      <c r="O58" s="176"/>
      <c r="P58" s="8"/>
      <c r="Q58" s="8"/>
      <c r="R58" s="8"/>
      <c r="S58" s="8"/>
      <c r="T58" s="8"/>
      <c r="U58" s="8"/>
      <c r="V58" s="8"/>
      <c r="W58" s="8"/>
      <c r="X58" s="8"/>
      <c r="Y58" s="8"/>
      <c r="Z58" s="8"/>
    </row>
    <row r="59" ht="199.5" customHeight="1">
      <c r="A59" s="8"/>
      <c r="B59" s="173"/>
      <c r="C59" s="147"/>
      <c r="D59" s="147"/>
      <c r="E59" s="147"/>
      <c r="F59" s="147" t="s">
        <v>391</v>
      </c>
      <c r="G59" s="147" t="s">
        <v>392</v>
      </c>
      <c r="H59" s="174" t="s">
        <v>22</v>
      </c>
      <c r="I59" s="178" t="s">
        <v>1183</v>
      </c>
      <c r="J59" s="147" t="s">
        <v>1184</v>
      </c>
      <c r="K59" s="147" t="s">
        <v>1185</v>
      </c>
      <c r="L59" s="177" t="s">
        <v>1186</v>
      </c>
      <c r="M59" s="147" t="s">
        <v>1021</v>
      </c>
      <c r="N59" s="147" t="s">
        <v>1022</v>
      </c>
      <c r="O59" s="176"/>
      <c r="P59" s="8"/>
      <c r="Q59" s="8"/>
      <c r="R59" s="8"/>
      <c r="S59" s="8"/>
      <c r="T59" s="8"/>
      <c r="U59" s="8"/>
      <c r="V59" s="8"/>
      <c r="W59" s="8"/>
      <c r="X59" s="8"/>
      <c r="Y59" s="8"/>
      <c r="Z59" s="8"/>
    </row>
    <row r="60" ht="199.5" customHeight="1">
      <c r="A60" s="8"/>
      <c r="B60" s="173"/>
      <c r="C60" s="147"/>
      <c r="D60" s="147"/>
      <c r="E60" s="147"/>
      <c r="F60" s="147" t="s">
        <v>393</v>
      </c>
      <c r="G60" s="180" t="s">
        <v>394</v>
      </c>
      <c r="H60" s="174" t="s">
        <v>22</v>
      </c>
      <c r="I60" s="147" t="s">
        <v>1187</v>
      </c>
      <c r="J60" s="147" t="s">
        <v>1180</v>
      </c>
      <c r="K60" s="147" t="s">
        <v>1181</v>
      </c>
      <c r="L60" s="147" t="s">
        <v>1188</v>
      </c>
      <c r="M60" s="147" t="s">
        <v>1021</v>
      </c>
      <c r="N60" s="147" t="s">
        <v>1022</v>
      </c>
      <c r="O60" s="176"/>
      <c r="P60" s="8"/>
      <c r="Q60" s="8"/>
      <c r="R60" s="8"/>
      <c r="S60" s="8"/>
      <c r="T60" s="8"/>
      <c r="U60" s="8"/>
      <c r="V60" s="8"/>
      <c r="W60" s="8"/>
      <c r="X60" s="8"/>
      <c r="Y60" s="8"/>
      <c r="Z60" s="8"/>
    </row>
    <row r="61" ht="199.5" customHeight="1">
      <c r="A61" s="8"/>
      <c r="B61" s="173"/>
      <c r="C61" s="147" t="s">
        <v>395</v>
      </c>
      <c r="D61" s="147" t="s">
        <v>396</v>
      </c>
      <c r="E61" s="147" t="s">
        <v>397</v>
      </c>
      <c r="F61" s="147" t="s">
        <v>398</v>
      </c>
      <c r="G61" s="147" t="s">
        <v>399</v>
      </c>
      <c r="H61" s="174" t="s">
        <v>22</v>
      </c>
      <c r="I61" s="147" t="s">
        <v>1189</v>
      </c>
      <c r="J61" s="147" t="s">
        <v>1190</v>
      </c>
      <c r="K61" s="147" t="s">
        <v>1191</v>
      </c>
      <c r="L61" s="147" t="s">
        <v>1192</v>
      </c>
      <c r="M61" s="147" t="s">
        <v>1021</v>
      </c>
      <c r="N61" s="147" t="s">
        <v>1022</v>
      </c>
      <c r="O61" s="176"/>
      <c r="P61" s="8"/>
      <c r="Q61" s="8"/>
      <c r="R61" s="8"/>
      <c r="S61" s="8"/>
      <c r="T61" s="8"/>
      <c r="U61" s="8"/>
      <c r="V61" s="8"/>
      <c r="W61" s="8"/>
      <c r="X61" s="8"/>
      <c r="Y61" s="8"/>
      <c r="Z61" s="8"/>
    </row>
    <row r="62" ht="199.5" customHeight="1">
      <c r="A62" s="8"/>
      <c r="B62" s="173"/>
      <c r="C62" s="147" t="s">
        <v>402</v>
      </c>
      <c r="D62" s="147" t="s">
        <v>403</v>
      </c>
      <c r="E62" s="147" t="s">
        <v>404</v>
      </c>
      <c r="F62" s="147" t="s">
        <v>405</v>
      </c>
      <c r="G62" s="147" t="s">
        <v>406</v>
      </c>
      <c r="H62" s="174" t="s">
        <v>22</v>
      </c>
      <c r="I62" s="147" t="s">
        <v>1193</v>
      </c>
      <c r="J62" s="147" t="s">
        <v>1194</v>
      </c>
      <c r="K62" s="147" t="s">
        <v>1195</v>
      </c>
      <c r="L62" s="177" t="s">
        <v>1196</v>
      </c>
      <c r="M62" s="147" t="s">
        <v>1021</v>
      </c>
      <c r="N62" s="147" t="s">
        <v>1022</v>
      </c>
      <c r="O62" s="176"/>
      <c r="P62" s="8"/>
      <c r="Q62" s="8"/>
      <c r="R62" s="8"/>
      <c r="S62" s="8"/>
      <c r="T62" s="8"/>
      <c r="U62" s="8"/>
      <c r="V62" s="8"/>
      <c r="W62" s="8"/>
      <c r="X62" s="8"/>
      <c r="Y62" s="8"/>
      <c r="Z62" s="8"/>
    </row>
    <row r="63" ht="199.5" customHeight="1">
      <c r="A63" s="8"/>
      <c r="B63" s="173"/>
      <c r="C63" s="147" t="s">
        <v>408</v>
      </c>
      <c r="D63" s="147" t="s">
        <v>409</v>
      </c>
      <c r="E63" s="147" t="s">
        <v>410</v>
      </c>
      <c r="F63" s="147" t="s">
        <v>411</v>
      </c>
      <c r="G63" s="147" t="s">
        <v>412</v>
      </c>
      <c r="H63" s="174" t="s">
        <v>22</v>
      </c>
      <c r="I63" s="147" t="s">
        <v>1197</v>
      </c>
      <c r="J63" s="147" t="s">
        <v>1198</v>
      </c>
      <c r="K63" s="147" t="s">
        <v>1199</v>
      </c>
      <c r="L63" s="147" t="s">
        <v>1200</v>
      </c>
      <c r="M63" s="147" t="s">
        <v>1021</v>
      </c>
      <c r="N63" s="147" t="s">
        <v>1022</v>
      </c>
      <c r="O63" s="176"/>
      <c r="P63" s="8"/>
      <c r="Q63" s="8"/>
      <c r="R63" s="8"/>
      <c r="S63" s="8"/>
      <c r="T63" s="8"/>
      <c r="U63" s="8"/>
      <c r="V63" s="8"/>
      <c r="W63" s="8"/>
      <c r="X63" s="8"/>
      <c r="Y63" s="8"/>
      <c r="Z63" s="8"/>
    </row>
    <row r="64" ht="199.5" customHeight="1">
      <c r="A64" s="8"/>
      <c r="B64" s="173"/>
      <c r="C64" s="147"/>
      <c r="D64" s="147"/>
      <c r="E64" s="147"/>
      <c r="F64" s="147" t="s">
        <v>414</v>
      </c>
      <c r="G64" s="147" t="s">
        <v>415</v>
      </c>
      <c r="H64" s="174" t="s">
        <v>22</v>
      </c>
      <c r="I64" s="147" t="s">
        <v>1201</v>
      </c>
      <c r="J64" s="147" t="s">
        <v>1202</v>
      </c>
      <c r="K64" s="147" t="s">
        <v>1203</v>
      </c>
      <c r="L64" s="147" t="s">
        <v>1204</v>
      </c>
      <c r="M64" s="147" t="s">
        <v>1021</v>
      </c>
      <c r="N64" s="147" t="s">
        <v>1022</v>
      </c>
      <c r="O64" s="176"/>
      <c r="P64" s="8"/>
      <c r="Q64" s="8"/>
      <c r="R64" s="8"/>
      <c r="S64" s="8"/>
      <c r="T64" s="8"/>
      <c r="U64" s="8"/>
      <c r="V64" s="8"/>
      <c r="W64" s="8"/>
      <c r="X64" s="8"/>
      <c r="Y64" s="8"/>
      <c r="Z64" s="8"/>
    </row>
    <row r="65" ht="199.5" customHeight="1">
      <c r="A65" s="8"/>
      <c r="B65" s="173"/>
      <c r="C65" s="147"/>
      <c r="D65" s="147"/>
      <c r="E65" s="147"/>
      <c r="F65" s="147" t="s">
        <v>416</v>
      </c>
      <c r="G65" s="147" t="s">
        <v>417</v>
      </c>
      <c r="H65" s="174" t="s">
        <v>22</v>
      </c>
      <c r="I65" s="147" t="s">
        <v>1205</v>
      </c>
      <c r="J65" s="147" t="s">
        <v>1206</v>
      </c>
      <c r="K65" s="147" t="s">
        <v>1207</v>
      </c>
      <c r="L65" s="147" t="s">
        <v>1208</v>
      </c>
      <c r="M65" s="147" t="s">
        <v>1021</v>
      </c>
      <c r="N65" s="147" t="s">
        <v>1022</v>
      </c>
      <c r="O65" s="176"/>
      <c r="P65" s="8"/>
      <c r="Q65" s="8"/>
      <c r="R65" s="8"/>
      <c r="S65" s="8"/>
      <c r="T65" s="8"/>
      <c r="U65" s="8"/>
      <c r="V65" s="8"/>
      <c r="W65" s="8"/>
      <c r="X65" s="8"/>
      <c r="Y65" s="8"/>
      <c r="Z65" s="8"/>
    </row>
    <row r="66" ht="199.5" customHeight="1">
      <c r="A66" s="8"/>
      <c r="B66" s="173"/>
      <c r="C66" s="147" t="s">
        <v>418</v>
      </c>
      <c r="D66" s="147" t="s">
        <v>419</v>
      </c>
      <c r="E66" s="147" t="s">
        <v>420</v>
      </c>
      <c r="F66" s="147" t="s">
        <v>421</v>
      </c>
      <c r="G66" s="147" t="s">
        <v>422</v>
      </c>
      <c r="H66" s="174" t="s">
        <v>22</v>
      </c>
      <c r="I66" s="147" t="s">
        <v>1209</v>
      </c>
      <c r="J66" s="147" t="s">
        <v>1210</v>
      </c>
      <c r="K66" s="147" t="s">
        <v>1211</v>
      </c>
      <c r="L66" s="147" t="s">
        <v>1212</v>
      </c>
      <c r="M66" s="147" t="s">
        <v>1213</v>
      </c>
      <c r="N66" s="147" t="s">
        <v>1214</v>
      </c>
      <c r="O66" s="176"/>
      <c r="P66" s="8"/>
      <c r="Q66" s="8"/>
      <c r="R66" s="8"/>
      <c r="S66" s="8"/>
      <c r="T66" s="8"/>
      <c r="U66" s="8"/>
      <c r="V66" s="8"/>
      <c r="W66" s="8"/>
      <c r="X66" s="8"/>
      <c r="Y66" s="8"/>
      <c r="Z66" s="8"/>
    </row>
    <row r="67" ht="199.5" customHeight="1">
      <c r="A67" s="8"/>
      <c r="B67" s="173"/>
      <c r="C67" s="147"/>
      <c r="D67" s="147"/>
      <c r="E67" s="147"/>
      <c r="F67" s="147" t="s">
        <v>424</v>
      </c>
      <c r="G67" s="147" t="s">
        <v>425</v>
      </c>
      <c r="H67" s="174" t="s">
        <v>22</v>
      </c>
      <c r="I67" s="147" t="s">
        <v>1215</v>
      </c>
      <c r="J67" s="147" t="s">
        <v>1216</v>
      </c>
      <c r="K67" s="147" t="s">
        <v>1217</v>
      </c>
      <c r="L67" s="147" t="s">
        <v>1218</v>
      </c>
      <c r="M67" s="147" t="s">
        <v>1219</v>
      </c>
      <c r="N67" s="147" t="s">
        <v>1220</v>
      </c>
      <c r="O67" s="176"/>
      <c r="P67" s="8"/>
      <c r="Q67" s="8"/>
      <c r="R67" s="8"/>
      <c r="S67" s="8"/>
      <c r="T67" s="8"/>
      <c r="U67" s="8"/>
      <c r="V67" s="8"/>
      <c r="W67" s="8"/>
      <c r="X67" s="8"/>
      <c r="Y67" s="8"/>
      <c r="Z67" s="8"/>
    </row>
    <row r="68" ht="199.5" customHeight="1">
      <c r="A68" s="8"/>
      <c r="B68" s="173"/>
      <c r="C68" s="147" t="s">
        <v>426</v>
      </c>
      <c r="D68" s="147" t="s">
        <v>427</v>
      </c>
      <c r="E68" s="147" t="s">
        <v>428</v>
      </c>
      <c r="F68" s="147" t="s">
        <v>429</v>
      </c>
      <c r="G68" s="147" t="s">
        <v>430</v>
      </c>
      <c r="H68" s="174" t="s">
        <v>22</v>
      </c>
      <c r="I68" s="147" t="s">
        <v>1221</v>
      </c>
      <c r="J68" s="147" t="s">
        <v>990</v>
      </c>
      <c r="K68" s="147" t="s">
        <v>1222</v>
      </c>
      <c r="L68" s="147" t="s">
        <v>1223</v>
      </c>
      <c r="M68" s="147" t="s">
        <v>1224</v>
      </c>
      <c r="N68" s="147" t="s">
        <v>1225</v>
      </c>
      <c r="O68" s="176"/>
      <c r="P68" s="8"/>
      <c r="Q68" s="8"/>
      <c r="R68" s="8"/>
      <c r="S68" s="8"/>
      <c r="T68" s="8"/>
      <c r="U68" s="8"/>
      <c r="V68" s="8"/>
      <c r="W68" s="8"/>
      <c r="X68" s="8"/>
      <c r="Y68" s="8"/>
      <c r="Z68" s="8"/>
    </row>
    <row r="69" ht="199.5" customHeight="1">
      <c r="A69" s="8"/>
      <c r="B69" s="173"/>
      <c r="C69" s="147"/>
      <c r="D69" s="147"/>
      <c r="E69" s="147"/>
      <c r="F69" s="147" t="s">
        <v>433</v>
      </c>
      <c r="G69" s="178" t="s">
        <v>434</v>
      </c>
      <c r="H69" s="174" t="s">
        <v>22</v>
      </c>
      <c r="I69" s="147" t="s">
        <v>1226</v>
      </c>
      <c r="J69" s="147" t="s">
        <v>990</v>
      </c>
      <c r="K69" s="147" t="s">
        <v>1222</v>
      </c>
      <c r="L69" s="147" t="s">
        <v>1227</v>
      </c>
      <c r="M69" s="147" t="s">
        <v>1224</v>
      </c>
      <c r="N69" s="147" t="s">
        <v>1225</v>
      </c>
      <c r="O69" s="176"/>
      <c r="P69" s="8"/>
      <c r="Q69" s="8"/>
      <c r="R69" s="8"/>
      <c r="S69" s="8"/>
      <c r="T69" s="8"/>
      <c r="U69" s="8"/>
      <c r="V69" s="8"/>
      <c r="W69" s="8"/>
      <c r="X69" s="8"/>
      <c r="Y69" s="8"/>
      <c r="Z69" s="8"/>
    </row>
    <row r="70" ht="199.5" customHeight="1">
      <c r="A70" s="8"/>
      <c r="B70" s="173"/>
      <c r="C70" s="147"/>
      <c r="D70" s="147"/>
      <c r="E70" s="147"/>
      <c r="F70" s="147" t="s">
        <v>435</v>
      </c>
      <c r="G70" s="178" t="s">
        <v>436</v>
      </c>
      <c r="H70" s="174" t="s">
        <v>22</v>
      </c>
      <c r="I70" s="147" t="s">
        <v>1228</v>
      </c>
      <c r="J70" s="147" t="s">
        <v>990</v>
      </c>
      <c r="K70" s="147" t="s">
        <v>1222</v>
      </c>
      <c r="L70" s="147" t="s">
        <v>1229</v>
      </c>
      <c r="M70" s="147" t="s">
        <v>1224</v>
      </c>
      <c r="N70" s="147" t="s">
        <v>1225</v>
      </c>
      <c r="O70" s="176"/>
      <c r="P70" s="8"/>
      <c r="Q70" s="8"/>
      <c r="R70" s="8"/>
      <c r="S70" s="8"/>
      <c r="T70" s="8"/>
      <c r="U70" s="8"/>
      <c r="V70" s="8"/>
      <c r="W70" s="8"/>
      <c r="X70" s="8"/>
      <c r="Y70" s="8"/>
      <c r="Z70" s="8"/>
    </row>
    <row r="71" ht="199.5" customHeight="1">
      <c r="A71" s="8"/>
      <c r="B71" s="173"/>
      <c r="C71" s="147" t="s">
        <v>437</v>
      </c>
      <c r="D71" s="147" t="s">
        <v>438</v>
      </c>
      <c r="E71" s="147" t="s">
        <v>439</v>
      </c>
      <c r="F71" s="147" t="s">
        <v>440</v>
      </c>
      <c r="G71" s="147" t="s">
        <v>441</v>
      </c>
      <c r="H71" s="174" t="s">
        <v>22</v>
      </c>
      <c r="I71" s="147" t="s">
        <v>1230</v>
      </c>
      <c r="J71" s="147" t="s">
        <v>1100</v>
      </c>
      <c r="K71" s="147" t="s">
        <v>1222</v>
      </c>
      <c r="L71" s="147" t="s">
        <v>1231</v>
      </c>
      <c r="M71" s="147" t="s">
        <v>1232</v>
      </c>
      <c r="N71" s="147" t="s">
        <v>1233</v>
      </c>
      <c r="O71" s="176"/>
      <c r="P71" s="8"/>
      <c r="Q71" s="8"/>
      <c r="R71" s="8"/>
      <c r="S71" s="8"/>
      <c r="T71" s="8"/>
      <c r="U71" s="8"/>
      <c r="V71" s="8"/>
      <c r="W71" s="8"/>
      <c r="X71" s="8"/>
      <c r="Y71" s="8"/>
      <c r="Z71" s="8"/>
    </row>
    <row r="72" ht="199.5" customHeight="1">
      <c r="A72" s="8"/>
      <c r="B72" s="173"/>
      <c r="C72" s="147"/>
      <c r="D72" s="147"/>
      <c r="E72" s="147"/>
      <c r="F72" s="147" t="s">
        <v>444</v>
      </c>
      <c r="G72" s="147" t="s">
        <v>445</v>
      </c>
      <c r="H72" s="174" t="s">
        <v>22</v>
      </c>
      <c r="I72" s="147" t="s">
        <v>1234</v>
      </c>
      <c r="J72" s="147" t="s">
        <v>990</v>
      </c>
      <c r="K72" s="147" t="s">
        <v>1222</v>
      </c>
      <c r="L72" s="147" t="s">
        <v>1235</v>
      </c>
      <c r="M72" s="147" t="s">
        <v>1224</v>
      </c>
      <c r="N72" s="147" t="s">
        <v>1225</v>
      </c>
      <c r="O72" s="176"/>
      <c r="P72" s="8"/>
      <c r="Q72" s="8"/>
      <c r="R72" s="8"/>
      <c r="S72" s="8"/>
      <c r="T72" s="8"/>
      <c r="U72" s="8"/>
      <c r="V72" s="8"/>
      <c r="W72" s="8"/>
      <c r="X72" s="8"/>
      <c r="Y72" s="8"/>
      <c r="Z72" s="8"/>
    </row>
    <row r="73" ht="199.5" customHeight="1">
      <c r="A73" s="8"/>
      <c r="B73" s="173"/>
      <c r="C73" s="147"/>
      <c r="D73" s="147"/>
      <c r="E73" s="147"/>
      <c r="F73" s="147" t="s">
        <v>446</v>
      </c>
      <c r="G73" s="147" t="s">
        <v>447</v>
      </c>
      <c r="H73" s="174" t="s">
        <v>22</v>
      </c>
      <c r="I73" s="147" t="s">
        <v>1236</v>
      </c>
      <c r="J73" s="147" t="s">
        <v>1100</v>
      </c>
      <c r="K73" s="147" t="s">
        <v>1222</v>
      </c>
      <c r="L73" s="147" t="s">
        <v>1237</v>
      </c>
      <c r="M73" s="147" t="s">
        <v>1224</v>
      </c>
      <c r="N73" s="147" t="s">
        <v>1225</v>
      </c>
      <c r="O73" s="176"/>
      <c r="P73" s="8"/>
      <c r="Q73" s="8"/>
      <c r="R73" s="8"/>
      <c r="S73" s="8"/>
      <c r="T73" s="8"/>
      <c r="U73" s="8"/>
      <c r="V73" s="8"/>
      <c r="W73" s="8"/>
      <c r="X73" s="8"/>
      <c r="Y73" s="8"/>
      <c r="Z73" s="8"/>
    </row>
    <row r="74" ht="199.5" customHeight="1">
      <c r="A74" s="8"/>
      <c r="B74" s="173"/>
      <c r="C74" s="147" t="s">
        <v>448</v>
      </c>
      <c r="D74" s="147" t="s">
        <v>449</v>
      </c>
      <c r="E74" s="147" t="s">
        <v>450</v>
      </c>
      <c r="F74" s="147" t="s">
        <v>451</v>
      </c>
      <c r="G74" s="147" t="s">
        <v>1238</v>
      </c>
      <c r="H74" s="174" t="s">
        <v>22</v>
      </c>
      <c r="I74" s="147" t="s">
        <v>1239</v>
      </c>
      <c r="J74" s="147" t="s">
        <v>990</v>
      </c>
      <c r="K74" s="147" t="s">
        <v>1240</v>
      </c>
      <c r="L74" s="147" t="s">
        <v>1241</v>
      </c>
      <c r="M74" s="147" t="s">
        <v>993</v>
      </c>
      <c r="N74" s="147" t="s">
        <v>994</v>
      </c>
      <c r="O74" s="176"/>
      <c r="P74" s="8"/>
      <c r="Q74" s="8"/>
      <c r="R74" s="8"/>
      <c r="S74" s="8"/>
      <c r="T74" s="8"/>
      <c r="U74" s="8"/>
      <c r="V74" s="8"/>
      <c r="W74" s="8"/>
      <c r="X74" s="8"/>
      <c r="Y74" s="8"/>
      <c r="Z74" s="8"/>
    </row>
    <row r="75" ht="199.5" customHeight="1">
      <c r="A75" s="8"/>
      <c r="B75" s="173"/>
      <c r="C75" s="147" t="s">
        <v>454</v>
      </c>
      <c r="D75" s="147" t="s">
        <v>455</v>
      </c>
      <c r="E75" s="147" t="s">
        <v>456</v>
      </c>
      <c r="F75" s="147" t="s">
        <v>457</v>
      </c>
      <c r="G75" s="147" t="s">
        <v>458</v>
      </c>
      <c r="H75" s="179" t="s">
        <v>307</v>
      </c>
      <c r="I75" s="147" t="s">
        <v>1242</v>
      </c>
      <c r="J75" s="147" t="s">
        <v>1216</v>
      </c>
      <c r="K75" s="147" t="s">
        <v>1243</v>
      </c>
      <c r="L75" s="147"/>
      <c r="M75" s="147" t="s">
        <v>1068</v>
      </c>
      <c r="N75" s="147" t="s">
        <v>1069</v>
      </c>
      <c r="O75" s="176"/>
      <c r="P75" s="8"/>
      <c r="Q75" s="8"/>
      <c r="R75" s="8"/>
      <c r="S75" s="8"/>
      <c r="T75" s="8"/>
      <c r="U75" s="8"/>
      <c r="V75" s="8"/>
      <c r="W75" s="8"/>
      <c r="X75" s="8"/>
      <c r="Y75" s="8"/>
      <c r="Z75" s="8"/>
    </row>
    <row r="76" ht="199.5" customHeight="1">
      <c r="A76" s="8"/>
      <c r="B76" s="173"/>
      <c r="C76" s="147" t="s">
        <v>461</v>
      </c>
      <c r="D76" s="147" t="s">
        <v>462</v>
      </c>
      <c r="E76" s="147" t="s">
        <v>463</v>
      </c>
      <c r="F76" s="147" t="s">
        <v>464</v>
      </c>
      <c r="G76" s="147" t="s">
        <v>465</v>
      </c>
      <c r="H76" s="174" t="s">
        <v>22</v>
      </c>
      <c r="I76" s="147" t="s">
        <v>1244</v>
      </c>
      <c r="J76" s="147" t="s">
        <v>1087</v>
      </c>
      <c r="K76" s="147" t="s">
        <v>1245</v>
      </c>
      <c r="L76" s="147" t="s">
        <v>1246</v>
      </c>
      <c r="M76" s="147" t="s">
        <v>1219</v>
      </c>
      <c r="N76" s="147" t="s">
        <v>1220</v>
      </c>
      <c r="O76" s="176"/>
      <c r="P76" s="8"/>
      <c r="Q76" s="8"/>
      <c r="R76" s="8"/>
      <c r="S76" s="8"/>
      <c r="T76" s="8"/>
      <c r="U76" s="8"/>
      <c r="V76" s="8"/>
      <c r="W76" s="8"/>
      <c r="X76" s="8"/>
      <c r="Y76" s="8"/>
      <c r="Z76" s="8"/>
    </row>
    <row r="77" ht="199.5" customHeight="1">
      <c r="A77" s="8"/>
      <c r="B77" s="173"/>
      <c r="C77" s="147" t="s">
        <v>467</v>
      </c>
      <c r="D77" s="147" t="s">
        <v>468</v>
      </c>
      <c r="E77" s="147" t="s">
        <v>469</v>
      </c>
      <c r="F77" s="147" t="s">
        <v>470</v>
      </c>
      <c r="G77" s="147" t="s">
        <v>471</v>
      </c>
      <c r="H77" s="174" t="s">
        <v>22</v>
      </c>
      <c r="I77" s="147" t="s">
        <v>1247</v>
      </c>
      <c r="J77" s="147" t="s">
        <v>1248</v>
      </c>
      <c r="K77" s="177" t="s">
        <v>1249</v>
      </c>
      <c r="L77" s="147" t="s">
        <v>1250</v>
      </c>
      <c r="M77" s="147" t="s">
        <v>1251</v>
      </c>
      <c r="N77" s="147" t="s">
        <v>1252</v>
      </c>
      <c r="O77" s="176"/>
      <c r="P77" s="8"/>
      <c r="Q77" s="8"/>
      <c r="R77" s="8"/>
      <c r="S77" s="8"/>
      <c r="T77" s="8"/>
      <c r="U77" s="8"/>
      <c r="V77" s="8"/>
      <c r="W77" s="8"/>
      <c r="X77" s="8"/>
      <c r="Y77" s="8"/>
      <c r="Z77" s="8"/>
    </row>
    <row r="78" ht="199.5" customHeight="1">
      <c r="A78" s="8"/>
      <c r="B78" s="173"/>
      <c r="C78" s="147" t="s">
        <v>473</v>
      </c>
      <c r="D78" s="147" t="s">
        <v>474</v>
      </c>
      <c r="E78" s="147" t="s">
        <v>475</v>
      </c>
      <c r="F78" s="147" t="s">
        <v>476</v>
      </c>
      <c r="G78" s="147" t="s">
        <v>1253</v>
      </c>
      <c r="H78" s="174" t="s">
        <v>22</v>
      </c>
      <c r="I78" s="147" t="s">
        <v>1254</v>
      </c>
      <c r="J78" s="147" t="s">
        <v>1216</v>
      </c>
      <c r="K78" s="147" t="s">
        <v>1255</v>
      </c>
      <c r="L78" s="147" t="s">
        <v>1256</v>
      </c>
      <c r="M78" s="147" t="s">
        <v>993</v>
      </c>
      <c r="N78" s="147" t="s">
        <v>994</v>
      </c>
      <c r="O78" s="176"/>
      <c r="P78" s="8"/>
      <c r="Q78" s="8"/>
      <c r="R78" s="8"/>
      <c r="S78" s="8"/>
      <c r="T78" s="8"/>
      <c r="U78" s="8"/>
      <c r="V78" s="8"/>
      <c r="W78" s="8"/>
      <c r="X78" s="8"/>
      <c r="Y78" s="8"/>
      <c r="Z78" s="8"/>
    </row>
    <row r="79" ht="199.5" customHeight="1">
      <c r="A79" s="8"/>
      <c r="B79" s="173"/>
      <c r="C79" s="147" t="s">
        <v>480</v>
      </c>
      <c r="D79" s="147" t="s">
        <v>481</v>
      </c>
      <c r="E79" s="147" t="s">
        <v>482</v>
      </c>
      <c r="F79" s="147" t="s">
        <v>483</v>
      </c>
      <c r="G79" s="147" t="s">
        <v>484</v>
      </c>
      <c r="H79" s="174" t="s">
        <v>22</v>
      </c>
      <c r="I79" s="147" t="s">
        <v>1257</v>
      </c>
      <c r="J79" s="147" t="s">
        <v>1258</v>
      </c>
      <c r="K79" s="147" t="s">
        <v>1259</v>
      </c>
      <c r="L79" s="147" t="s">
        <v>1260</v>
      </c>
      <c r="M79" s="147" t="s">
        <v>1068</v>
      </c>
      <c r="N79" s="147" t="s">
        <v>1069</v>
      </c>
      <c r="O79" s="176"/>
      <c r="P79" s="8"/>
      <c r="Q79" s="8"/>
      <c r="R79" s="8"/>
      <c r="S79" s="8"/>
      <c r="T79" s="8"/>
      <c r="U79" s="8"/>
      <c r="V79" s="8"/>
      <c r="W79" s="8"/>
      <c r="X79" s="8"/>
      <c r="Y79" s="8"/>
      <c r="Z79" s="8"/>
    </row>
    <row r="80" ht="199.5" customHeight="1">
      <c r="A80" s="8"/>
      <c r="B80" s="173"/>
      <c r="C80" s="147"/>
      <c r="D80" s="147"/>
      <c r="E80" s="147"/>
      <c r="F80" s="147" t="s">
        <v>487</v>
      </c>
      <c r="G80" s="147" t="s">
        <v>488</v>
      </c>
      <c r="H80" s="174" t="s">
        <v>22</v>
      </c>
      <c r="I80" s="147" t="s">
        <v>1261</v>
      </c>
      <c r="J80" s="147" t="s">
        <v>1118</v>
      </c>
      <c r="K80" s="147" t="s">
        <v>1262</v>
      </c>
      <c r="L80" s="147" t="s">
        <v>1263</v>
      </c>
      <c r="M80" s="147" t="s">
        <v>1068</v>
      </c>
      <c r="N80" s="147" t="s">
        <v>1069</v>
      </c>
      <c r="O80" s="176"/>
      <c r="P80" s="8"/>
      <c r="Q80" s="8"/>
      <c r="R80" s="8"/>
      <c r="S80" s="8"/>
      <c r="T80" s="8"/>
      <c r="U80" s="8"/>
      <c r="V80" s="8"/>
      <c r="W80" s="8"/>
      <c r="X80" s="8"/>
      <c r="Y80" s="8"/>
      <c r="Z80" s="8"/>
    </row>
    <row r="81" ht="199.5" customHeight="1">
      <c r="A81" s="8"/>
      <c r="B81" s="181"/>
      <c r="C81" s="182" t="s">
        <v>489</v>
      </c>
      <c r="D81" s="182" t="s">
        <v>490</v>
      </c>
      <c r="E81" s="182" t="s">
        <v>491</v>
      </c>
      <c r="F81" s="182" t="s">
        <v>492</v>
      </c>
      <c r="G81" s="182" t="s">
        <v>493</v>
      </c>
      <c r="H81" s="183" t="s">
        <v>22</v>
      </c>
      <c r="I81" s="182" t="s">
        <v>1264</v>
      </c>
      <c r="J81" s="182" t="s">
        <v>1265</v>
      </c>
      <c r="K81" s="182"/>
      <c r="L81" s="184" t="s">
        <v>1266</v>
      </c>
      <c r="M81" s="182" t="s">
        <v>1068</v>
      </c>
      <c r="N81" s="182" t="s">
        <v>1069</v>
      </c>
      <c r="O81" s="185"/>
      <c r="P81" s="8"/>
      <c r="Q81" s="8"/>
      <c r="R81" s="8"/>
      <c r="S81" s="8"/>
      <c r="T81" s="8"/>
      <c r="U81" s="8"/>
      <c r="V81" s="8"/>
      <c r="W81" s="8"/>
      <c r="X81" s="8"/>
      <c r="Y81" s="8"/>
      <c r="Z81" s="8"/>
    </row>
    <row r="82" ht="199.5" customHeight="1">
      <c r="A82" s="8"/>
      <c r="B82" s="186" t="s">
        <v>495</v>
      </c>
      <c r="C82" s="145">
        <v>6.1</v>
      </c>
      <c r="D82" s="145" t="s">
        <v>497</v>
      </c>
      <c r="E82" s="145" t="s">
        <v>498</v>
      </c>
      <c r="F82" s="145" t="s">
        <v>499</v>
      </c>
      <c r="G82" s="145" t="s">
        <v>500</v>
      </c>
      <c r="H82" s="169" t="s">
        <v>22</v>
      </c>
      <c r="I82" s="145" t="s">
        <v>1267</v>
      </c>
      <c r="J82" s="145" t="s">
        <v>1268</v>
      </c>
      <c r="K82" s="145" t="s">
        <v>1269</v>
      </c>
      <c r="L82" s="145" t="s">
        <v>1270</v>
      </c>
      <c r="M82" s="145" t="s">
        <v>1271</v>
      </c>
      <c r="N82" s="145" t="s">
        <v>1272</v>
      </c>
      <c r="O82" s="172"/>
      <c r="P82" s="8"/>
      <c r="Q82" s="8"/>
      <c r="R82" s="8"/>
      <c r="S82" s="8"/>
      <c r="T82" s="8"/>
      <c r="U82" s="8"/>
      <c r="V82" s="8"/>
      <c r="W82" s="8"/>
      <c r="X82" s="8"/>
      <c r="Y82" s="8"/>
      <c r="Z82" s="8"/>
    </row>
    <row r="83" ht="199.5" customHeight="1">
      <c r="A83" s="8"/>
      <c r="B83" s="187"/>
      <c r="C83" s="147"/>
      <c r="D83" s="147"/>
      <c r="E83" s="147"/>
      <c r="F83" s="147" t="s">
        <v>1273</v>
      </c>
      <c r="G83" s="147" t="s">
        <v>504</v>
      </c>
      <c r="H83" s="174" t="s">
        <v>22</v>
      </c>
      <c r="I83" s="147" t="s">
        <v>1274</v>
      </c>
      <c r="J83" s="147" t="s">
        <v>1275</v>
      </c>
      <c r="K83" s="147" t="s">
        <v>1276</v>
      </c>
      <c r="L83" s="147" t="s">
        <v>1277</v>
      </c>
      <c r="M83" s="147" t="s">
        <v>1271</v>
      </c>
      <c r="N83" s="147" t="s">
        <v>1272</v>
      </c>
      <c r="O83" s="176"/>
      <c r="P83" s="8"/>
      <c r="Q83" s="8"/>
      <c r="R83" s="8"/>
      <c r="S83" s="8"/>
      <c r="T83" s="8"/>
      <c r="U83" s="8"/>
      <c r="V83" s="8"/>
      <c r="W83" s="8"/>
      <c r="X83" s="8"/>
      <c r="Y83" s="8"/>
      <c r="Z83" s="8"/>
    </row>
    <row r="84" ht="199.5" customHeight="1">
      <c r="A84" s="8"/>
      <c r="B84" s="187"/>
      <c r="C84" s="147">
        <v>6.2</v>
      </c>
      <c r="D84" s="147" t="s">
        <v>506</v>
      </c>
      <c r="E84" s="147" t="s">
        <v>507</v>
      </c>
      <c r="F84" s="147" t="s">
        <v>508</v>
      </c>
      <c r="G84" s="147" t="s">
        <v>509</v>
      </c>
      <c r="H84" s="174" t="s">
        <v>22</v>
      </c>
      <c r="I84" s="147" t="s">
        <v>1278</v>
      </c>
      <c r="J84" s="147" t="s">
        <v>1279</v>
      </c>
      <c r="K84" s="147" t="s">
        <v>1280</v>
      </c>
      <c r="L84" s="147" t="s">
        <v>1281</v>
      </c>
      <c r="M84" s="147" t="s">
        <v>1282</v>
      </c>
      <c r="N84" s="147" t="s">
        <v>1283</v>
      </c>
      <c r="O84" s="176"/>
      <c r="P84" s="8"/>
      <c r="Q84" s="8"/>
      <c r="R84" s="8"/>
      <c r="S84" s="8"/>
      <c r="T84" s="8"/>
      <c r="U84" s="8"/>
      <c r="V84" s="8"/>
      <c r="W84" s="8"/>
      <c r="X84" s="8"/>
      <c r="Y84" s="8"/>
      <c r="Z84" s="8"/>
    </row>
    <row r="85" ht="199.5" customHeight="1">
      <c r="A85" s="8"/>
      <c r="B85" s="187"/>
      <c r="C85" s="147" t="s">
        <v>512</v>
      </c>
      <c r="D85" s="147" t="s">
        <v>513</v>
      </c>
      <c r="E85" s="147" t="s">
        <v>514</v>
      </c>
      <c r="F85" s="147" t="s">
        <v>515</v>
      </c>
      <c r="G85" s="147" t="s">
        <v>516</v>
      </c>
      <c r="H85" s="174" t="s">
        <v>307</v>
      </c>
      <c r="I85" s="147" t="s">
        <v>1284</v>
      </c>
      <c r="J85" s="147" t="s">
        <v>1285</v>
      </c>
      <c r="K85" s="147" t="s">
        <v>1286</v>
      </c>
      <c r="L85" s="147"/>
      <c r="M85" s="147" t="s">
        <v>1251</v>
      </c>
      <c r="N85" s="147" t="s">
        <v>1252</v>
      </c>
      <c r="O85" s="176"/>
      <c r="P85" s="8"/>
      <c r="Q85" s="8"/>
      <c r="R85" s="8"/>
      <c r="S85" s="8"/>
      <c r="T85" s="8"/>
      <c r="U85" s="8"/>
      <c r="V85" s="8"/>
      <c r="W85" s="8"/>
      <c r="X85" s="8"/>
      <c r="Y85" s="8"/>
      <c r="Z85" s="8"/>
    </row>
    <row r="86" ht="199.5" customHeight="1">
      <c r="A86" s="8"/>
      <c r="B86" s="187"/>
      <c r="C86" s="147"/>
      <c r="D86" s="147"/>
      <c r="E86" s="147"/>
      <c r="F86" s="147" t="s">
        <v>519</v>
      </c>
      <c r="G86" s="147" t="s">
        <v>520</v>
      </c>
      <c r="H86" s="174" t="s">
        <v>307</v>
      </c>
      <c r="I86" s="147" t="s">
        <v>1287</v>
      </c>
      <c r="J86" s="147" t="s">
        <v>1216</v>
      </c>
      <c r="K86" s="147" t="s">
        <v>1288</v>
      </c>
      <c r="L86" s="147"/>
      <c r="M86" s="147" t="s">
        <v>1251</v>
      </c>
      <c r="N86" s="147" t="s">
        <v>1252</v>
      </c>
      <c r="O86" s="176"/>
      <c r="P86" s="8"/>
      <c r="Q86" s="8"/>
      <c r="R86" s="8"/>
      <c r="S86" s="8"/>
      <c r="T86" s="8"/>
      <c r="U86" s="8"/>
      <c r="V86" s="8"/>
      <c r="W86" s="8"/>
      <c r="X86" s="8"/>
      <c r="Y86" s="8"/>
      <c r="Z86" s="8"/>
    </row>
    <row r="87" ht="199.5" customHeight="1">
      <c r="A87" s="8"/>
      <c r="B87" s="187"/>
      <c r="C87" s="147"/>
      <c r="D87" s="147"/>
      <c r="E87" s="147"/>
      <c r="F87" s="147" t="s">
        <v>522</v>
      </c>
      <c r="G87" s="147" t="s">
        <v>1289</v>
      </c>
      <c r="H87" s="174" t="s">
        <v>307</v>
      </c>
      <c r="I87" s="147" t="s">
        <v>1290</v>
      </c>
      <c r="J87" s="147" t="s">
        <v>1091</v>
      </c>
      <c r="K87" s="147" t="s">
        <v>1291</v>
      </c>
      <c r="L87" s="147"/>
      <c r="M87" s="147" t="s">
        <v>1068</v>
      </c>
      <c r="N87" s="147" t="s">
        <v>1069</v>
      </c>
      <c r="O87" s="176"/>
      <c r="P87" s="8"/>
      <c r="Q87" s="8"/>
      <c r="R87" s="8"/>
      <c r="S87" s="8"/>
      <c r="T87" s="8"/>
      <c r="U87" s="8"/>
      <c r="V87" s="8"/>
      <c r="W87" s="8"/>
      <c r="X87" s="8"/>
      <c r="Y87" s="8"/>
      <c r="Z87" s="8"/>
    </row>
    <row r="88" ht="199.5" customHeight="1">
      <c r="A88" s="8"/>
      <c r="B88" s="187"/>
      <c r="C88" s="147"/>
      <c r="D88" s="147"/>
      <c r="E88" s="147"/>
      <c r="F88" s="147" t="s">
        <v>525</v>
      </c>
      <c r="G88" s="147" t="s">
        <v>526</v>
      </c>
      <c r="H88" s="174" t="s">
        <v>307</v>
      </c>
      <c r="I88" s="147" t="s">
        <v>1292</v>
      </c>
      <c r="J88" s="147" t="s">
        <v>1091</v>
      </c>
      <c r="K88" s="147" t="s">
        <v>1291</v>
      </c>
      <c r="L88" s="147"/>
      <c r="M88" s="147" t="s">
        <v>1068</v>
      </c>
      <c r="N88" s="147" t="s">
        <v>1069</v>
      </c>
      <c r="O88" s="176"/>
      <c r="P88" s="8"/>
      <c r="Q88" s="8"/>
      <c r="R88" s="8"/>
      <c r="S88" s="8"/>
      <c r="T88" s="8"/>
      <c r="U88" s="8"/>
      <c r="V88" s="8"/>
      <c r="W88" s="8"/>
      <c r="X88" s="8"/>
      <c r="Y88" s="8"/>
      <c r="Z88" s="8"/>
    </row>
    <row r="89" ht="199.5" customHeight="1">
      <c r="A89" s="8"/>
      <c r="B89" s="187"/>
      <c r="C89" s="147" t="s">
        <v>528</v>
      </c>
      <c r="D89" s="147" t="s">
        <v>529</v>
      </c>
      <c r="E89" s="147" t="s">
        <v>530</v>
      </c>
      <c r="F89" s="147" t="s">
        <v>531</v>
      </c>
      <c r="G89" s="147" t="s">
        <v>532</v>
      </c>
      <c r="H89" s="174" t="s">
        <v>22</v>
      </c>
      <c r="I89" s="147" t="s">
        <v>1293</v>
      </c>
      <c r="J89" s="147" t="s">
        <v>1294</v>
      </c>
      <c r="K89" s="147" t="s">
        <v>1295</v>
      </c>
      <c r="L89" s="147" t="s">
        <v>1296</v>
      </c>
      <c r="M89" s="147" t="s">
        <v>1297</v>
      </c>
      <c r="N89" s="147" t="s">
        <v>1298</v>
      </c>
      <c r="O89" s="176"/>
      <c r="P89" s="8"/>
      <c r="Q89" s="8"/>
      <c r="R89" s="8"/>
      <c r="S89" s="8"/>
      <c r="T89" s="8"/>
      <c r="U89" s="8"/>
      <c r="V89" s="8"/>
      <c r="W89" s="8"/>
      <c r="X89" s="8"/>
      <c r="Y89" s="8"/>
      <c r="Z89" s="8"/>
    </row>
    <row r="90" ht="199.5" customHeight="1">
      <c r="A90" s="8"/>
      <c r="B90" s="187"/>
      <c r="C90" s="147" t="s">
        <v>534</v>
      </c>
      <c r="D90" s="147" t="s">
        <v>535</v>
      </c>
      <c r="E90" s="147" t="s">
        <v>536</v>
      </c>
      <c r="F90" s="147" t="s">
        <v>537</v>
      </c>
      <c r="G90" s="147" t="s">
        <v>538</v>
      </c>
      <c r="H90" s="174" t="s">
        <v>22</v>
      </c>
      <c r="I90" s="147" t="s">
        <v>1299</v>
      </c>
      <c r="J90" s="147" t="s">
        <v>1300</v>
      </c>
      <c r="K90" s="147" t="s">
        <v>1301</v>
      </c>
      <c r="L90" s="147" t="s">
        <v>1302</v>
      </c>
      <c r="M90" s="147" t="s">
        <v>1303</v>
      </c>
      <c r="N90" s="147" t="s">
        <v>1298</v>
      </c>
      <c r="O90" s="176"/>
      <c r="P90" s="8"/>
      <c r="Q90" s="8"/>
      <c r="R90" s="8"/>
      <c r="S90" s="8"/>
      <c r="T90" s="8"/>
      <c r="U90" s="8"/>
      <c r="V90" s="8"/>
      <c r="W90" s="8"/>
      <c r="X90" s="8"/>
      <c r="Y90" s="8"/>
      <c r="Z90" s="8"/>
    </row>
    <row r="91" ht="199.5" customHeight="1">
      <c r="A91" s="8"/>
      <c r="B91" s="187"/>
      <c r="C91" s="147" t="s">
        <v>541</v>
      </c>
      <c r="D91" s="147" t="s">
        <v>542</v>
      </c>
      <c r="E91" s="147" t="s">
        <v>543</v>
      </c>
      <c r="F91" s="147" t="s">
        <v>544</v>
      </c>
      <c r="G91" s="147" t="s">
        <v>545</v>
      </c>
      <c r="H91" s="174" t="s">
        <v>22</v>
      </c>
      <c r="I91" s="147" t="s">
        <v>1304</v>
      </c>
      <c r="J91" s="147" t="s">
        <v>1305</v>
      </c>
      <c r="K91" s="147" t="s">
        <v>1306</v>
      </c>
      <c r="L91" s="147" t="s">
        <v>1307</v>
      </c>
      <c r="M91" s="147" t="s">
        <v>1303</v>
      </c>
      <c r="N91" s="147" t="s">
        <v>1298</v>
      </c>
      <c r="O91" s="176"/>
      <c r="P91" s="8"/>
      <c r="Q91" s="8"/>
      <c r="R91" s="8"/>
      <c r="S91" s="8"/>
      <c r="T91" s="8"/>
      <c r="U91" s="8"/>
      <c r="V91" s="8"/>
      <c r="W91" s="8"/>
      <c r="X91" s="8"/>
      <c r="Y91" s="8"/>
      <c r="Z91" s="8"/>
    </row>
    <row r="92" ht="199.5" customHeight="1">
      <c r="A92" s="8"/>
      <c r="B92" s="187"/>
      <c r="C92" s="147" t="s">
        <v>547</v>
      </c>
      <c r="D92" s="147" t="s">
        <v>548</v>
      </c>
      <c r="E92" s="147" t="s">
        <v>549</v>
      </c>
      <c r="F92" s="147" t="s">
        <v>550</v>
      </c>
      <c r="G92" s="147" t="s">
        <v>551</v>
      </c>
      <c r="H92" s="174" t="s">
        <v>22</v>
      </c>
      <c r="I92" s="147" t="s">
        <v>1308</v>
      </c>
      <c r="J92" s="147" t="s">
        <v>1091</v>
      </c>
      <c r="K92" s="147" t="s">
        <v>1309</v>
      </c>
      <c r="L92" s="147" t="s">
        <v>1310</v>
      </c>
      <c r="M92" s="147" t="s">
        <v>1219</v>
      </c>
      <c r="N92" s="147" t="s">
        <v>1220</v>
      </c>
      <c r="O92" s="176"/>
      <c r="P92" s="8"/>
      <c r="Q92" s="8"/>
      <c r="R92" s="8"/>
      <c r="S92" s="8"/>
      <c r="T92" s="8"/>
      <c r="U92" s="8"/>
      <c r="V92" s="8"/>
      <c r="W92" s="8"/>
      <c r="X92" s="8"/>
      <c r="Y92" s="8"/>
      <c r="Z92" s="8"/>
    </row>
    <row r="93" ht="199.5" customHeight="1">
      <c r="A93" s="8"/>
      <c r="B93" s="187"/>
      <c r="C93" s="147" t="s">
        <v>554</v>
      </c>
      <c r="D93" s="147" t="s">
        <v>555</v>
      </c>
      <c r="E93" s="147" t="s">
        <v>556</v>
      </c>
      <c r="F93" s="147" t="s">
        <v>557</v>
      </c>
      <c r="G93" s="147" t="s">
        <v>558</v>
      </c>
      <c r="H93" s="174" t="s">
        <v>22</v>
      </c>
      <c r="I93" s="147" t="s">
        <v>1311</v>
      </c>
      <c r="J93" s="147" t="s">
        <v>1312</v>
      </c>
      <c r="K93" s="147" t="s">
        <v>1313</v>
      </c>
      <c r="L93" s="147" t="s">
        <v>1314</v>
      </c>
      <c r="M93" s="147" t="s">
        <v>1068</v>
      </c>
      <c r="N93" s="147" t="s">
        <v>1069</v>
      </c>
      <c r="O93" s="176"/>
      <c r="P93" s="8"/>
      <c r="Q93" s="8"/>
      <c r="R93" s="8"/>
      <c r="S93" s="8"/>
      <c r="T93" s="8"/>
      <c r="U93" s="8"/>
      <c r="V93" s="8"/>
      <c r="W93" s="8"/>
      <c r="X93" s="8"/>
      <c r="Y93" s="8"/>
      <c r="Z93" s="8"/>
    </row>
    <row r="94" ht="199.5" customHeight="1">
      <c r="A94" s="8"/>
      <c r="B94" s="188"/>
      <c r="C94" s="182"/>
      <c r="D94" s="182"/>
      <c r="E94" s="182"/>
      <c r="F94" s="182" t="s">
        <v>1315</v>
      </c>
      <c r="G94" s="189" t="s">
        <v>563</v>
      </c>
      <c r="H94" s="183" t="s">
        <v>22</v>
      </c>
      <c r="I94" s="182" t="s">
        <v>1316</v>
      </c>
      <c r="J94" s="182" t="s">
        <v>1317</v>
      </c>
      <c r="K94" s="182" t="s">
        <v>1318</v>
      </c>
      <c r="L94" s="182" t="s">
        <v>1319</v>
      </c>
      <c r="M94" s="182" t="s">
        <v>1068</v>
      </c>
      <c r="N94" s="182" t="s">
        <v>1069</v>
      </c>
      <c r="O94" s="185"/>
      <c r="P94" s="8"/>
      <c r="Q94" s="8"/>
      <c r="R94" s="8"/>
      <c r="S94" s="8"/>
      <c r="T94" s="8"/>
      <c r="U94" s="8"/>
      <c r="V94" s="8"/>
      <c r="W94" s="8"/>
      <c r="X94" s="8"/>
      <c r="Y94" s="8"/>
      <c r="Z94" s="8"/>
    </row>
    <row r="95" ht="199.5" customHeight="1">
      <c r="A95" s="8"/>
      <c r="B95" s="186" t="s">
        <v>565</v>
      </c>
      <c r="C95" s="145" t="s">
        <v>566</v>
      </c>
      <c r="D95" s="145" t="s">
        <v>567</v>
      </c>
      <c r="E95" s="145" t="s">
        <v>568</v>
      </c>
      <c r="F95" s="145" t="s">
        <v>569</v>
      </c>
      <c r="G95" s="145" t="s">
        <v>570</v>
      </c>
      <c r="H95" s="169" t="s">
        <v>22</v>
      </c>
      <c r="I95" s="145" t="s">
        <v>1320</v>
      </c>
      <c r="J95" s="145" t="s">
        <v>1321</v>
      </c>
      <c r="K95" s="145" t="s">
        <v>1322</v>
      </c>
      <c r="L95" s="145" t="s">
        <v>1323</v>
      </c>
      <c r="M95" s="145" t="s">
        <v>1068</v>
      </c>
      <c r="N95" s="145" t="s">
        <v>1069</v>
      </c>
      <c r="O95" s="172"/>
      <c r="P95" s="8"/>
      <c r="Q95" s="8"/>
      <c r="R95" s="8"/>
      <c r="S95" s="8"/>
      <c r="T95" s="8"/>
      <c r="U95" s="8"/>
      <c r="V95" s="8"/>
      <c r="W95" s="8"/>
      <c r="X95" s="8"/>
      <c r="Y95" s="8"/>
      <c r="Z95" s="8"/>
    </row>
    <row r="96" ht="199.5" customHeight="1">
      <c r="A96" s="8"/>
      <c r="B96" s="187"/>
      <c r="C96" s="147"/>
      <c r="D96" s="147"/>
      <c r="E96" s="147"/>
      <c r="F96" s="147" t="s">
        <v>1324</v>
      </c>
      <c r="G96" s="147" t="s">
        <v>574</v>
      </c>
      <c r="H96" s="174" t="s">
        <v>22</v>
      </c>
      <c r="I96" s="147" t="s">
        <v>1325</v>
      </c>
      <c r="J96" s="147" t="s">
        <v>1326</v>
      </c>
      <c r="K96" s="147" t="s">
        <v>1327</v>
      </c>
      <c r="L96" s="147" t="s">
        <v>1323</v>
      </c>
      <c r="M96" s="147" t="s">
        <v>1068</v>
      </c>
      <c r="N96" s="147" t="s">
        <v>1069</v>
      </c>
      <c r="O96" s="176"/>
      <c r="P96" s="8"/>
      <c r="Q96" s="8"/>
      <c r="R96" s="8"/>
      <c r="S96" s="8"/>
      <c r="T96" s="8"/>
      <c r="U96" s="8"/>
      <c r="V96" s="8"/>
      <c r="W96" s="8"/>
      <c r="X96" s="8"/>
      <c r="Y96" s="8"/>
      <c r="Z96" s="8"/>
    </row>
    <row r="97" ht="199.5" customHeight="1">
      <c r="A97" s="8"/>
      <c r="B97" s="187"/>
      <c r="C97" s="147" t="s">
        <v>576</v>
      </c>
      <c r="D97" s="147" t="s">
        <v>577</v>
      </c>
      <c r="E97" s="147" t="s">
        <v>578</v>
      </c>
      <c r="F97" s="147" t="s">
        <v>579</v>
      </c>
      <c r="G97" s="147" t="s">
        <v>580</v>
      </c>
      <c r="H97" s="174" t="s">
        <v>22</v>
      </c>
      <c r="I97" s="147" t="s">
        <v>1328</v>
      </c>
      <c r="J97" s="147" t="s">
        <v>1329</v>
      </c>
      <c r="K97" s="147" t="s">
        <v>1330</v>
      </c>
      <c r="L97" s="147" t="s">
        <v>1331</v>
      </c>
      <c r="M97" s="147" t="s">
        <v>1068</v>
      </c>
      <c r="N97" s="147" t="s">
        <v>1069</v>
      </c>
      <c r="O97" s="176"/>
      <c r="P97" s="8"/>
      <c r="Q97" s="8"/>
      <c r="R97" s="8"/>
      <c r="S97" s="8"/>
      <c r="T97" s="8"/>
      <c r="U97" s="8"/>
      <c r="V97" s="8"/>
      <c r="W97" s="8"/>
      <c r="X97" s="8"/>
      <c r="Y97" s="8"/>
      <c r="Z97" s="8"/>
    </row>
    <row r="98" ht="199.5" customHeight="1">
      <c r="A98" s="8"/>
      <c r="B98" s="187"/>
      <c r="C98" s="147"/>
      <c r="D98" s="147"/>
      <c r="E98" s="147"/>
      <c r="F98" s="147" t="s">
        <v>1332</v>
      </c>
      <c r="G98" s="147" t="s">
        <v>583</v>
      </c>
      <c r="H98" s="174" t="s">
        <v>307</v>
      </c>
      <c r="I98" s="147" t="s">
        <v>1333</v>
      </c>
      <c r="J98" s="147" t="s">
        <v>1334</v>
      </c>
      <c r="K98" s="147" t="s">
        <v>1335</v>
      </c>
      <c r="L98" s="147"/>
      <c r="M98" s="147" t="s">
        <v>1068</v>
      </c>
      <c r="N98" s="147" t="s">
        <v>1069</v>
      </c>
      <c r="O98" s="176"/>
      <c r="P98" s="8"/>
      <c r="Q98" s="8"/>
      <c r="R98" s="8"/>
      <c r="S98" s="8"/>
      <c r="T98" s="8"/>
      <c r="U98" s="8"/>
      <c r="V98" s="8"/>
      <c r="W98" s="8"/>
      <c r="X98" s="8"/>
      <c r="Y98" s="8"/>
      <c r="Z98" s="8"/>
    </row>
    <row r="99" ht="199.5" customHeight="1">
      <c r="A99" s="8"/>
      <c r="B99" s="187"/>
      <c r="C99" s="147"/>
      <c r="D99" s="147"/>
      <c r="E99" s="147"/>
      <c r="F99" s="147" t="s">
        <v>1336</v>
      </c>
      <c r="G99" s="147" t="s">
        <v>585</v>
      </c>
      <c r="H99" s="174" t="s">
        <v>307</v>
      </c>
      <c r="I99" s="147" t="s">
        <v>1337</v>
      </c>
      <c r="J99" s="147" t="s">
        <v>1338</v>
      </c>
      <c r="K99" s="147" t="s">
        <v>1339</v>
      </c>
      <c r="L99" s="147"/>
      <c r="M99" s="147" t="s">
        <v>1068</v>
      </c>
      <c r="N99" s="147" t="s">
        <v>1069</v>
      </c>
      <c r="O99" s="176"/>
      <c r="P99" s="8"/>
      <c r="Q99" s="8"/>
      <c r="R99" s="8"/>
      <c r="S99" s="8"/>
      <c r="T99" s="8"/>
      <c r="U99" s="8"/>
      <c r="V99" s="8"/>
      <c r="W99" s="8"/>
      <c r="X99" s="8"/>
      <c r="Y99" s="8"/>
      <c r="Z99" s="8"/>
    </row>
    <row r="100" ht="199.5" customHeight="1">
      <c r="A100" s="8"/>
      <c r="B100" s="187"/>
      <c r="C100" s="147"/>
      <c r="D100" s="147"/>
      <c r="E100" s="147"/>
      <c r="F100" s="147" t="s">
        <v>1340</v>
      </c>
      <c r="G100" s="147" t="s">
        <v>588</v>
      </c>
      <c r="H100" s="174" t="s">
        <v>22</v>
      </c>
      <c r="I100" s="147" t="s">
        <v>1341</v>
      </c>
      <c r="J100" s="147" t="s">
        <v>1342</v>
      </c>
      <c r="K100" s="147" t="s">
        <v>1343</v>
      </c>
      <c r="L100" s="147" t="s">
        <v>1344</v>
      </c>
      <c r="M100" s="147" t="s">
        <v>1068</v>
      </c>
      <c r="N100" s="147" t="s">
        <v>1069</v>
      </c>
      <c r="O100" s="176"/>
      <c r="P100" s="8"/>
      <c r="Q100" s="8"/>
      <c r="R100" s="8"/>
      <c r="S100" s="8"/>
      <c r="T100" s="8"/>
      <c r="U100" s="8"/>
      <c r="V100" s="8"/>
      <c r="W100" s="8"/>
      <c r="X100" s="8"/>
      <c r="Y100" s="8"/>
      <c r="Z100" s="8"/>
    </row>
    <row r="101" ht="199.5" customHeight="1">
      <c r="A101" s="8"/>
      <c r="B101" s="187"/>
      <c r="C101" s="147"/>
      <c r="D101" s="147"/>
      <c r="E101" s="147"/>
      <c r="F101" s="147" t="s">
        <v>1345</v>
      </c>
      <c r="G101" s="147" t="s">
        <v>590</v>
      </c>
      <c r="H101" s="174" t="s">
        <v>307</v>
      </c>
      <c r="I101" s="147" t="s">
        <v>1346</v>
      </c>
      <c r="J101" s="147" t="s">
        <v>1347</v>
      </c>
      <c r="K101" s="147" t="s">
        <v>1348</v>
      </c>
      <c r="L101" s="147"/>
      <c r="M101" s="147" t="s">
        <v>1068</v>
      </c>
      <c r="N101" s="147" t="s">
        <v>1069</v>
      </c>
      <c r="O101" s="176"/>
      <c r="P101" s="8"/>
      <c r="Q101" s="8"/>
      <c r="R101" s="8"/>
      <c r="S101" s="8"/>
      <c r="T101" s="8"/>
      <c r="U101" s="8"/>
      <c r="V101" s="8"/>
      <c r="W101" s="8"/>
      <c r="X101" s="8"/>
      <c r="Y101" s="8"/>
      <c r="Z101" s="8"/>
    </row>
    <row r="102" ht="199.5" customHeight="1">
      <c r="A102" s="8"/>
      <c r="B102" s="187"/>
      <c r="C102" s="147" t="s">
        <v>591</v>
      </c>
      <c r="D102" s="147" t="s">
        <v>592</v>
      </c>
      <c r="E102" s="147" t="s">
        <v>593</v>
      </c>
      <c r="F102" s="147" t="s">
        <v>594</v>
      </c>
      <c r="G102" s="147" t="s">
        <v>595</v>
      </c>
      <c r="H102" s="174" t="s">
        <v>307</v>
      </c>
      <c r="I102" s="147" t="s">
        <v>1349</v>
      </c>
      <c r="J102" s="147" t="s">
        <v>1109</v>
      </c>
      <c r="K102" s="147" t="s">
        <v>1350</v>
      </c>
      <c r="L102" s="147"/>
      <c r="M102" s="147" t="s">
        <v>1068</v>
      </c>
      <c r="N102" s="147" t="s">
        <v>1069</v>
      </c>
      <c r="O102" s="176"/>
      <c r="P102" s="8"/>
      <c r="Q102" s="8"/>
      <c r="R102" s="8"/>
      <c r="S102" s="8"/>
      <c r="T102" s="8"/>
      <c r="U102" s="8"/>
      <c r="V102" s="8"/>
      <c r="W102" s="8"/>
      <c r="X102" s="8"/>
      <c r="Y102" s="8"/>
      <c r="Z102" s="8"/>
    </row>
    <row r="103" ht="199.5" customHeight="1">
      <c r="A103" s="8"/>
      <c r="B103" s="187"/>
      <c r="C103" s="147" t="s">
        <v>598</v>
      </c>
      <c r="D103" s="147" t="s">
        <v>599</v>
      </c>
      <c r="E103" s="147" t="s">
        <v>600</v>
      </c>
      <c r="F103" s="147" t="s">
        <v>601</v>
      </c>
      <c r="G103" s="147" t="s">
        <v>602</v>
      </c>
      <c r="H103" s="174" t="s">
        <v>307</v>
      </c>
      <c r="I103" s="147" t="s">
        <v>1351</v>
      </c>
      <c r="J103" s="147" t="s">
        <v>1352</v>
      </c>
      <c r="K103" s="147" t="s">
        <v>1353</v>
      </c>
      <c r="L103" s="147"/>
      <c r="M103" s="147" t="s">
        <v>1068</v>
      </c>
      <c r="N103" s="147" t="s">
        <v>1069</v>
      </c>
      <c r="O103" s="176"/>
      <c r="P103" s="8"/>
      <c r="Q103" s="8"/>
      <c r="R103" s="8"/>
      <c r="S103" s="8"/>
      <c r="T103" s="8"/>
      <c r="U103" s="8"/>
      <c r="V103" s="8"/>
      <c r="W103" s="8"/>
      <c r="X103" s="8"/>
      <c r="Y103" s="8"/>
      <c r="Z103" s="8"/>
    </row>
    <row r="104" ht="199.5" customHeight="1">
      <c r="A104" s="8"/>
      <c r="B104" s="187"/>
      <c r="C104" s="147"/>
      <c r="D104" s="147"/>
      <c r="E104" s="147"/>
      <c r="F104" s="147" t="s">
        <v>1354</v>
      </c>
      <c r="G104" s="147" t="s">
        <v>606</v>
      </c>
      <c r="H104" s="174" t="s">
        <v>307</v>
      </c>
      <c r="I104" s="147" t="s">
        <v>1355</v>
      </c>
      <c r="J104" s="147" t="s">
        <v>1338</v>
      </c>
      <c r="K104" s="147" t="s">
        <v>1339</v>
      </c>
      <c r="L104" s="147"/>
      <c r="M104" s="147" t="s">
        <v>1068</v>
      </c>
      <c r="N104" s="147" t="s">
        <v>1069</v>
      </c>
      <c r="O104" s="176"/>
      <c r="P104" s="8"/>
      <c r="Q104" s="8"/>
      <c r="R104" s="8"/>
      <c r="S104" s="8"/>
      <c r="T104" s="8"/>
      <c r="U104" s="8"/>
      <c r="V104" s="8"/>
      <c r="W104" s="8"/>
      <c r="X104" s="8"/>
      <c r="Y104" s="8"/>
      <c r="Z104" s="8"/>
    </row>
    <row r="105" ht="199.5" customHeight="1">
      <c r="A105" s="8"/>
      <c r="B105" s="187"/>
      <c r="C105" s="147"/>
      <c r="D105" s="147"/>
      <c r="E105" s="147"/>
      <c r="F105" s="147" t="s">
        <v>1356</v>
      </c>
      <c r="G105" s="147" t="s">
        <v>608</v>
      </c>
      <c r="H105" s="174" t="s">
        <v>307</v>
      </c>
      <c r="I105" s="147" t="s">
        <v>1357</v>
      </c>
      <c r="J105" s="147" t="s">
        <v>1358</v>
      </c>
      <c r="K105" s="147" t="s">
        <v>1359</v>
      </c>
      <c r="L105" s="147"/>
      <c r="M105" s="147" t="s">
        <v>1068</v>
      </c>
      <c r="N105" s="147" t="s">
        <v>1069</v>
      </c>
      <c r="O105" s="176"/>
      <c r="P105" s="8"/>
      <c r="Q105" s="8"/>
      <c r="R105" s="8"/>
      <c r="S105" s="8"/>
      <c r="T105" s="8"/>
      <c r="U105" s="8"/>
      <c r="V105" s="8"/>
      <c r="W105" s="8"/>
      <c r="X105" s="8"/>
      <c r="Y105" s="8"/>
      <c r="Z105" s="8"/>
    </row>
    <row r="106" ht="199.5" customHeight="1">
      <c r="A106" s="8"/>
      <c r="B106" s="187"/>
      <c r="C106" s="147" t="s">
        <v>609</v>
      </c>
      <c r="D106" s="147" t="s">
        <v>610</v>
      </c>
      <c r="E106" s="147" t="s">
        <v>611</v>
      </c>
      <c r="F106" s="147" t="s">
        <v>612</v>
      </c>
      <c r="G106" s="147" t="s">
        <v>613</v>
      </c>
      <c r="H106" s="174" t="s">
        <v>307</v>
      </c>
      <c r="I106" s="147" t="s">
        <v>1360</v>
      </c>
      <c r="J106" s="147" t="s">
        <v>1010</v>
      </c>
      <c r="K106" s="147" t="s">
        <v>1361</v>
      </c>
      <c r="L106" s="147"/>
      <c r="M106" s="147" t="s">
        <v>1068</v>
      </c>
      <c r="N106" s="147" t="s">
        <v>1069</v>
      </c>
      <c r="O106" s="176"/>
      <c r="P106" s="8"/>
      <c r="Q106" s="8"/>
      <c r="R106" s="8"/>
      <c r="S106" s="8"/>
      <c r="T106" s="8"/>
      <c r="U106" s="8"/>
      <c r="V106" s="8"/>
      <c r="W106" s="8"/>
      <c r="X106" s="8"/>
      <c r="Y106" s="8"/>
      <c r="Z106" s="8"/>
    </row>
    <row r="107" ht="199.5" customHeight="1">
      <c r="A107" s="8"/>
      <c r="B107" s="187"/>
      <c r="C107" s="147"/>
      <c r="D107" s="147"/>
      <c r="E107" s="147"/>
      <c r="F107" s="147" t="s">
        <v>1362</v>
      </c>
      <c r="G107" s="147" t="s">
        <v>617</v>
      </c>
      <c r="H107" s="174" t="s">
        <v>307</v>
      </c>
      <c r="I107" s="147" t="s">
        <v>1363</v>
      </c>
      <c r="J107" s="147" t="s">
        <v>1364</v>
      </c>
      <c r="K107" s="147" t="s">
        <v>1365</v>
      </c>
      <c r="L107" s="147"/>
      <c r="M107" s="147" t="s">
        <v>1068</v>
      </c>
      <c r="N107" s="147" t="s">
        <v>1069</v>
      </c>
      <c r="O107" s="176"/>
      <c r="P107" s="8"/>
      <c r="Q107" s="8"/>
      <c r="R107" s="8"/>
      <c r="S107" s="8"/>
      <c r="T107" s="8"/>
      <c r="U107" s="8"/>
      <c r="V107" s="8"/>
      <c r="W107" s="8"/>
      <c r="X107" s="8"/>
      <c r="Y107" s="8"/>
      <c r="Z107" s="8"/>
    </row>
    <row r="108" ht="199.5" customHeight="1">
      <c r="A108" s="8"/>
      <c r="B108" s="187"/>
      <c r="C108" s="147"/>
      <c r="D108" s="147"/>
      <c r="E108" s="147"/>
      <c r="F108" s="147" t="s">
        <v>1366</v>
      </c>
      <c r="G108" s="147" t="s">
        <v>619</v>
      </c>
      <c r="H108" s="174" t="s">
        <v>22</v>
      </c>
      <c r="I108" s="147" t="s">
        <v>1367</v>
      </c>
      <c r="J108" s="147" t="s">
        <v>1338</v>
      </c>
      <c r="K108" s="147" t="s">
        <v>1368</v>
      </c>
      <c r="L108" s="147" t="s">
        <v>1369</v>
      </c>
      <c r="M108" s="147" t="s">
        <v>1068</v>
      </c>
      <c r="N108" s="147" t="s">
        <v>1069</v>
      </c>
      <c r="O108" s="176"/>
      <c r="P108" s="8"/>
      <c r="Q108" s="8"/>
      <c r="R108" s="8"/>
      <c r="S108" s="8"/>
      <c r="T108" s="8"/>
      <c r="U108" s="8"/>
      <c r="V108" s="8"/>
      <c r="W108" s="8"/>
      <c r="X108" s="8"/>
      <c r="Y108" s="8"/>
      <c r="Z108" s="8"/>
    </row>
    <row r="109" ht="199.5" customHeight="1">
      <c r="A109" s="8"/>
      <c r="B109" s="187"/>
      <c r="C109" s="147" t="s">
        <v>620</v>
      </c>
      <c r="D109" s="147" t="s">
        <v>621</v>
      </c>
      <c r="E109" s="147" t="s">
        <v>622</v>
      </c>
      <c r="F109" s="147" t="s">
        <v>623</v>
      </c>
      <c r="G109" s="147" t="s">
        <v>624</v>
      </c>
      <c r="H109" s="174" t="s">
        <v>22</v>
      </c>
      <c r="I109" s="147" t="s">
        <v>1370</v>
      </c>
      <c r="J109" s="147" t="s">
        <v>1317</v>
      </c>
      <c r="K109" s="147" t="s">
        <v>1371</v>
      </c>
      <c r="L109" s="147" t="s">
        <v>1372</v>
      </c>
      <c r="M109" s="147" t="s">
        <v>1068</v>
      </c>
      <c r="N109" s="147" t="s">
        <v>1069</v>
      </c>
      <c r="O109" s="176"/>
      <c r="P109" s="8"/>
      <c r="Q109" s="8"/>
      <c r="R109" s="8"/>
      <c r="S109" s="8"/>
      <c r="T109" s="8"/>
      <c r="U109" s="8"/>
      <c r="V109" s="8"/>
      <c r="W109" s="8"/>
      <c r="X109" s="8"/>
      <c r="Y109" s="8"/>
      <c r="Z109" s="8"/>
    </row>
    <row r="110" ht="199.5" customHeight="1">
      <c r="A110" s="8"/>
      <c r="B110" s="187"/>
      <c r="C110" s="147" t="s">
        <v>626</v>
      </c>
      <c r="D110" s="147" t="s">
        <v>627</v>
      </c>
      <c r="E110" s="147" t="s">
        <v>628</v>
      </c>
      <c r="F110" s="147" t="s">
        <v>629</v>
      </c>
      <c r="G110" s="147" t="s">
        <v>630</v>
      </c>
      <c r="H110" s="174" t="s">
        <v>22</v>
      </c>
      <c r="I110" s="147" t="s">
        <v>1373</v>
      </c>
      <c r="J110" s="147" t="s">
        <v>1109</v>
      </c>
      <c r="K110" s="147" t="s">
        <v>1350</v>
      </c>
      <c r="L110" s="147" t="s">
        <v>1374</v>
      </c>
      <c r="M110" s="147" t="s">
        <v>1068</v>
      </c>
      <c r="N110" s="147" t="s">
        <v>1069</v>
      </c>
      <c r="O110" s="176"/>
      <c r="P110" s="8"/>
      <c r="Q110" s="8"/>
      <c r="R110" s="8"/>
      <c r="S110" s="8"/>
      <c r="T110" s="8"/>
      <c r="U110" s="8"/>
      <c r="V110" s="8"/>
      <c r="W110" s="8"/>
      <c r="X110" s="8"/>
      <c r="Y110" s="8"/>
      <c r="Z110" s="8"/>
    </row>
    <row r="111" ht="199.5" customHeight="1">
      <c r="A111" s="8"/>
      <c r="B111" s="187"/>
      <c r="C111" s="147"/>
      <c r="D111" s="147"/>
      <c r="E111" s="147"/>
      <c r="F111" s="147" t="s">
        <v>1375</v>
      </c>
      <c r="G111" s="147" t="s">
        <v>635</v>
      </c>
      <c r="H111" s="174" t="s">
        <v>307</v>
      </c>
      <c r="I111" s="147" t="s">
        <v>1376</v>
      </c>
      <c r="J111" s="147" t="s">
        <v>1109</v>
      </c>
      <c r="K111" s="147" t="s">
        <v>1350</v>
      </c>
      <c r="L111" s="147"/>
      <c r="M111" s="147" t="s">
        <v>1068</v>
      </c>
      <c r="N111" s="147" t="s">
        <v>1069</v>
      </c>
      <c r="O111" s="176"/>
      <c r="P111" s="8"/>
      <c r="Q111" s="8"/>
      <c r="R111" s="8"/>
      <c r="S111" s="8"/>
      <c r="T111" s="8"/>
      <c r="U111" s="8"/>
      <c r="V111" s="8"/>
      <c r="W111" s="8"/>
      <c r="X111" s="8"/>
      <c r="Y111" s="8"/>
      <c r="Z111" s="8"/>
    </row>
    <row r="112" ht="199.5" customHeight="1">
      <c r="A112" s="8"/>
      <c r="B112" s="187"/>
      <c r="C112" s="147" t="s">
        <v>637</v>
      </c>
      <c r="D112" s="147" t="s">
        <v>638</v>
      </c>
      <c r="E112" s="147" t="s">
        <v>639</v>
      </c>
      <c r="F112" s="147" t="s">
        <v>640</v>
      </c>
      <c r="G112" s="147" t="s">
        <v>641</v>
      </c>
      <c r="H112" s="174" t="s">
        <v>307</v>
      </c>
      <c r="I112" s="147" t="s">
        <v>1377</v>
      </c>
      <c r="J112" s="147" t="s">
        <v>1338</v>
      </c>
      <c r="K112" s="147" t="s">
        <v>1368</v>
      </c>
      <c r="L112" s="147"/>
      <c r="M112" s="147" t="s">
        <v>1068</v>
      </c>
      <c r="N112" s="147" t="s">
        <v>1069</v>
      </c>
      <c r="O112" s="176"/>
      <c r="P112" s="8"/>
      <c r="Q112" s="8"/>
      <c r="R112" s="8"/>
      <c r="S112" s="8"/>
      <c r="T112" s="8"/>
      <c r="U112" s="8"/>
      <c r="V112" s="8"/>
      <c r="W112" s="8"/>
      <c r="X112" s="8"/>
      <c r="Y112" s="8"/>
      <c r="Z112" s="8"/>
    </row>
    <row r="113" ht="199.5" customHeight="1">
      <c r="A113" s="8"/>
      <c r="B113" s="187"/>
      <c r="C113" s="147" t="s">
        <v>643</v>
      </c>
      <c r="D113" s="147" t="s">
        <v>644</v>
      </c>
      <c r="E113" s="147" t="s">
        <v>645</v>
      </c>
      <c r="F113" s="147" t="s">
        <v>646</v>
      </c>
      <c r="G113" s="147" t="s">
        <v>647</v>
      </c>
      <c r="H113" s="174" t="s">
        <v>22</v>
      </c>
      <c r="I113" s="147" t="s">
        <v>1378</v>
      </c>
      <c r="J113" s="147" t="s">
        <v>1258</v>
      </c>
      <c r="K113" s="147" t="s">
        <v>1379</v>
      </c>
      <c r="L113" s="147" t="s">
        <v>1380</v>
      </c>
      <c r="M113" s="147" t="s">
        <v>1068</v>
      </c>
      <c r="N113" s="147" t="s">
        <v>1069</v>
      </c>
      <c r="O113" s="176"/>
      <c r="P113" s="8"/>
      <c r="Q113" s="8"/>
      <c r="R113" s="8"/>
      <c r="S113" s="8"/>
      <c r="T113" s="8"/>
      <c r="U113" s="8"/>
      <c r="V113" s="8"/>
      <c r="W113" s="8"/>
      <c r="X113" s="8"/>
      <c r="Y113" s="8"/>
      <c r="Z113" s="8"/>
    </row>
    <row r="114" ht="199.5" customHeight="1">
      <c r="A114" s="8"/>
      <c r="B114" s="187"/>
      <c r="C114" s="147" t="s">
        <v>650</v>
      </c>
      <c r="D114" s="147" t="s">
        <v>651</v>
      </c>
      <c r="E114" s="147" t="s">
        <v>652</v>
      </c>
      <c r="F114" s="147" t="s">
        <v>653</v>
      </c>
      <c r="G114" s="147" t="s">
        <v>654</v>
      </c>
      <c r="H114" s="174" t="s">
        <v>22</v>
      </c>
      <c r="I114" s="147" t="s">
        <v>1381</v>
      </c>
      <c r="J114" s="147" t="s">
        <v>1100</v>
      </c>
      <c r="K114" s="147" t="s">
        <v>1382</v>
      </c>
      <c r="L114" s="147" t="s">
        <v>1383</v>
      </c>
      <c r="M114" s="147" t="s">
        <v>1068</v>
      </c>
      <c r="N114" s="147" t="s">
        <v>1069</v>
      </c>
      <c r="O114" s="176"/>
      <c r="P114" s="8"/>
      <c r="Q114" s="8"/>
      <c r="R114" s="8"/>
      <c r="S114" s="8"/>
      <c r="T114" s="8"/>
      <c r="U114" s="8"/>
      <c r="V114" s="8"/>
      <c r="W114" s="8"/>
      <c r="X114" s="8"/>
      <c r="Y114" s="8"/>
      <c r="Z114" s="8"/>
    </row>
    <row r="115" ht="199.5" customHeight="1">
      <c r="A115" s="8"/>
      <c r="B115" s="187"/>
      <c r="C115" s="147"/>
      <c r="D115" s="147"/>
      <c r="E115" s="147"/>
      <c r="F115" s="147" t="s">
        <v>1384</v>
      </c>
      <c r="G115" s="147" t="s">
        <v>658</v>
      </c>
      <c r="H115" s="174" t="s">
        <v>22</v>
      </c>
      <c r="I115" s="147" t="s">
        <v>1385</v>
      </c>
      <c r="J115" s="147" t="s">
        <v>1364</v>
      </c>
      <c r="K115" s="147" t="s">
        <v>1386</v>
      </c>
      <c r="L115" s="147" t="s">
        <v>1387</v>
      </c>
      <c r="M115" s="147" t="s">
        <v>1068</v>
      </c>
      <c r="N115" s="147" t="s">
        <v>1069</v>
      </c>
      <c r="O115" s="176"/>
      <c r="P115" s="8"/>
      <c r="Q115" s="8"/>
      <c r="R115" s="8"/>
      <c r="S115" s="8"/>
      <c r="T115" s="8"/>
      <c r="U115" s="8"/>
      <c r="V115" s="8"/>
      <c r="W115" s="8"/>
      <c r="X115" s="8"/>
      <c r="Y115" s="8"/>
      <c r="Z115" s="8"/>
    </row>
    <row r="116" ht="199.5" customHeight="1">
      <c r="A116" s="8"/>
      <c r="B116" s="187"/>
      <c r="C116" s="147"/>
      <c r="D116" s="147"/>
      <c r="E116" s="147"/>
      <c r="F116" s="147" t="s">
        <v>659</v>
      </c>
      <c r="G116" s="147" t="s">
        <v>660</v>
      </c>
      <c r="H116" s="174" t="s">
        <v>22</v>
      </c>
      <c r="I116" s="147" t="s">
        <v>1388</v>
      </c>
      <c r="J116" s="147" t="s">
        <v>1364</v>
      </c>
      <c r="K116" s="147" t="s">
        <v>1389</v>
      </c>
      <c r="L116" s="147" t="s">
        <v>1390</v>
      </c>
      <c r="M116" s="147" t="s">
        <v>1068</v>
      </c>
      <c r="N116" s="147" t="s">
        <v>1069</v>
      </c>
      <c r="O116" s="176"/>
      <c r="P116" s="8"/>
      <c r="Q116" s="8"/>
      <c r="R116" s="8"/>
      <c r="S116" s="8"/>
      <c r="T116" s="8"/>
      <c r="U116" s="8"/>
      <c r="V116" s="8"/>
      <c r="W116" s="8"/>
      <c r="X116" s="8"/>
      <c r="Y116" s="8"/>
      <c r="Z116" s="8"/>
    </row>
    <row r="117" ht="199.5" customHeight="1">
      <c r="A117" s="8"/>
      <c r="B117" s="187"/>
      <c r="C117" s="147"/>
      <c r="D117" s="147"/>
      <c r="E117" s="147"/>
      <c r="F117" s="147" t="s">
        <v>661</v>
      </c>
      <c r="G117" s="147" t="s">
        <v>662</v>
      </c>
      <c r="H117" s="174" t="s">
        <v>22</v>
      </c>
      <c r="I117" s="147" t="s">
        <v>1391</v>
      </c>
      <c r="J117" s="147" t="s">
        <v>1100</v>
      </c>
      <c r="K117" s="147" t="s">
        <v>1392</v>
      </c>
      <c r="L117" s="147" t="s">
        <v>1393</v>
      </c>
      <c r="M117" s="147" t="s">
        <v>1068</v>
      </c>
      <c r="N117" s="147" t="s">
        <v>1069</v>
      </c>
      <c r="O117" s="176"/>
      <c r="P117" s="8"/>
      <c r="Q117" s="8"/>
      <c r="R117" s="8"/>
      <c r="S117" s="8"/>
      <c r="T117" s="8"/>
      <c r="U117" s="8"/>
      <c r="V117" s="8"/>
      <c r="W117" s="8"/>
      <c r="X117" s="8"/>
      <c r="Y117" s="8"/>
      <c r="Z117" s="8"/>
    </row>
    <row r="118" ht="199.5" customHeight="1">
      <c r="A118" s="8"/>
      <c r="B118" s="187"/>
      <c r="C118" s="147" t="s">
        <v>663</v>
      </c>
      <c r="D118" s="147" t="s">
        <v>664</v>
      </c>
      <c r="E118" s="147" t="s">
        <v>665</v>
      </c>
      <c r="F118" s="147" t="s">
        <v>666</v>
      </c>
      <c r="G118" s="147" t="s">
        <v>667</v>
      </c>
      <c r="H118" s="174" t="s">
        <v>22</v>
      </c>
      <c r="I118" s="147" t="s">
        <v>1394</v>
      </c>
      <c r="J118" s="147" t="s">
        <v>1395</v>
      </c>
      <c r="K118" s="147" t="s">
        <v>1396</v>
      </c>
      <c r="L118" s="147" t="s">
        <v>1397</v>
      </c>
      <c r="M118" s="147" t="s">
        <v>1068</v>
      </c>
      <c r="N118" s="147" t="s">
        <v>1069</v>
      </c>
      <c r="O118" s="176"/>
      <c r="P118" s="8"/>
      <c r="Q118" s="8"/>
      <c r="R118" s="8"/>
      <c r="S118" s="8"/>
      <c r="T118" s="8"/>
      <c r="U118" s="8"/>
      <c r="V118" s="8"/>
      <c r="W118" s="8"/>
      <c r="X118" s="8"/>
      <c r="Y118" s="8"/>
      <c r="Z118" s="8"/>
    </row>
    <row r="119" ht="199.5" customHeight="1">
      <c r="A119" s="8"/>
      <c r="B119" s="187"/>
      <c r="C119" s="147" t="s">
        <v>669</v>
      </c>
      <c r="D119" s="147" t="s">
        <v>670</v>
      </c>
      <c r="E119" s="147" t="s">
        <v>671</v>
      </c>
      <c r="F119" s="147" t="s">
        <v>672</v>
      </c>
      <c r="G119" s="147" t="s">
        <v>673</v>
      </c>
      <c r="H119" s="174" t="s">
        <v>22</v>
      </c>
      <c r="I119" s="147" t="s">
        <v>1398</v>
      </c>
      <c r="J119" s="147" t="s">
        <v>1399</v>
      </c>
      <c r="K119" s="147" t="s">
        <v>1400</v>
      </c>
      <c r="L119" s="147" t="s">
        <v>1401</v>
      </c>
      <c r="M119" s="147" t="s">
        <v>1068</v>
      </c>
      <c r="N119" s="147" t="s">
        <v>1069</v>
      </c>
      <c r="O119" s="176"/>
      <c r="P119" s="8"/>
      <c r="Q119" s="8"/>
      <c r="R119" s="8"/>
      <c r="S119" s="8"/>
      <c r="T119" s="8"/>
      <c r="U119" s="8"/>
      <c r="V119" s="8"/>
      <c r="W119" s="8"/>
      <c r="X119" s="8"/>
      <c r="Y119" s="8"/>
      <c r="Z119" s="8"/>
    </row>
    <row r="120" ht="199.5" customHeight="1">
      <c r="A120" s="8"/>
      <c r="B120" s="187"/>
      <c r="C120" s="147" t="s">
        <v>675</v>
      </c>
      <c r="D120" s="147" t="s">
        <v>676</v>
      </c>
      <c r="E120" s="147" t="s">
        <v>677</v>
      </c>
      <c r="F120" s="147" t="s">
        <v>678</v>
      </c>
      <c r="G120" s="147" t="s">
        <v>679</v>
      </c>
      <c r="H120" s="174" t="s">
        <v>22</v>
      </c>
      <c r="I120" s="147" t="s">
        <v>1402</v>
      </c>
      <c r="J120" s="147" t="s">
        <v>1118</v>
      </c>
      <c r="K120" s="147" t="s">
        <v>1403</v>
      </c>
      <c r="L120" s="147" t="s">
        <v>1404</v>
      </c>
      <c r="M120" s="147" t="s">
        <v>1224</v>
      </c>
      <c r="N120" s="147" t="s">
        <v>1225</v>
      </c>
      <c r="O120" s="176"/>
      <c r="P120" s="8"/>
      <c r="Q120" s="8"/>
      <c r="R120" s="8"/>
      <c r="S120" s="8"/>
      <c r="T120" s="8"/>
      <c r="U120" s="8"/>
      <c r="V120" s="8"/>
      <c r="W120" s="8"/>
      <c r="X120" s="8"/>
      <c r="Y120" s="8"/>
      <c r="Z120" s="8"/>
    </row>
    <row r="121" ht="199.5" customHeight="1">
      <c r="A121" s="8"/>
      <c r="B121" s="187"/>
      <c r="C121" s="147" t="s">
        <v>682</v>
      </c>
      <c r="D121" s="147" t="s">
        <v>683</v>
      </c>
      <c r="E121" s="147" t="s">
        <v>684</v>
      </c>
      <c r="F121" s="147" t="s">
        <v>685</v>
      </c>
      <c r="G121" s="147" t="s">
        <v>686</v>
      </c>
      <c r="H121" s="174" t="s">
        <v>307</v>
      </c>
      <c r="I121" s="147" t="s">
        <v>1405</v>
      </c>
      <c r="J121" s="147" t="s">
        <v>1364</v>
      </c>
      <c r="K121" s="147" t="s">
        <v>1386</v>
      </c>
      <c r="L121" s="147"/>
      <c r="M121" s="147" t="s">
        <v>1068</v>
      </c>
      <c r="N121" s="147" t="s">
        <v>1069</v>
      </c>
      <c r="O121" s="176"/>
      <c r="P121" s="8"/>
      <c r="Q121" s="8"/>
      <c r="R121" s="8"/>
      <c r="S121" s="8"/>
      <c r="T121" s="8"/>
      <c r="U121" s="8"/>
      <c r="V121" s="8"/>
      <c r="W121" s="8"/>
      <c r="X121" s="8"/>
      <c r="Y121" s="8"/>
      <c r="Z121" s="8"/>
    </row>
    <row r="122" ht="199.5" customHeight="1">
      <c r="A122" s="8"/>
      <c r="B122" s="188"/>
      <c r="C122" s="182"/>
      <c r="D122" s="182"/>
      <c r="E122" s="182"/>
      <c r="F122" s="182" t="s">
        <v>1406</v>
      </c>
      <c r="G122" s="182" t="s">
        <v>690</v>
      </c>
      <c r="H122" s="183" t="s">
        <v>307</v>
      </c>
      <c r="I122" s="182" t="s">
        <v>1407</v>
      </c>
      <c r="J122" s="182" t="s">
        <v>1364</v>
      </c>
      <c r="K122" s="182" t="s">
        <v>1386</v>
      </c>
      <c r="L122" s="182"/>
      <c r="M122" s="182" t="s">
        <v>1068</v>
      </c>
      <c r="N122" s="182" t="s">
        <v>1069</v>
      </c>
      <c r="O122" s="185"/>
      <c r="P122" s="8"/>
      <c r="Q122" s="8"/>
      <c r="R122" s="8"/>
      <c r="S122" s="8"/>
      <c r="T122" s="8"/>
      <c r="U122" s="8"/>
      <c r="V122" s="8"/>
      <c r="W122" s="8"/>
      <c r="X122" s="8"/>
      <c r="Y122" s="8"/>
      <c r="Z122" s="8"/>
    </row>
    <row r="123" ht="199.5" customHeight="1">
      <c r="A123" s="8"/>
      <c r="B123" s="186" t="s">
        <v>691</v>
      </c>
      <c r="C123" s="145" t="s">
        <v>692</v>
      </c>
      <c r="D123" s="145" t="s">
        <v>693</v>
      </c>
      <c r="E123" s="145" t="s">
        <v>694</v>
      </c>
      <c r="F123" s="145" t="s">
        <v>695</v>
      </c>
      <c r="G123" s="145" t="s">
        <v>696</v>
      </c>
      <c r="H123" s="169" t="s">
        <v>22</v>
      </c>
      <c r="I123" s="145" t="s">
        <v>1408</v>
      </c>
      <c r="J123" s="145" t="s">
        <v>1409</v>
      </c>
      <c r="K123" s="145" t="s">
        <v>1410</v>
      </c>
      <c r="L123" s="145" t="s">
        <v>1411</v>
      </c>
      <c r="M123" s="145" t="s">
        <v>1068</v>
      </c>
      <c r="N123" s="145" t="s">
        <v>1069</v>
      </c>
      <c r="O123" s="172"/>
      <c r="P123" s="8"/>
      <c r="Q123" s="8"/>
      <c r="R123" s="8"/>
      <c r="S123" s="8"/>
      <c r="T123" s="8"/>
      <c r="U123" s="8"/>
      <c r="V123" s="8"/>
      <c r="W123" s="8"/>
      <c r="X123" s="8"/>
      <c r="Y123" s="8"/>
      <c r="Z123" s="8"/>
    </row>
    <row r="124" ht="199.5" customHeight="1">
      <c r="A124" s="8"/>
      <c r="B124" s="187"/>
      <c r="C124" s="147"/>
      <c r="D124" s="147"/>
      <c r="E124" s="147"/>
      <c r="F124" s="147" t="s">
        <v>1412</v>
      </c>
      <c r="G124" s="147" t="s">
        <v>701</v>
      </c>
      <c r="H124" s="174" t="s">
        <v>22</v>
      </c>
      <c r="I124" s="147" t="s">
        <v>1413</v>
      </c>
      <c r="J124" s="147" t="s">
        <v>1414</v>
      </c>
      <c r="K124" s="147" t="s">
        <v>1415</v>
      </c>
      <c r="L124" s="147" t="s">
        <v>1416</v>
      </c>
      <c r="M124" s="147" t="s">
        <v>1068</v>
      </c>
      <c r="N124" s="147" t="s">
        <v>1069</v>
      </c>
      <c r="O124" s="176"/>
      <c r="P124" s="8"/>
      <c r="Q124" s="8"/>
      <c r="R124" s="8"/>
      <c r="S124" s="8"/>
      <c r="T124" s="8"/>
      <c r="U124" s="8"/>
      <c r="V124" s="8"/>
      <c r="W124" s="8"/>
      <c r="X124" s="8"/>
      <c r="Y124" s="8"/>
      <c r="Z124" s="8"/>
    </row>
    <row r="125" ht="199.5" customHeight="1">
      <c r="A125" s="8"/>
      <c r="B125" s="187"/>
      <c r="C125" s="147" t="s">
        <v>702</v>
      </c>
      <c r="D125" s="147" t="s">
        <v>703</v>
      </c>
      <c r="E125" s="147" t="s">
        <v>704</v>
      </c>
      <c r="F125" s="147" t="s">
        <v>705</v>
      </c>
      <c r="G125" s="147" t="s">
        <v>706</v>
      </c>
      <c r="H125" s="174" t="s">
        <v>22</v>
      </c>
      <c r="I125" s="147" t="s">
        <v>1417</v>
      </c>
      <c r="J125" s="147" t="s">
        <v>1414</v>
      </c>
      <c r="K125" s="147" t="s">
        <v>1418</v>
      </c>
      <c r="L125" s="147" t="s">
        <v>1419</v>
      </c>
      <c r="M125" s="147" t="s">
        <v>1420</v>
      </c>
      <c r="N125" s="147" t="s">
        <v>1421</v>
      </c>
      <c r="O125" s="176"/>
      <c r="P125" s="8"/>
      <c r="Q125" s="8"/>
      <c r="R125" s="8"/>
      <c r="S125" s="8"/>
      <c r="T125" s="8"/>
      <c r="U125" s="8"/>
      <c r="V125" s="8"/>
      <c r="W125" s="8"/>
      <c r="X125" s="8"/>
      <c r="Y125" s="8"/>
      <c r="Z125" s="8"/>
    </row>
    <row r="126" ht="199.5" customHeight="1">
      <c r="A126" s="8"/>
      <c r="B126" s="187"/>
      <c r="C126" s="147"/>
      <c r="D126" s="147"/>
      <c r="E126" s="147"/>
      <c r="F126" s="147" t="s">
        <v>1422</v>
      </c>
      <c r="G126" s="147" t="s">
        <v>709</v>
      </c>
      <c r="H126" s="174" t="s">
        <v>22</v>
      </c>
      <c r="I126" s="147" t="s">
        <v>1423</v>
      </c>
      <c r="J126" s="147" t="s">
        <v>1424</v>
      </c>
      <c r="K126" s="147" t="s">
        <v>1119</v>
      </c>
      <c r="L126" s="147" t="s">
        <v>1425</v>
      </c>
      <c r="M126" s="147" t="s">
        <v>1420</v>
      </c>
      <c r="N126" s="147" t="s">
        <v>1426</v>
      </c>
      <c r="O126" s="176"/>
      <c r="P126" s="8"/>
      <c r="Q126" s="8"/>
      <c r="R126" s="8"/>
      <c r="S126" s="8"/>
      <c r="T126" s="8"/>
      <c r="U126" s="8"/>
      <c r="V126" s="8"/>
      <c r="W126" s="8"/>
      <c r="X126" s="8"/>
      <c r="Y126" s="8"/>
      <c r="Z126" s="8"/>
    </row>
    <row r="127" ht="199.5" customHeight="1">
      <c r="A127" s="8"/>
      <c r="B127" s="187"/>
      <c r="C127" s="147" t="s">
        <v>712</v>
      </c>
      <c r="D127" s="147" t="s">
        <v>713</v>
      </c>
      <c r="E127" s="147" t="s">
        <v>714</v>
      </c>
      <c r="F127" s="147" t="s">
        <v>715</v>
      </c>
      <c r="G127" s="147" t="s">
        <v>716</v>
      </c>
      <c r="H127" s="174" t="s">
        <v>22</v>
      </c>
      <c r="I127" s="147" t="s">
        <v>1427</v>
      </c>
      <c r="J127" s="147" t="s">
        <v>1428</v>
      </c>
      <c r="K127" s="147" t="s">
        <v>1429</v>
      </c>
      <c r="L127" s="147" t="s">
        <v>1430</v>
      </c>
      <c r="M127" s="147" t="s">
        <v>1420</v>
      </c>
      <c r="N127" s="147" t="s">
        <v>1421</v>
      </c>
      <c r="O127" s="176"/>
      <c r="P127" s="8"/>
      <c r="Q127" s="8"/>
      <c r="R127" s="8"/>
      <c r="S127" s="8"/>
      <c r="T127" s="8"/>
      <c r="U127" s="8"/>
      <c r="V127" s="8"/>
      <c r="W127" s="8"/>
      <c r="X127" s="8"/>
      <c r="Y127" s="8"/>
      <c r="Z127" s="8"/>
    </row>
    <row r="128" ht="199.5" customHeight="1">
      <c r="A128" s="8"/>
      <c r="B128" s="187"/>
      <c r="C128" s="147" t="s">
        <v>719</v>
      </c>
      <c r="D128" s="147" t="s">
        <v>720</v>
      </c>
      <c r="E128" s="147" t="s">
        <v>721</v>
      </c>
      <c r="F128" s="147" t="s">
        <v>722</v>
      </c>
      <c r="G128" s="147" t="s">
        <v>723</v>
      </c>
      <c r="H128" s="174" t="s">
        <v>22</v>
      </c>
      <c r="I128" s="147" t="s">
        <v>1431</v>
      </c>
      <c r="J128" s="147" t="s">
        <v>1432</v>
      </c>
      <c r="K128" s="147" t="s">
        <v>1433</v>
      </c>
      <c r="L128" s="147" t="s">
        <v>1434</v>
      </c>
      <c r="M128" s="147" t="s">
        <v>1435</v>
      </c>
      <c r="N128" s="147" t="s">
        <v>1436</v>
      </c>
      <c r="O128" s="176"/>
      <c r="P128" s="8"/>
      <c r="Q128" s="8"/>
      <c r="R128" s="8"/>
      <c r="S128" s="8"/>
      <c r="T128" s="8"/>
      <c r="U128" s="8"/>
      <c r="V128" s="8"/>
      <c r="W128" s="8"/>
      <c r="X128" s="8"/>
      <c r="Y128" s="8"/>
      <c r="Z128" s="8"/>
    </row>
    <row r="129" ht="199.5" customHeight="1">
      <c r="A129" s="8"/>
      <c r="B129" s="187"/>
      <c r="C129" s="147" t="s">
        <v>726</v>
      </c>
      <c r="D129" s="147" t="s">
        <v>727</v>
      </c>
      <c r="E129" s="147" t="s">
        <v>728</v>
      </c>
      <c r="F129" s="147" t="s">
        <v>729</v>
      </c>
      <c r="G129" s="147" t="s">
        <v>730</v>
      </c>
      <c r="H129" s="174" t="s">
        <v>22</v>
      </c>
      <c r="I129" s="147" t="s">
        <v>1437</v>
      </c>
      <c r="J129" s="147" t="s">
        <v>1438</v>
      </c>
      <c r="K129" s="147" t="s">
        <v>1439</v>
      </c>
      <c r="L129" s="147" t="s">
        <v>1440</v>
      </c>
      <c r="M129" s="147" t="s">
        <v>1441</v>
      </c>
      <c r="N129" s="147" t="s">
        <v>1225</v>
      </c>
      <c r="O129" s="176"/>
      <c r="P129" s="8"/>
      <c r="Q129" s="8"/>
      <c r="R129" s="8"/>
      <c r="S129" s="8"/>
      <c r="T129" s="8"/>
      <c r="U129" s="8"/>
      <c r="V129" s="8"/>
      <c r="W129" s="8"/>
      <c r="X129" s="8"/>
      <c r="Y129" s="8"/>
      <c r="Z129" s="8"/>
    </row>
    <row r="130" ht="199.5" customHeight="1">
      <c r="A130" s="8"/>
      <c r="B130" s="187"/>
      <c r="C130" s="147" t="s">
        <v>733</v>
      </c>
      <c r="D130" s="147" t="s">
        <v>734</v>
      </c>
      <c r="E130" s="147" t="s">
        <v>735</v>
      </c>
      <c r="F130" s="147" t="s">
        <v>736</v>
      </c>
      <c r="G130" s="147" t="s">
        <v>737</v>
      </c>
      <c r="H130" s="174" t="s">
        <v>22</v>
      </c>
      <c r="I130" s="147" t="s">
        <v>1442</v>
      </c>
      <c r="J130" s="147" t="s">
        <v>1428</v>
      </c>
      <c r="K130" s="147" t="s">
        <v>1443</v>
      </c>
      <c r="L130" s="147" t="s">
        <v>1444</v>
      </c>
      <c r="M130" s="147" t="s">
        <v>1441</v>
      </c>
      <c r="N130" s="147" t="s">
        <v>1225</v>
      </c>
      <c r="O130" s="176"/>
      <c r="P130" s="8"/>
      <c r="Q130" s="8"/>
      <c r="R130" s="8"/>
      <c r="S130" s="8"/>
      <c r="T130" s="8"/>
      <c r="U130" s="8"/>
      <c r="V130" s="8"/>
      <c r="W130" s="8"/>
      <c r="X130" s="8"/>
      <c r="Y130" s="8"/>
      <c r="Z130" s="8"/>
    </row>
    <row r="131" ht="199.5" customHeight="1">
      <c r="A131" s="8"/>
      <c r="B131" s="187"/>
      <c r="C131" s="147" t="s">
        <v>740</v>
      </c>
      <c r="D131" s="147" t="s">
        <v>741</v>
      </c>
      <c r="E131" s="147" t="s">
        <v>742</v>
      </c>
      <c r="F131" s="147" t="s">
        <v>743</v>
      </c>
      <c r="G131" s="147" t="s">
        <v>744</v>
      </c>
      <c r="H131" s="174" t="s">
        <v>22</v>
      </c>
      <c r="I131" s="147" t="s">
        <v>1445</v>
      </c>
      <c r="J131" s="147" t="s">
        <v>1446</v>
      </c>
      <c r="K131" s="147" t="s">
        <v>1447</v>
      </c>
      <c r="L131" s="177" t="s">
        <v>1448</v>
      </c>
      <c r="M131" s="147" t="s">
        <v>1219</v>
      </c>
      <c r="N131" s="147" t="s">
        <v>1220</v>
      </c>
      <c r="O131" s="176"/>
      <c r="P131" s="8"/>
      <c r="Q131" s="8"/>
      <c r="R131" s="8"/>
      <c r="S131" s="8"/>
      <c r="T131" s="8"/>
      <c r="U131" s="8"/>
      <c r="V131" s="8"/>
      <c r="W131" s="8"/>
      <c r="X131" s="8"/>
      <c r="Y131" s="8"/>
      <c r="Z131" s="8"/>
    </row>
    <row r="132" ht="199.5" customHeight="1">
      <c r="A132" s="8"/>
      <c r="B132" s="187"/>
      <c r="C132" s="147" t="s">
        <v>748</v>
      </c>
      <c r="D132" s="147" t="s">
        <v>749</v>
      </c>
      <c r="E132" s="147" t="s">
        <v>750</v>
      </c>
      <c r="F132" s="147" t="s">
        <v>751</v>
      </c>
      <c r="G132" s="147" t="s">
        <v>752</v>
      </c>
      <c r="H132" s="174" t="s">
        <v>22</v>
      </c>
      <c r="I132" s="147" t="s">
        <v>1449</v>
      </c>
      <c r="J132" s="147" t="s">
        <v>1450</v>
      </c>
      <c r="K132" s="147" t="s">
        <v>1451</v>
      </c>
      <c r="L132" s="177" t="s">
        <v>1452</v>
      </c>
      <c r="M132" s="147" t="s">
        <v>1219</v>
      </c>
      <c r="N132" s="147" t="s">
        <v>1220</v>
      </c>
      <c r="O132" s="176"/>
      <c r="P132" s="8"/>
      <c r="Q132" s="8"/>
      <c r="R132" s="8"/>
      <c r="S132" s="8"/>
      <c r="T132" s="8"/>
      <c r="U132" s="8"/>
      <c r="V132" s="8"/>
      <c r="W132" s="8"/>
      <c r="X132" s="8"/>
      <c r="Y132" s="8"/>
      <c r="Z132" s="8"/>
    </row>
    <row r="133" ht="199.5" customHeight="1">
      <c r="A133" s="8"/>
      <c r="B133" s="187"/>
      <c r="C133" s="147"/>
      <c r="D133" s="147"/>
      <c r="E133" s="147"/>
      <c r="F133" s="147" t="s">
        <v>1453</v>
      </c>
      <c r="G133" s="147" t="s">
        <v>756</v>
      </c>
      <c r="H133" s="174" t="s">
        <v>307</v>
      </c>
      <c r="I133" s="147" t="s">
        <v>1454</v>
      </c>
      <c r="J133" s="147" t="s">
        <v>1446</v>
      </c>
      <c r="K133" s="147" t="s">
        <v>1455</v>
      </c>
      <c r="L133" s="147"/>
      <c r="M133" s="147" t="s">
        <v>1219</v>
      </c>
      <c r="N133" s="147" t="s">
        <v>1220</v>
      </c>
      <c r="O133" s="176"/>
      <c r="P133" s="8"/>
      <c r="Q133" s="8"/>
      <c r="R133" s="8"/>
      <c r="S133" s="8"/>
      <c r="T133" s="8"/>
      <c r="U133" s="8"/>
      <c r="V133" s="8"/>
      <c r="W133" s="8"/>
      <c r="X133" s="8"/>
      <c r="Y133" s="8"/>
      <c r="Z133" s="8"/>
    </row>
    <row r="134" ht="199.5" customHeight="1">
      <c r="A134" s="8"/>
      <c r="B134" s="187"/>
      <c r="C134" s="147" t="s">
        <v>757</v>
      </c>
      <c r="D134" s="147" t="s">
        <v>758</v>
      </c>
      <c r="E134" s="147" t="s">
        <v>759</v>
      </c>
      <c r="F134" s="147" t="s">
        <v>760</v>
      </c>
      <c r="G134" s="147" t="s">
        <v>761</v>
      </c>
      <c r="H134" s="174" t="s">
        <v>22</v>
      </c>
      <c r="I134" s="147" t="s">
        <v>1456</v>
      </c>
      <c r="J134" s="147" t="s">
        <v>1457</v>
      </c>
      <c r="K134" s="147" t="s">
        <v>1458</v>
      </c>
      <c r="L134" s="177" t="s">
        <v>1459</v>
      </c>
      <c r="M134" s="147" t="s">
        <v>1460</v>
      </c>
      <c r="N134" s="147" t="s">
        <v>1461</v>
      </c>
      <c r="O134" s="176"/>
      <c r="P134" s="8"/>
      <c r="Q134" s="8"/>
      <c r="R134" s="8"/>
      <c r="S134" s="8"/>
      <c r="T134" s="8"/>
      <c r="U134" s="8"/>
      <c r="V134" s="8"/>
      <c r="W134" s="8"/>
      <c r="X134" s="8"/>
      <c r="Y134" s="8"/>
      <c r="Z134" s="8"/>
    </row>
    <row r="135" ht="199.5" customHeight="1">
      <c r="A135" s="8"/>
      <c r="B135" s="187"/>
      <c r="C135" s="147"/>
      <c r="D135" s="147"/>
      <c r="E135" s="147"/>
      <c r="F135" s="147" t="s">
        <v>1462</v>
      </c>
      <c r="G135" s="147" t="s">
        <v>764</v>
      </c>
      <c r="H135" s="174" t="s">
        <v>22</v>
      </c>
      <c r="I135" s="147" t="s">
        <v>1463</v>
      </c>
      <c r="J135" s="147" t="s">
        <v>1432</v>
      </c>
      <c r="K135" s="147" t="s">
        <v>1464</v>
      </c>
      <c r="L135" s="177" t="s">
        <v>1465</v>
      </c>
      <c r="M135" s="147" t="s">
        <v>1460</v>
      </c>
      <c r="N135" s="147" t="s">
        <v>1461</v>
      </c>
      <c r="O135" s="176"/>
      <c r="P135" s="8"/>
      <c r="Q135" s="8"/>
      <c r="R135" s="8"/>
      <c r="S135" s="8"/>
      <c r="T135" s="8"/>
      <c r="U135" s="8"/>
      <c r="V135" s="8"/>
      <c r="W135" s="8"/>
      <c r="X135" s="8"/>
      <c r="Y135" s="8"/>
      <c r="Z135" s="8"/>
    </row>
    <row r="136" ht="199.5" customHeight="1">
      <c r="A136" s="8"/>
      <c r="B136" s="187"/>
      <c r="C136" s="147"/>
      <c r="D136" s="147"/>
      <c r="E136" s="147"/>
      <c r="F136" s="147" t="s">
        <v>765</v>
      </c>
      <c r="G136" s="147" t="s">
        <v>766</v>
      </c>
      <c r="H136" s="174" t="s">
        <v>22</v>
      </c>
      <c r="I136" s="147" t="s">
        <v>1466</v>
      </c>
      <c r="J136" s="147" t="s">
        <v>1467</v>
      </c>
      <c r="K136" s="147" t="s">
        <v>1468</v>
      </c>
      <c r="L136" s="177" t="s">
        <v>1469</v>
      </c>
      <c r="M136" s="147" t="s">
        <v>1460</v>
      </c>
      <c r="N136" s="147" t="s">
        <v>1461</v>
      </c>
      <c r="O136" s="176"/>
      <c r="P136" s="8"/>
      <c r="Q136" s="8"/>
      <c r="R136" s="8"/>
      <c r="S136" s="8"/>
      <c r="T136" s="8"/>
      <c r="U136" s="8"/>
      <c r="V136" s="8"/>
      <c r="W136" s="8"/>
      <c r="X136" s="8"/>
      <c r="Y136" s="8"/>
      <c r="Z136" s="8"/>
    </row>
    <row r="137" ht="199.5" customHeight="1">
      <c r="A137" s="8"/>
      <c r="B137" s="187"/>
      <c r="C137" s="147" t="s">
        <v>767</v>
      </c>
      <c r="D137" s="147" t="s">
        <v>768</v>
      </c>
      <c r="E137" s="147" t="s">
        <v>769</v>
      </c>
      <c r="F137" s="147" t="s">
        <v>770</v>
      </c>
      <c r="G137" s="147" t="s">
        <v>771</v>
      </c>
      <c r="H137" s="174" t="s">
        <v>307</v>
      </c>
      <c r="I137" s="147" t="s">
        <v>1470</v>
      </c>
      <c r="J137" s="147" t="s">
        <v>1471</v>
      </c>
      <c r="K137" s="147" t="s">
        <v>1472</v>
      </c>
      <c r="L137" s="147"/>
      <c r="M137" s="147" t="s">
        <v>1068</v>
      </c>
      <c r="N137" s="147" t="s">
        <v>1069</v>
      </c>
      <c r="O137" s="176"/>
      <c r="P137" s="8"/>
      <c r="Q137" s="8"/>
      <c r="R137" s="8"/>
      <c r="S137" s="8"/>
      <c r="T137" s="8"/>
      <c r="U137" s="8"/>
      <c r="V137" s="8"/>
      <c r="W137" s="8"/>
      <c r="X137" s="8"/>
      <c r="Y137" s="8"/>
      <c r="Z137" s="8"/>
    </row>
    <row r="138" ht="199.5" customHeight="1">
      <c r="A138" s="8"/>
      <c r="B138" s="187"/>
      <c r="C138" s="147" t="s">
        <v>774</v>
      </c>
      <c r="D138" s="147" t="s">
        <v>775</v>
      </c>
      <c r="E138" s="147" t="s">
        <v>776</v>
      </c>
      <c r="F138" s="147" t="s">
        <v>777</v>
      </c>
      <c r="G138" s="147" t="s">
        <v>778</v>
      </c>
      <c r="H138" s="179" t="s">
        <v>307</v>
      </c>
      <c r="I138" s="147" t="s">
        <v>1473</v>
      </c>
      <c r="J138" s="147" t="s">
        <v>1474</v>
      </c>
      <c r="K138" s="147" t="s">
        <v>1475</v>
      </c>
      <c r="L138" s="147"/>
      <c r="M138" s="147" t="s">
        <v>1476</v>
      </c>
      <c r="N138" s="147" t="s">
        <v>1477</v>
      </c>
      <c r="O138" s="176"/>
      <c r="P138" s="8"/>
      <c r="Q138" s="8"/>
      <c r="R138" s="8"/>
      <c r="S138" s="8"/>
      <c r="T138" s="8"/>
      <c r="U138" s="8"/>
      <c r="V138" s="8"/>
      <c r="W138" s="8"/>
      <c r="X138" s="8"/>
      <c r="Y138" s="8"/>
      <c r="Z138" s="8"/>
    </row>
    <row r="139" ht="199.5" customHeight="1">
      <c r="A139" s="8"/>
      <c r="B139" s="187"/>
      <c r="C139" s="147" t="s">
        <v>781</v>
      </c>
      <c r="D139" s="147" t="s">
        <v>782</v>
      </c>
      <c r="E139" s="147" t="s">
        <v>783</v>
      </c>
      <c r="F139" s="147" t="s">
        <v>784</v>
      </c>
      <c r="G139" s="147" t="s">
        <v>785</v>
      </c>
      <c r="H139" s="174" t="s">
        <v>22</v>
      </c>
      <c r="I139" s="147" t="s">
        <v>1478</v>
      </c>
      <c r="J139" s="147" t="s">
        <v>1479</v>
      </c>
      <c r="K139" s="147" t="s">
        <v>1480</v>
      </c>
      <c r="L139" s="177" t="s">
        <v>1481</v>
      </c>
      <c r="M139" s="147" t="s">
        <v>1219</v>
      </c>
      <c r="N139" s="147" t="s">
        <v>1220</v>
      </c>
      <c r="O139" s="176"/>
      <c r="P139" s="8"/>
      <c r="Q139" s="8"/>
      <c r="R139" s="8"/>
      <c r="S139" s="8"/>
      <c r="T139" s="8"/>
      <c r="U139" s="8"/>
      <c r="V139" s="8"/>
      <c r="W139" s="8"/>
      <c r="X139" s="8"/>
      <c r="Y139" s="8"/>
      <c r="Z139" s="8"/>
    </row>
    <row r="140" ht="199.5" customHeight="1">
      <c r="A140" s="8"/>
      <c r="B140" s="187"/>
      <c r="C140" s="147"/>
      <c r="D140" s="147"/>
      <c r="E140" s="147"/>
      <c r="F140" s="147" t="s">
        <v>1482</v>
      </c>
      <c r="G140" s="147" t="s">
        <v>788</v>
      </c>
      <c r="H140" s="174" t="s">
        <v>22</v>
      </c>
      <c r="I140" s="147" t="s">
        <v>1483</v>
      </c>
      <c r="J140" s="147" t="s">
        <v>990</v>
      </c>
      <c r="K140" s="147" t="s">
        <v>1484</v>
      </c>
      <c r="L140" s="147" t="s">
        <v>1485</v>
      </c>
      <c r="M140" s="147" t="s">
        <v>1219</v>
      </c>
      <c r="N140" s="147" t="s">
        <v>1220</v>
      </c>
      <c r="O140" s="176"/>
      <c r="P140" s="8"/>
      <c r="Q140" s="8"/>
      <c r="R140" s="8"/>
      <c r="S140" s="8"/>
      <c r="T140" s="8"/>
      <c r="U140" s="8"/>
      <c r="V140" s="8"/>
      <c r="W140" s="8"/>
      <c r="X140" s="8"/>
      <c r="Y140" s="8"/>
      <c r="Z140" s="8"/>
    </row>
    <row r="141" ht="199.5" customHeight="1">
      <c r="A141" s="8"/>
      <c r="B141" s="187"/>
      <c r="C141" s="147" t="s">
        <v>789</v>
      </c>
      <c r="D141" s="147" t="s">
        <v>790</v>
      </c>
      <c r="E141" s="147" t="s">
        <v>791</v>
      </c>
      <c r="F141" s="147" t="s">
        <v>792</v>
      </c>
      <c r="G141" s="147" t="s">
        <v>793</v>
      </c>
      <c r="H141" s="174" t="s">
        <v>22</v>
      </c>
      <c r="I141" s="147" t="s">
        <v>1486</v>
      </c>
      <c r="J141" s="147" t="s">
        <v>1487</v>
      </c>
      <c r="K141" s="147" t="s">
        <v>1488</v>
      </c>
      <c r="L141" s="177" t="s">
        <v>1489</v>
      </c>
      <c r="M141" s="147" t="s">
        <v>1224</v>
      </c>
      <c r="N141" s="147" t="s">
        <v>1225</v>
      </c>
      <c r="O141" s="176"/>
      <c r="P141" s="8"/>
      <c r="Q141" s="8"/>
      <c r="R141" s="8"/>
      <c r="S141" s="8"/>
      <c r="T141" s="8"/>
      <c r="U141" s="8"/>
      <c r="V141" s="8"/>
      <c r="W141" s="8"/>
      <c r="X141" s="8"/>
      <c r="Y141" s="8"/>
      <c r="Z141" s="8"/>
    </row>
    <row r="142" ht="199.5" customHeight="1">
      <c r="A142" s="8"/>
      <c r="B142" s="187"/>
      <c r="C142" s="147" t="s">
        <v>795</v>
      </c>
      <c r="D142" s="147" t="s">
        <v>796</v>
      </c>
      <c r="E142" s="147" t="s">
        <v>797</v>
      </c>
      <c r="F142" s="147" t="s">
        <v>798</v>
      </c>
      <c r="G142" s="147" t="s">
        <v>799</v>
      </c>
      <c r="H142" s="174" t="s">
        <v>22</v>
      </c>
      <c r="I142" s="147" t="s">
        <v>1490</v>
      </c>
      <c r="J142" s="147" t="s">
        <v>1491</v>
      </c>
      <c r="K142" s="147" t="s">
        <v>1492</v>
      </c>
      <c r="L142" s="147" t="s">
        <v>1493</v>
      </c>
      <c r="M142" s="147" t="s">
        <v>1224</v>
      </c>
      <c r="N142" s="147" t="s">
        <v>1225</v>
      </c>
      <c r="O142" s="176"/>
      <c r="P142" s="8"/>
      <c r="Q142" s="8"/>
      <c r="R142" s="8"/>
      <c r="S142" s="8"/>
      <c r="T142" s="8"/>
      <c r="U142" s="8"/>
      <c r="V142" s="8"/>
      <c r="W142" s="8"/>
      <c r="X142" s="8"/>
      <c r="Y142" s="8"/>
      <c r="Z142" s="8"/>
    </row>
    <row r="143" ht="199.5" customHeight="1">
      <c r="A143" s="8"/>
      <c r="B143" s="187"/>
      <c r="C143" s="147" t="s">
        <v>801</v>
      </c>
      <c r="D143" s="147" t="s">
        <v>802</v>
      </c>
      <c r="E143" s="147" t="s">
        <v>803</v>
      </c>
      <c r="F143" s="147" t="s">
        <v>804</v>
      </c>
      <c r="G143" s="147" t="s">
        <v>805</v>
      </c>
      <c r="H143" s="174" t="s">
        <v>22</v>
      </c>
      <c r="I143" s="147" t="s">
        <v>1494</v>
      </c>
      <c r="J143" s="147" t="s">
        <v>1495</v>
      </c>
      <c r="K143" s="147" t="s">
        <v>1496</v>
      </c>
      <c r="L143" s="147" t="s">
        <v>1497</v>
      </c>
      <c r="M143" s="147" t="s">
        <v>1224</v>
      </c>
      <c r="N143" s="147" t="s">
        <v>1225</v>
      </c>
      <c r="O143" s="176"/>
      <c r="P143" s="8"/>
      <c r="Q143" s="8"/>
      <c r="R143" s="8"/>
      <c r="S143" s="8"/>
      <c r="T143" s="8"/>
      <c r="U143" s="8"/>
      <c r="V143" s="8"/>
      <c r="W143" s="8"/>
      <c r="X143" s="8"/>
      <c r="Y143" s="8"/>
      <c r="Z143" s="8"/>
    </row>
    <row r="144" ht="199.5" customHeight="1">
      <c r="A144" s="8"/>
      <c r="B144" s="187"/>
      <c r="C144" s="147"/>
      <c r="D144" s="147"/>
      <c r="E144" s="147"/>
      <c r="F144" s="147" t="s">
        <v>808</v>
      </c>
      <c r="G144" s="147" t="s">
        <v>809</v>
      </c>
      <c r="H144" s="174" t="s">
        <v>22</v>
      </c>
      <c r="I144" s="147" t="s">
        <v>1498</v>
      </c>
      <c r="J144" s="147" t="s">
        <v>1499</v>
      </c>
      <c r="K144" s="147" t="s">
        <v>1500</v>
      </c>
      <c r="L144" s="147" t="s">
        <v>1501</v>
      </c>
      <c r="M144" s="147" t="s">
        <v>1219</v>
      </c>
      <c r="N144" s="147" t="s">
        <v>1220</v>
      </c>
      <c r="O144" s="176"/>
      <c r="P144" s="8"/>
      <c r="Q144" s="8"/>
      <c r="R144" s="8"/>
      <c r="S144" s="8"/>
      <c r="T144" s="8"/>
      <c r="U144" s="8"/>
      <c r="V144" s="8"/>
      <c r="W144" s="8"/>
      <c r="X144" s="8"/>
      <c r="Y144" s="8"/>
      <c r="Z144" s="8"/>
    </row>
    <row r="145" ht="199.5" customHeight="1">
      <c r="A145" s="8"/>
      <c r="B145" s="187"/>
      <c r="C145" s="147"/>
      <c r="D145" s="147"/>
      <c r="E145" s="147"/>
      <c r="F145" s="147" t="s">
        <v>810</v>
      </c>
      <c r="G145" s="147" t="s">
        <v>811</v>
      </c>
      <c r="H145" s="174" t="s">
        <v>22</v>
      </c>
      <c r="I145" s="147" t="s">
        <v>1502</v>
      </c>
      <c r="J145" s="147" t="s">
        <v>1503</v>
      </c>
      <c r="K145" s="147" t="s">
        <v>1504</v>
      </c>
      <c r="L145" s="177" t="s">
        <v>1505</v>
      </c>
      <c r="M145" s="147" t="s">
        <v>1506</v>
      </c>
      <c r="N145" s="147" t="s">
        <v>1507</v>
      </c>
      <c r="O145" s="176"/>
      <c r="P145" s="8"/>
      <c r="Q145" s="8"/>
      <c r="R145" s="8"/>
      <c r="S145" s="8"/>
      <c r="T145" s="8"/>
      <c r="U145" s="8"/>
      <c r="V145" s="8"/>
      <c r="W145" s="8"/>
      <c r="X145" s="8"/>
      <c r="Y145" s="8"/>
      <c r="Z145" s="8"/>
    </row>
    <row r="146" ht="199.5" customHeight="1">
      <c r="A146" s="8"/>
      <c r="B146" s="187"/>
      <c r="C146" s="147" t="s">
        <v>812</v>
      </c>
      <c r="D146" s="147" t="s">
        <v>813</v>
      </c>
      <c r="E146" s="147" t="s">
        <v>814</v>
      </c>
      <c r="F146" s="147" t="s">
        <v>815</v>
      </c>
      <c r="G146" s="147" t="s">
        <v>816</v>
      </c>
      <c r="H146" s="174" t="s">
        <v>22</v>
      </c>
      <c r="I146" s="147" t="s">
        <v>1508</v>
      </c>
      <c r="J146" s="147" t="s">
        <v>1509</v>
      </c>
      <c r="K146" s="147" t="s">
        <v>1510</v>
      </c>
      <c r="L146" s="177" t="s">
        <v>1511</v>
      </c>
      <c r="M146" s="147" t="s">
        <v>1219</v>
      </c>
      <c r="N146" s="147" t="s">
        <v>1220</v>
      </c>
      <c r="O146" s="176"/>
      <c r="P146" s="8"/>
      <c r="Q146" s="8"/>
      <c r="R146" s="8"/>
      <c r="S146" s="8"/>
      <c r="T146" s="8"/>
      <c r="U146" s="8"/>
      <c r="V146" s="8"/>
      <c r="W146" s="8"/>
      <c r="X146" s="8"/>
      <c r="Y146" s="8"/>
      <c r="Z146" s="8"/>
    </row>
    <row r="147" ht="199.5" customHeight="1">
      <c r="A147" s="8"/>
      <c r="B147" s="187"/>
      <c r="C147" s="147"/>
      <c r="D147" s="147"/>
      <c r="E147" s="147"/>
      <c r="F147" s="147" t="s">
        <v>1512</v>
      </c>
      <c r="G147" s="147" t="s">
        <v>821</v>
      </c>
      <c r="H147" s="174" t="s">
        <v>22</v>
      </c>
      <c r="I147" s="147" t="s">
        <v>1513</v>
      </c>
      <c r="J147" s="147" t="s">
        <v>1514</v>
      </c>
      <c r="K147" s="147" t="s">
        <v>1515</v>
      </c>
      <c r="L147" s="177" t="s">
        <v>1516</v>
      </c>
      <c r="M147" s="147" t="s">
        <v>1219</v>
      </c>
      <c r="N147" s="147" t="s">
        <v>1220</v>
      </c>
      <c r="O147" s="176"/>
      <c r="P147" s="8"/>
      <c r="Q147" s="8"/>
      <c r="R147" s="8"/>
      <c r="S147" s="8"/>
      <c r="T147" s="8"/>
      <c r="U147" s="8"/>
      <c r="V147" s="8"/>
      <c r="W147" s="8"/>
      <c r="X147" s="8"/>
      <c r="Y147" s="8"/>
      <c r="Z147" s="8"/>
    </row>
    <row r="148" ht="199.5" customHeight="1">
      <c r="A148" s="8"/>
      <c r="B148" s="187"/>
      <c r="C148" s="147" t="s">
        <v>822</v>
      </c>
      <c r="D148" s="147" t="s">
        <v>823</v>
      </c>
      <c r="E148" s="147" t="s">
        <v>824</v>
      </c>
      <c r="F148" s="147" t="s">
        <v>825</v>
      </c>
      <c r="G148" s="147" t="s">
        <v>826</v>
      </c>
      <c r="H148" s="174" t="s">
        <v>22</v>
      </c>
      <c r="I148" s="147" t="s">
        <v>1517</v>
      </c>
      <c r="J148" s="147" t="s">
        <v>1428</v>
      </c>
      <c r="K148" s="147" t="s">
        <v>1518</v>
      </c>
      <c r="L148" s="147" t="s">
        <v>1519</v>
      </c>
      <c r="M148" s="147" t="s">
        <v>1224</v>
      </c>
      <c r="N148" s="147" t="s">
        <v>1225</v>
      </c>
      <c r="O148" s="176"/>
      <c r="P148" s="8"/>
      <c r="Q148" s="8"/>
      <c r="R148" s="8"/>
      <c r="S148" s="8"/>
      <c r="T148" s="8"/>
      <c r="U148" s="8"/>
      <c r="V148" s="8"/>
      <c r="W148" s="8"/>
      <c r="X148" s="8"/>
      <c r="Y148" s="8"/>
      <c r="Z148" s="8"/>
    </row>
    <row r="149" ht="199.5" customHeight="1">
      <c r="A149" s="8"/>
      <c r="B149" s="187"/>
      <c r="C149" s="147" t="s">
        <v>829</v>
      </c>
      <c r="D149" s="147" t="s">
        <v>830</v>
      </c>
      <c r="E149" s="147" t="s">
        <v>831</v>
      </c>
      <c r="F149" s="147" t="s">
        <v>832</v>
      </c>
      <c r="G149" s="147" t="s">
        <v>833</v>
      </c>
      <c r="H149" s="174" t="s">
        <v>22</v>
      </c>
      <c r="I149" s="147" t="s">
        <v>1520</v>
      </c>
      <c r="J149" s="147" t="s">
        <v>1428</v>
      </c>
      <c r="K149" s="147" t="s">
        <v>1521</v>
      </c>
      <c r="L149" s="147" t="s">
        <v>1522</v>
      </c>
      <c r="M149" s="147" t="s">
        <v>1219</v>
      </c>
      <c r="N149" s="147" t="s">
        <v>1220</v>
      </c>
      <c r="O149" s="176"/>
      <c r="P149" s="8"/>
      <c r="Q149" s="8"/>
      <c r="R149" s="8"/>
      <c r="S149" s="8"/>
      <c r="T149" s="8"/>
      <c r="U149" s="8"/>
      <c r="V149" s="8"/>
      <c r="W149" s="8"/>
      <c r="X149" s="8"/>
      <c r="Y149" s="8"/>
      <c r="Z149" s="8"/>
    </row>
    <row r="150" ht="199.5" customHeight="1">
      <c r="A150" s="8"/>
      <c r="B150" s="187"/>
      <c r="C150" s="147" t="s">
        <v>835</v>
      </c>
      <c r="D150" s="147" t="s">
        <v>836</v>
      </c>
      <c r="E150" s="147" t="s">
        <v>837</v>
      </c>
      <c r="F150" s="147" t="s">
        <v>838</v>
      </c>
      <c r="G150" s="147" t="s">
        <v>839</v>
      </c>
      <c r="H150" s="174" t="s">
        <v>22</v>
      </c>
      <c r="I150" s="147" t="s">
        <v>1523</v>
      </c>
      <c r="J150" s="147" t="s">
        <v>1524</v>
      </c>
      <c r="K150" s="147" t="s">
        <v>1525</v>
      </c>
      <c r="L150" s="147" t="s">
        <v>1526</v>
      </c>
      <c r="M150" s="147" t="s">
        <v>1527</v>
      </c>
      <c r="N150" s="147" t="s">
        <v>1225</v>
      </c>
      <c r="O150" s="176"/>
      <c r="P150" s="8"/>
      <c r="Q150" s="8"/>
      <c r="R150" s="8"/>
      <c r="S150" s="8"/>
      <c r="T150" s="8"/>
      <c r="U150" s="8"/>
      <c r="V150" s="8"/>
      <c r="W150" s="8"/>
      <c r="X150" s="8"/>
      <c r="Y150" s="8"/>
      <c r="Z150" s="8"/>
    </row>
    <row r="151" ht="199.5" customHeight="1">
      <c r="A151" s="8"/>
      <c r="B151" s="187"/>
      <c r="C151" s="147"/>
      <c r="D151" s="147"/>
      <c r="E151" s="147"/>
      <c r="F151" s="147" t="s">
        <v>1528</v>
      </c>
      <c r="G151" s="147" t="s">
        <v>1529</v>
      </c>
      <c r="H151" s="174" t="s">
        <v>22</v>
      </c>
      <c r="I151" s="147" t="s">
        <v>1530</v>
      </c>
      <c r="J151" s="147" t="s">
        <v>1531</v>
      </c>
      <c r="K151" s="147" t="s">
        <v>1532</v>
      </c>
      <c r="L151" s="147" t="s">
        <v>1533</v>
      </c>
      <c r="M151" s="147" t="s">
        <v>1219</v>
      </c>
      <c r="N151" s="147" t="s">
        <v>1220</v>
      </c>
      <c r="O151" s="176"/>
      <c r="P151" s="8"/>
      <c r="Q151" s="8"/>
      <c r="R151" s="8"/>
      <c r="S151" s="8"/>
      <c r="T151" s="8"/>
      <c r="U151" s="8"/>
      <c r="V151" s="8"/>
      <c r="W151" s="8"/>
      <c r="X151" s="8"/>
      <c r="Y151" s="8"/>
      <c r="Z151" s="8"/>
    </row>
    <row r="152" ht="199.5" customHeight="1">
      <c r="A152" s="8"/>
      <c r="B152" s="187"/>
      <c r="C152" s="147" t="s">
        <v>844</v>
      </c>
      <c r="D152" s="147" t="s">
        <v>845</v>
      </c>
      <c r="E152" s="147" t="s">
        <v>846</v>
      </c>
      <c r="F152" s="147" t="s">
        <v>847</v>
      </c>
      <c r="G152" s="147" t="s">
        <v>848</v>
      </c>
      <c r="H152" s="174" t="s">
        <v>307</v>
      </c>
      <c r="I152" s="147" t="s">
        <v>1534</v>
      </c>
      <c r="J152" s="147" t="s">
        <v>1535</v>
      </c>
      <c r="K152" s="147" t="s">
        <v>1536</v>
      </c>
      <c r="L152" s="147"/>
      <c r="M152" s="147" t="s">
        <v>1219</v>
      </c>
      <c r="N152" s="147" t="s">
        <v>1220</v>
      </c>
      <c r="O152" s="176"/>
      <c r="P152" s="8"/>
      <c r="Q152" s="8"/>
      <c r="R152" s="8"/>
      <c r="S152" s="8"/>
      <c r="T152" s="8"/>
      <c r="U152" s="8"/>
      <c r="V152" s="8"/>
      <c r="W152" s="8"/>
      <c r="X152" s="8"/>
      <c r="Y152" s="8"/>
      <c r="Z152" s="8"/>
    </row>
    <row r="153" ht="199.5" customHeight="1">
      <c r="A153" s="8"/>
      <c r="B153" s="187"/>
      <c r="C153" s="147" t="s">
        <v>851</v>
      </c>
      <c r="D153" s="147" t="s">
        <v>852</v>
      </c>
      <c r="E153" s="147" t="s">
        <v>853</v>
      </c>
      <c r="F153" s="147" t="s">
        <v>854</v>
      </c>
      <c r="G153" s="147" t="s">
        <v>855</v>
      </c>
      <c r="H153" s="174" t="s">
        <v>22</v>
      </c>
      <c r="I153" s="147" t="s">
        <v>1537</v>
      </c>
      <c r="J153" s="147" t="s">
        <v>1538</v>
      </c>
      <c r="K153" s="147" t="s">
        <v>1539</v>
      </c>
      <c r="L153" s="177" t="s">
        <v>1540</v>
      </c>
      <c r="M153" s="147" t="s">
        <v>1219</v>
      </c>
      <c r="N153" s="147" t="s">
        <v>1220</v>
      </c>
      <c r="O153" s="176"/>
      <c r="P153" s="8"/>
      <c r="Q153" s="8"/>
      <c r="R153" s="8"/>
      <c r="S153" s="8"/>
      <c r="T153" s="8"/>
      <c r="U153" s="8"/>
      <c r="V153" s="8"/>
      <c r="W153" s="8"/>
      <c r="X153" s="8"/>
      <c r="Y153" s="8"/>
      <c r="Z153" s="8"/>
    </row>
    <row r="154" ht="199.5" customHeight="1">
      <c r="A154" s="8"/>
      <c r="B154" s="187"/>
      <c r="C154" s="147" t="s">
        <v>857</v>
      </c>
      <c r="D154" s="147" t="s">
        <v>858</v>
      </c>
      <c r="E154" s="147" t="s">
        <v>859</v>
      </c>
      <c r="F154" s="147" t="s">
        <v>860</v>
      </c>
      <c r="G154" s="147" t="s">
        <v>861</v>
      </c>
      <c r="H154" s="174" t="s">
        <v>307</v>
      </c>
      <c r="I154" s="147" t="s">
        <v>1541</v>
      </c>
      <c r="J154" s="147" t="s">
        <v>1428</v>
      </c>
      <c r="K154" s="147" t="s">
        <v>1542</v>
      </c>
      <c r="L154" s="147"/>
      <c r="M154" s="147" t="s">
        <v>1068</v>
      </c>
      <c r="N154" s="147" t="s">
        <v>1069</v>
      </c>
      <c r="O154" s="176"/>
      <c r="P154" s="8"/>
      <c r="Q154" s="8"/>
      <c r="R154" s="8"/>
      <c r="S154" s="8"/>
      <c r="T154" s="8"/>
      <c r="U154" s="8"/>
      <c r="V154" s="8"/>
      <c r="W154" s="8"/>
      <c r="X154" s="8"/>
      <c r="Y154" s="8"/>
      <c r="Z154" s="8"/>
    </row>
    <row r="155" ht="199.5" customHeight="1">
      <c r="A155" s="8"/>
      <c r="B155" s="187"/>
      <c r="C155" s="147" t="s">
        <v>862</v>
      </c>
      <c r="D155" s="147" t="s">
        <v>863</v>
      </c>
      <c r="E155" s="147" t="s">
        <v>864</v>
      </c>
      <c r="F155" s="147" t="s">
        <v>865</v>
      </c>
      <c r="G155" s="147" t="s">
        <v>866</v>
      </c>
      <c r="H155" s="174" t="s">
        <v>22</v>
      </c>
      <c r="I155" s="147" t="s">
        <v>1543</v>
      </c>
      <c r="J155" s="147" t="s">
        <v>1491</v>
      </c>
      <c r="K155" s="147" t="s">
        <v>1544</v>
      </c>
      <c r="L155" s="177" t="s">
        <v>1545</v>
      </c>
      <c r="M155" s="147" t="s">
        <v>1219</v>
      </c>
      <c r="N155" s="147" t="s">
        <v>1220</v>
      </c>
      <c r="O155" s="176"/>
      <c r="P155" s="8"/>
      <c r="Q155" s="8"/>
      <c r="R155" s="8"/>
      <c r="S155" s="8"/>
      <c r="T155" s="8"/>
      <c r="U155" s="8"/>
      <c r="V155" s="8"/>
      <c r="W155" s="8"/>
      <c r="X155" s="8"/>
      <c r="Y155" s="8"/>
      <c r="Z155" s="8"/>
    </row>
    <row r="156" ht="199.5" customHeight="1">
      <c r="A156" s="8"/>
      <c r="B156" s="187"/>
      <c r="C156" s="147" t="s">
        <v>869</v>
      </c>
      <c r="D156" s="147" t="s">
        <v>870</v>
      </c>
      <c r="E156" s="147" t="s">
        <v>871</v>
      </c>
      <c r="F156" s="147" t="s">
        <v>872</v>
      </c>
      <c r="G156" s="147" t="s">
        <v>873</v>
      </c>
      <c r="H156" s="174" t="s">
        <v>22</v>
      </c>
      <c r="I156" s="147" t="s">
        <v>1546</v>
      </c>
      <c r="J156" s="147" t="s">
        <v>1547</v>
      </c>
      <c r="K156" s="147" t="s">
        <v>1548</v>
      </c>
      <c r="L156" s="147" t="s">
        <v>1549</v>
      </c>
      <c r="M156" s="147" t="s">
        <v>1527</v>
      </c>
      <c r="N156" s="147" t="s">
        <v>1225</v>
      </c>
      <c r="O156" s="176"/>
      <c r="P156" s="8"/>
      <c r="Q156" s="8"/>
      <c r="R156" s="8"/>
      <c r="S156" s="8"/>
      <c r="T156" s="8"/>
      <c r="U156" s="8"/>
      <c r="V156" s="8"/>
      <c r="W156" s="8"/>
      <c r="X156" s="8"/>
      <c r="Y156" s="8"/>
      <c r="Z156" s="8"/>
    </row>
    <row r="157" ht="199.5" customHeight="1">
      <c r="A157" s="8"/>
      <c r="B157" s="187"/>
      <c r="C157" s="147" t="s">
        <v>869</v>
      </c>
      <c r="D157" s="147" t="s">
        <v>870</v>
      </c>
      <c r="E157" s="147" t="s">
        <v>871</v>
      </c>
      <c r="F157" s="147" t="s">
        <v>1550</v>
      </c>
      <c r="G157" s="147" t="s">
        <v>877</v>
      </c>
      <c r="H157" s="174" t="s">
        <v>22</v>
      </c>
      <c r="I157" s="147" t="s">
        <v>1551</v>
      </c>
      <c r="J157" s="147" t="s">
        <v>1428</v>
      </c>
      <c r="K157" s="147" t="s">
        <v>1552</v>
      </c>
      <c r="L157" s="147" t="s">
        <v>1553</v>
      </c>
      <c r="M157" s="147" t="s">
        <v>1527</v>
      </c>
      <c r="N157" s="147" t="s">
        <v>1225</v>
      </c>
      <c r="O157" s="176"/>
      <c r="P157" s="8"/>
      <c r="Q157" s="8"/>
      <c r="R157" s="8"/>
      <c r="S157" s="8"/>
      <c r="T157" s="8"/>
      <c r="U157" s="8"/>
      <c r="V157" s="8"/>
      <c r="W157" s="8"/>
      <c r="X157" s="8"/>
      <c r="Y157" s="8"/>
      <c r="Z157" s="8"/>
    </row>
    <row r="158" ht="199.5" customHeight="1">
      <c r="A158" s="8"/>
      <c r="B158" s="187"/>
      <c r="C158" s="147" t="s">
        <v>869</v>
      </c>
      <c r="D158" s="147" t="s">
        <v>870</v>
      </c>
      <c r="E158" s="147" t="s">
        <v>871</v>
      </c>
      <c r="F158" s="147" t="s">
        <v>1554</v>
      </c>
      <c r="G158" s="147" t="s">
        <v>879</v>
      </c>
      <c r="H158" s="174" t="s">
        <v>22</v>
      </c>
      <c r="I158" s="147" t="s">
        <v>1555</v>
      </c>
      <c r="J158" s="147" t="s">
        <v>1556</v>
      </c>
      <c r="K158" s="147" t="s">
        <v>1557</v>
      </c>
      <c r="L158" s="147" t="s">
        <v>1558</v>
      </c>
      <c r="M158" s="147" t="s">
        <v>1527</v>
      </c>
      <c r="N158" s="147" t="s">
        <v>1225</v>
      </c>
      <c r="O158" s="176"/>
      <c r="P158" s="8"/>
      <c r="Q158" s="8"/>
      <c r="R158" s="8"/>
      <c r="S158" s="8"/>
      <c r="T158" s="8"/>
      <c r="U158" s="8"/>
      <c r="V158" s="8"/>
      <c r="W158" s="8"/>
      <c r="X158" s="8"/>
      <c r="Y158" s="8"/>
      <c r="Z158" s="8"/>
    </row>
    <row r="159" ht="199.5" customHeight="1">
      <c r="A159" s="8"/>
      <c r="B159" s="187"/>
      <c r="C159" s="147" t="s">
        <v>880</v>
      </c>
      <c r="D159" s="147" t="s">
        <v>881</v>
      </c>
      <c r="E159" s="147" t="s">
        <v>882</v>
      </c>
      <c r="F159" s="147" t="s">
        <v>883</v>
      </c>
      <c r="G159" s="147" t="s">
        <v>884</v>
      </c>
      <c r="H159" s="174" t="s">
        <v>22</v>
      </c>
      <c r="I159" s="147" t="s">
        <v>1559</v>
      </c>
      <c r="J159" s="147" t="s">
        <v>1560</v>
      </c>
      <c r="K159" s="147" t="s">
        <v>1561</v>
      </c>
      <c r="L159" s="147" t="s">
        <v>1562</v>
      </c>
      <c r="M159" s="147" t="s">
        <v>1068</v>
      </c>
      <c r="N159" s="147" t="s">
        <v>1069</v>
      </c>
      <c r="O159" s="176"/>
      <c r="P159" s="8"/>
      <c r="Q159" s="8"/>
      <c r="R159" s="8"/>
      <c r="S159" s="8"/>
      <c r="T159" s="8"/>
      <c r="U159" s="8"/>
      <c r="V159" s="8"/>
      <c r="W159" s="8"/>
      <c r="X159" s="8"/>
      <c r="Y159" s="8"/>
      <c r="Z159" s="8"/>
    </row>
    <row r="160" ht="199.5" customHeight="1">
      <c r="A160" s="8"/>
      <c r="B160" s="187"/>
      <c r="C160" s="147" t="s">
        <v>886</v>
      </c>
      <c r="D160" s="147" t="s">
        <v>887</v>
      </c>
      <c r="E160" s="147" t="s">
        <v>888</v>
      </c>
      <c r="F160" s="147" t="s">
        <v>889</v>
      </c>
      <c r="G160" s="147" t="s">
        <v>890</v>
      </c>
      <c r="H160" s="174" t="s">
        <v>307</v>
      </c>
      <c r="I160" s="147" t="s">
        <v>1563</v>
      </c>
      <c r="J160" s="147" t="s">
        <v>1564</v>
      </c>
      <c r="K160" s="147" t="s">
        <v>1565</v>
      </c>
      <c r="L160" s="147"/>
      <c r="M160" s="147" t="s">
        <v>1219</v>
      </c>
      <c r="N160" s="147" t="s">
        <v>1220</v>
      </c>
      <c r="O160" s="176"/>
      <c r="P160" s="8"/>
      <c r="Q160" s="8"/>
      <c r="R160" s="8"/>
      <c r="S160" s="8"/>
      <c r="T160" s="8"/>
      <c r="U160" s="8"/>
      <c r="V160" s="8"/>
      <c r="W160" s="8"/>
      <c r="X160" s="8"/>
      <c r="Y160" s="8"/>
      <c r="Z160" s="8"/>
    </row>
    <row r="161" ht="199.5" customHeight="1">
      <c r="A161" s="8"/>
      <c r="B161" s="187"/>
      <c r="C161" s="147"/>
      <c r="D161" s="147"/>
      <c r="E161" s="147"/>
      <c r="F161" s="147" t="s">
        <v>1566</v>
      </c>
      <c r="G161" s="147" t="s">
        <v>893</v>
      </c>
      <c r="H161" s="174" t="s">
        <v>976</v>
      </c>
      <c r="I161" s="147"/>
      <c r="J161" s="147" t="s">
        <v>976</v>
      </c>
      <c r="K161" s="147" t="s">
        <v>976</v>
      </c>
      <c r="L161" s="147" t="s">
        <v>976</v>
      </c>
      <c r="M161" s="147"/>
      <c r="N161" s="147"/>
      <c r="O161" s="176"/>
      <c r="P161" s="8"/>
      <c r="Q161" s="8"/>
      <c r="R161" s="8"/>
      <c r="S161" s="8"/>
      <c r="T161" s="8"/>
      <c r="U161" s="8"/>
      <c r="V161" s="8"/>
      <c r="W161" s="8"/>
      <c r="X161" s="8"/>
      <c r="Y161" s="8"/>
      <c r="Z161" s="8"/>
    </row>
    <row r="162" ht="199.5" customHeight="1">
      <c r="A162" s="8"/>
      <c r="B162" s="187"/>
      <c r="C162" s="147" t="s">
        <v>894</v>
      </c>
      <c r="D162" s="147" t="s">
        <v>895</v>
      </c>
      <c r="E162" s="147" t="s">
        <v>896</v>
      </c>
      <c r="F162" s="147" t="s">
        <v>897</v>
      </c>
      <c r="G162" s="147" t="s">
        <v>898</v>
      </c>
      <c r="H162" s="174" t="s">
        <v>22</v>
      </c>
      <c r="I162" s="147" t="s">
        <v>1567</v>
      </c>
      <c r="J162" s="147" t="s">
        <v>1568</v>
      </c>
      <c r="K162" s="147" t="s">
        <v>1569</v>
      </c>
      <c r="L162" s="147" t="s">
        <v>1570</v>
      </c>
      <c r="M162" s="147" t="s">
        <v>1571</v>
      </c>
      <c r="N162" s="147" t="s">
        <v>1572</v>
      </c>
      <c r="O162" s="176"/>
      <c r="P162" s="8"/>
      <c r="Q162" s="8"/>
      <c r="R162" s="8"/>
      <c r="S162" s="8"/>
      <c r="T162" s="8"/>
      <c r="U162" s="8"/>
      <c r="V162" s="8"/>
      <c r="W162" s="8"/>
      <c r="X162" s="8"/>
      <c r="Y162" s="8"/>
      <c r="Z162" s="8"/>
    </row>
    <row r="163" ht="199.5" customHeight="1">
      <c r="A163" s="8"/>
      <c r="B163" s="187"/>
      <c r="C163" s="147" t="s">
        <v>901</v>
      </c>
      <c r="D163" s="147" t="s">
        <v>902</v>
      </c>
      <c r="E163" s="147" t="s">
        <v>903</v>
      </c>
      <c r="F163" s="147" t="s">
        <v>904</v>
      </c>
      <c r="G163" s="147" t="s">
        <v>905</v>
      </c>
      <c r="H163" s="174" t="s">
        <v>22</v>
      </c>
      <c r="I163" s="147" t="s">
        <v>1573</v>
      </c>
      <c r="J163" s="147" t="s">
        <v>1574</v>
      </c>
      <c r="K163" s="147" t="s">
        <v>1575</v>
      </c>
      <c r="L163" s="147" t="s">
        <v>1576</v>
      </c>
      <c r="M163" s="147" t="s">
        <v>1068</v>
      </c>
      <c r="N163" s="147" t="s">
        <v>1577</v>
      </c>
      <c r="O163" s="176"/>
      <c r="P163" s="8"/>
      <c r="Q163" s="8"/>
      <c r="R163" s="8"/>
      <c r="S163" s="8"/>
      <c r="T163" s="8"/>
      <c r="U163" s="8"/>
      <c r="V163" s="8"/>
      <c r="W163" s="8"/>
      <c r="X163" s="8"/>
      <c r="Y163" s="8"/>
      <c r="Z163" s="8"/>
    </row>
    <row r="164" ht="199.5" customHeight="1">
      <c r="A164" s="8"/>
      <c r="B164" s="187"/>
      <c r="C164" s="147"/>
      <c r="D164" s="147"/>
      <c r="E164" s="147"/>
      <c r="F164" s="147" t="s">
        <v>1578</v>
      </c>
      <c r="G164" s="147" t="s">
        <v>1579</v>
      </c>
      <c r="H164" s="174" t="s">
        <v>307</v>
      </c>
      <c r="I164" s="147"/>
      <c r="J164" s="147" t="s">
        <v>1580</v>
      </c>
      <c r="K164" s="147" t="s">
        <v>1581</v>
      </c>
      <c r="L164" s="147"/>
      <c r="M164" s="147" t="s">
        <v>1068</v>
      </c>
      <c r="N164" s="147" t="s">
        <v>1577</v>
      </c>
      <c r="O164" s="176"/>
      <c r="P164" s="8"/>
      <c r="Q164" s="8"/>
      <c r="R164" s="8"/>
      <c r="S164" s="8"/>
      <c r="T164" s="8"/>
      <c r="U164" s="8"/>
      <c r="V164" s="8"/>
      <c r="W164" s="8"/>
      <c r="X164" s="8"/>
      <c r="Y164" s="8"/>
      <c r="Z164" s="8"/>
    </row>
    <row r="165" ht="199.5" customHeight="1">
      <c r="A165" s="8"/>
      <c r="B165" s="187"/>
      <c r="C165" s="147"/>
      <c r="D165" s="147"/>
      <c r="E165" s="147"/>
      <c r="F165" s="147" t="s">
        <v>910</v>
      </c>
      <c r="G165" s="147" t="s">
        <v>911</v>
      </c>
      <c r="H165" s="174" t="s">
        <v>307</v>
      </c>
      <c r="I165" s="147" t="s">
        <v>1582</v>
      </c>
      <c r="J165" s="147"/>
      <c r="K165" s="147"/>
      <c r="L165" s="147"/>
      <c r="M165" s="147" t="s">
        <v>1571</v>
      </c>
      <c r="N165" s="147" t="s">
        <v>1583</v>
      </c>
      <c r="O165" s="176"/>
      <c r="P165" s="8"/>
      <c r="Q165" s="8"/>
      <c r="R165" s="8"/>
      <c r="S165" s="8"/>
      <c r="T165" s="8"/>
      <c r="U165" s="8"/>
      <c r="V165" s="8"/>
      <c r="W165" s="8"/>
      <c r="X165" s="8"/>
      <c r="Y165" s="8"/>
      <c r="Z165" s="8"/>
    </row>
    <row r="166" ht="199.5" customHeight="1">
      <c r="A166" s="8"/>
      <c r="B166" s="187"/>
      <c r="C166" s="147" t="s">
        <v>913</v>
      </c>
      <c r="D166" s="147" t="s">
        <v>914</v>
      </c>
      <c r="E166" s="147" t="s">
        <v>915</v>
      </c>
      <c r="F166" s="147" t="s">
        <v>916</v>
      </c>
      <c r="G166" s="147" t="s">
        <v>917</v>
      </c>
      <c r="H166" s="174" t="s">
        <v>22</v>
      </c>
      <c r="I166" s="147" t="s">
        <v>1584</v>
      </c>
      <c r="J166" s="147" t="s">
        <v>1585</v>
      </c>
      <c r="K166" s="147" t="s">
        <v>1586</v>
      </c>
      <c r="L166" s="147" t="s">
        <v>1587</v>
      </c>
      <c r="M166" s="147" t="s">
        <v>1588</v>
      </c>
      <c r="N166" s="147" t="s">
        <v>1589</v>
      </c>
      <c r="O166" s="176"/>
      <c r="P166" s="8"/>
      <c r="Q166" s="8"/>
      <c r="R166" s="8"/>
      <c r="S166" s="8"/>
      <c r="T166" s="8"/>
      <c r="U166" s="8"/>
      <c r="V166" s="8"/>
      <c r="W166" s="8"/>
      <c r="X166" s="8"/>
      <c r="Y166" s="8"/>
      <c r="Z166" s="8"/>
    </row>
    <row r="167" ht="199.5" customHeight="1">
      <c r="A167" s="8"/>
      <c r="B167" s="187"/>
      <c r="C167" s="147"/>
      <c r="D167" s="147"/>
      <c r="E167" s="147"/>
      <c r="F167" s="147" t="s">
        <v>919</v>
      </c>
      <c r="G167" s="147" t="s">
        <v>920</v>
      </c>
      <c r="H167" s="174" t="s">
        <v>22</v>
      </c>
      <c r="I167" s="147" t="s">
        <v>1590</v>
      </c>
      <c r="J167" s="147" t="s">
        <v>1474</v>
      </c>
      <c r="K167" s="147" t="s">
        <v>1591</v>
      </c>
      <c r="L167" s="147" t="s">
        <v>1592</v>
      </c>
      <c r="M167" s="147" t="s">
        <v>1588</v>
      </c>
      <c r="N167" s="147" t="s">
        <v>1589</v>
      </c>
      <c r="O167" s="176"/>
      <c r="P167" s="8"/>
      <c r="Q167" s="8"/>
      <c r="R167" s="8"/>
      <c r="S167" s="8"/>
      <c r="T167" s="8"/>
      <c r="U167" s="8"/>
      <c r="V167" s="8"/>
      <c r="W167" s="8"/>
      <c r="X167" s="8"/>
      <c r="Y167" s="8"/>
      <c r="Z167" s="8"/>
    </row>
    <row r="168" ht="199.5" customHeight="1">
      <c r="A168" s="8"/>
      <c r="B168" s="187"/>
      <c r="C168" s="147" t="s">
        <v>921</v>
      </c>
      <c r="D168" s="147" t="s">
        <v>922</v>
      </c>
      <c r="E168" s="147" t="s">
        <v>923</v>
      </c>
      <c r="F168" s="147" t="s">
        <v>924</v>
      </c>
      <c r="G168" s="147" t="s">
        <v>925</v>
      </c>
      <c r="H168" s="179" t="s">
        <v>307</v>
      </c>
      <c r="I168" s="147" t="s">
        <v>1593</v>
      </c>
      <c r="J168" s="147" t="s">
        <v>1594</v>
      </c>
      <c r="K168" s="147" t="s">
        <v>1595</v>
      </c>
      <c r="L168" s="147"/>
      <c r="M168" s="147" t="s">
        <v>1068</v>
      </c>
      <c r="N168" s="147" t="s">
        <v>1069</v>
      </c>
      <c r="O168" s="176"/>
      <c r="P168" s="8"/>
      <c r="Q168" s="8"/>
      <c r="R168" s="8"/>
      <c r="S168" s="8"/>
      <c r="T168" s="8"/>
      <c r="U168" s="8"/>
      <c r="V168" s="8"/>
      <c r="W168" s="8"/>
      <c r="X168" s="8"/>
      <c r="Y168" s="8"/>
      <c r="Z168" s="8"/>
    </row>
    <row r="169" ht="199.5" customHeight="1">
      <c r="A169" s="8"/>
      <c r="B169" s="187"/>
      <c r="C169" s="147" t="s">
        <v>927</v>
      </c>
      <c r="D169" s="147" t="s">
        <v>928</v>
      </c>
      <c r="E169" s="147" t="s">
        <v>929</v>
      </c>
      <c r="F169" s="147" t="s">
        <v>930</v>
      </c>
      <c r="G169" s="147" t="s">
        <v>931</v>
      </c>
      <c r="H169" s="174" t="s">
        <v>22</v>
      </c>
      <c r="I169" s="147" t="s">
        <v>1596</v>
      </c>
      <c r="J169" s="147" t="s">
        <v>1597</v>
      </c>
      <c r="K169" s="147" t="s">
        <v>1598</v>
      </c>
      <c r="L169" s="177" t="s">
        <v>1599</v>
      </c>
      <c r="M169" s="147" t="s">
        <v>1068</v>
      </c>
      <c r="N169" s="147" t="s">
        <v>1600</v>
      </c>
      <c r="O169" s="176"/>
      <c r="P169" s="8"/>
      <c r="Q169" s="8"/>
      <c r="R169" s="8"/>
      <c r="S169" s="8"/>
      <c r="T169" s="8"/>
      <c r="U169" s="8"/>
      <c r="V169" s="8"/>
      <c r="W169" s="8"/>
      <c r="X169" s="8"/>
      <c r="Y169" s="8"/>
      <c r="Z169" s="8"/>
    </row>
    <row r="170" ht="199.5" customHeight="1">
      <c r="A170" s="8"/>
      <c r="B170" s="187"/>
      <c r="C170" s="147"/>
      <c r="D170" s="147"/>
      <c r="E170" s="147"/>
      <c r="F170" s="147" t="s">
        <v>1601</v>
      </c>
      <c r="G170" s="147" t="s">
        <v>934</v>
      </c>
      <c r="H170" s="174" t="s">
        <v>22</v>
      </c>
      <c r="I170" s="147" t="s">
        <v>1602</v>
      </c>
      <c r="J170" s="147" t="s">
        <v>1428</v>
      </c>
      <c r="K170" s="147" t="s">
        <v>1603</v>
      </c>
      <c r="L170" s="177" t="s">
        <v>1604</v>
      </c>
      <c r="M170" s="147" t="s">
        <v>1588</v>
      </c>
      <c r="N170" s="147" t="s">
        <v>1589</v>
      </c>
      <c r="O170" s="176"/>
      <c r="P170" s="8"/>
      <c r="Q170" s="8"/>
      <c r="R170" s="8"/>
      <c r="S170" s="8"/>
      <c r="T170" s="8"/>
      <c r="U170" s="8"/>
      <c r="V170" s="8"/>
      <c r="W170" s="8"/>
      <c r="X170" s="8"/>
      <c r="Y170" s="8"/>
      <c r="Z170" s="8"/>
    </row>
    <row r="171" ht="199.5" customHeight="1">
      <c r="A171" s="8"/>
      <c r="B171" s="187"/>
      <c r="C171" s="147" t="s">
        <v>935</v>
      </c>
      <c r="D171" s="147" t="s">
        <v>936</v>
      </c>
      <c r="E171" s="147" t="s">
        <v>937</v>
      </c>
      <c r="F171" s="147" t="s">
        <v>938</v>
      </c>
      <c r="G171" s="147" t="s">
        <v>939</v>
      </c>
      <c r="H171" s="174" t="s">
        <v>22</v>
      </c>
      <c r="I171" s="147" t="s">
        <v>1605</v>
      </c>
      <c r="J171" s="147" t="s">
        <v>1491</v>
      </c>
      <c r="K171" s="147" t="s">
        <v>1606</v>
      </c>
      <c r="L171" s="147" t="s">
        <v>1607</v>
      </c>
      <c r="M171" s="147" t="s">
        <v>1224</v>
      </c>
      <c r="N171" s="147" t="s">
        <v>1225</v>
      </c>
      <c r="O171" s="176"/>
      <c r="P171" s="8"/>
      <c r="Q171" s="8"/>
      <c r="R171" s="8"/>
      <c r="S171" s="8"/>
      <c r="T171" s="8"/>
      <c r="U171" s="8"/>
      <c r="V171" s="8"/>
      <c r="W171" s="8"/>
      <c r="X171" s="8"/>
      <c r="Y171" s="8"/>
      <c r="Z171" s="8"/>
    </row>
    <row r="172" ht="199.5" customHeight="1">
      <c r="A172" s="8"/>
      <c r="B172" s="187"/>
      <c r="C172" s="147"/>
      <c r="D172" s="147"/>
      <c r="E172" s="147"/>
      <c r="F172" s="147" t="s">
        <v>942</v>
      </c>
      <c r="G172" s="147" t="s">
        <v>943</v>
      </c>
      <c r="H172" s="174" t="s">
        <v>22</v>
      </c>
      <c r="I172" s="147" t="s">
        <v>1608</v>
      </c>
      <c r="J172" s="147" t="s">
        <v>1609</v>
      </c>
      <c r="K172" s="147" t="s">
        <v>1610</v>
      </c>
      <c r="L172" s="177" t="s">
        <v>1611</v>
      </c>
      <c r="M172" s="147" t="s">
        <v>1219</v>
      </c>
      <c r="N172" s="147" t="s">
        <v>1220</v>
      </c>
      <c r="O172" s="176"/>
      <c r="P172" s="8"/>
      <c r="Q172" s="8"/>
      <c r="R172" s="8"/>
      <c r="S172" s="8"/>
      <c r="T172" s="8"/>
      <c r="U172" s="8"/>
      <c r="V172" s="8"/>
      <c r="W172" s="8"/>
      <c r="X172" s="8"/>
      <c r="Y172" s="8"/>
      <c r="Z172" s="8"/>
    </row>
    <row r="173" ht="199.5" customHeight="1">
      <c r="A173" s="8"/>
      <c r="B173" s="187"/>
      <c r="C173" s="147"/>
      <c r="D173" s="147"/>
      <c r="E173" s="147"/>
      <c r="F173" s="147" t="s">
        <v>944</v>
      </c>
      <c r="G173" s="147" t="s">
        <v>945</v>
      </c>
      <c r="H173" s="174" t="s">
        <v>22</v>
      </c>
      <c r="I173" s="147" t="s">
        <v>1612</v>
      </c>
      <c r="J173" s="147" t="s">
        <v>1560</v>
      </c>
      <c r="K173" s="147" t="s">
        <v>1613</v>
      </c>
      <c r="L173" s="147" t="s">
        <v>1614</v>
      </c>
      <c r="M173" s="147" t="s">
        <v>1224</v>
      </c>
      <c r="N173" s="147" t="s">
        <v>1225</v>
      </c>
      <c r="O173" s="176"/>
      <c r="P173" s="8"/>
      <c r="Q173" s="8"/>
      <c r="R173" s="8"/>
      <c r="S173" s="8"/>
      <c r="T173" s="8"/>
      <c r="U173" s="8"/>
      <c r="V173" s="8"/>
      <c r="W173" s="8"/>
      <c r="X173" s="8"/>
      <c r="Y173" s="8"/>
      <c r="Z173" s="8"/>
    </row>
    <row r="174" ht="199.5" customHeight="1">
      <c r="A174" s="8"/>
      <c r="B174" s="187"/>
      <c r="C174" s="147"/>
      <c r="D174" s="147"/>
      <c r="E174" s="147"/>
      <c r="F174" s="147" t="s">
        <v>946</v>
      </c>
      <c r="G174" s="147" t="s">
        <v>947</v>
      </c>
      <c r="H174" s="179" t="s">
        <v>22</v>
      </c>
      <c r="I174" s="147" t="s">
        <v>1615</v>
      </c>
      <c r="J174" s="147" t="s">
        <v>1531</v>
      </c>
      <c r="K174" s="147" t="s">
        <v>1616</v>
      </c>
      <c r="L174" s="147" t="s">
        <v>1617</v>
      </c>
      <c r="M174" s="147" t="s">
        <v>1618</v>
      </c>
      <c r="N174" s="147" t="s">
        <v>1220</v>
      </c>
      <c r="O174" s="176"/>
      <c r="P174" s="8"/>
      <c r="Q174" s="8"/>
      <c r="R174" s="8"/>
      <c r="S174" s="8"/>
      <c r="T174" s="8"/>
      <c r="U174" s="8"/>
      <c r="V174" s="8"/>
      <c r="W174" s="8"/>
      <c r="X174" s="8"/>
      <c r="Y174" s="8"/>
      <c r="Z174" s="8"/>
    </row>
    <row r="175" ht="199.5" customHeight="1">
      <c r="A175" s="8"/>
      <c r="B175" s="187"/>
      <c r="C175" s="147" t="s">
        <v>948</v>
      </c>
      <c r="D175" s="147" t="s">
        <v>949</v>
      </c>
      <c r="E175" s="147" t="s">
        <v>950</v>
      </c>
      <c r="F175" s="147" t="s">
        <v>951</v>
      </c>
      <c r="G175" s="147" t="s">
        <v>952</v>
      </c>
      <c r="H175" s="174" t="s">
        <v>22</v>
      </c>
      <c r="I175" s="147" t="s">
        <v>1619</v>
      </c>
      <c r="J175" s="147" t="s">
        <v>1531</v>
      </c>
      <c r="K175" s="147" t="s">
        <v>1620</v>
      </c>
      <c r="L175" s="147" t="s">
        <v>1621</v>
      </c>
      <c r="M175" s="147" t="s">
        <v>1622</v>
      </c>
      <c r="N175" s="147" t="s">
        <v>1623</v>
      </c>
      <c r="O175" s="176"/>
      <c r="P175" s="8"/>
      <c r="Q175" s="8"/>
      <c r="R175" s="8"/>
      <c r="S175" s="8"/>
      <c r="T175" s="8"/>
      <c r="U175" s="8"/>
      <c r="V175" s="8"/>
      <c r="W175" s="8"/>
      <c r="X175" s="8"/>
      <c r="Y175" s="8"/>
      <c r="Z175" s="8"/>
    </row>
    <row r="176" ht="199.5" customHeight="1">
      <c r="A176" s="8"/>
      <c r="B176" s="187"/>
      <c r="C176" s="147" t="s">
        <v>955</v>
      </c>
      <c r="D176" s="147" t="s">
        <v>956</v>
      </c>
      <c r="E176" s="147" t="s">
        <v>957</v>
      </c>
      <c r="F176" s="147" t="s">
        <v>958</v>
      </c>
      <c r="G176" s="147" t="s">
        <v>959</v>
      </c>
      <c r="H176" s="174" t="s">
        <v>22</v>
      </c>
      <c r="I176" s="147" t="s">
        <v>1624</v>
      </c>
      <c r="J176" s="147" t="s">
        <v>1625</v>
      </c>
      <c r="K176" s="147" t="s">
        <v>1626</v>
      </c>
      <c r="L176" s="147" t="s">
        <v>1627</v>
      </c>
      <c r="M176" s="147" t="s">
        <v>1068</v>
      </c>
      <c r="N176" s="147" t="s">
        <v>1069</v>
      </c>
      <c r="O176" s="176"/>
      <c r="P176" s="8"/>
      <c r="Q176" s="8"/>
      <c r="R176" s="8"/>
      <c r="S176" s="8"/>
      <c r="T176" s="8"/>
      <c r="U176" s="8"/>
      <c r="V176" s="8"/>
      <c r="W176" s="8"/>
      <c r="X176" s="8"/>
      <c r="Y176" s="8"/>
      <c r="Z176" s="8"/>
    </row>
    <row r="177" ht="199.5" customHeight="1">
      <c r="A177" s="8"/>
      <c r="B177" s="188"/>
      <c r="C177" s="182"/>
      <c r="D177" s="182"/>
      <c r="E177" s="182"/>
      <c r="F177" s="182" t="s">
        <v>962</v>
      </c>
      <c r="G177" s="182" t="s">
        <v>963</v>
      </c>
      <c r="H177" s="183" t="s">
        <v>22</v>
      </c>
      <c r="I177" s="182" t="s">
        <v>1628</v>
      </c>
      <c r="J177" s="182" t="s">
        <v>1625</v>
      </c>
      <c r="K177" s="182" t="s">
        <v>1626</v>
      </c>
      <c r="L177" s="182" t="s">
        <v>1627</v>
      </c>
      <c r="M177" s="182" t="s">
        <v>1068</v>
      </c>
      <c r="N177" s="182" t="s">
        <v>1069</v>
      </c>
      <c r="O177" s="185"/>
      <c r="P177" s="8"/>
      <c r="Q177" s="8"/>
      <c r="R177" s="8"/>
      <c r="S177" s="8"/>
      <c r="T177" s="8"/>
      <c r="U177" s="8"/>
      <c r="V177" s="8"/>
      <c r="W177" s="8"/>
      <c r="X177" s="8"/>
      <c r="Y177" s="8"/>
      <c r="Z177" s="8"/>
    </row>
    <row r="178" ht="17.25" customHeight="1">
      <c r="A178" s="8"/>
      <c r="B178" s="27"/>
      <c r="C178" s="27"/>
      <c r="D178" s="27"/>
      <c r="E178" s="28"/>
      <c r="F178" s="31"/>
      <c r="G178" s="28"/>
      <c r="H178" s="157"/>
      <c r="I178" s="158"/>
      <c r="J178" s="27"/>
      <c r="K178" s="28"/>
      <c r="L178" s="28"/>
      <c r="M178" s="27"/>
      <c r="N178" s="31" t="s">
        <v>209</v>
      </c>
      <c r="O178" s="31"/>
      <c r="P178" s="8"/>
      <c r="Q178" s="8"/>
      <c r="R178" s="8"/>
      <c r="S178" s="8"/>
      <c r="T178" s="8"/>
      <c r="U178" s="8"/>
      <c r="V178" s="8"/>
      <c r="W178" s="8"/>
      <c r="X178" s="8"/>
      <c r="Y178" s="8"/>
      <c r="Z178" s="8"/>
    </row>
    <row r="179" ht="16.5" customHeight="1">
      <c r="A179" s="8"/>
      <c r="B179" s="27"/>
      <c r="C179" s="27"/>
      <c r="D179" s="27"/>
      <c r="E179" s="28"/>
      <c r="F179" s="31"/>
      <c r="G179" s="28"/>
      <c r="H179" s="157"/>
      <c r="I179" s="158"/>
      <c r="J179" s="27"/>
      <c r="K179" s="28"/>
      <c r="L179" s="28"/>
      <c r="M179" s="27"/>
      <c r="N179" s="31"/>
      <c r="O179" s="31"/>
      <c r="P179" s="8"/>
      <c r="Q179" s="8"/>
      <c r="R179" s="8"/>
      <c r="S179" s="8"/>
      <c r="T179" s="8"/>
      <c r="U179" s="8"/>
      <c r="V179" s="8"/>
      <c r="W179" s="8"/>
      <c r="X179" s="8"/>
      <c r="Y179" s="8"/>
      <c r="Z179" s="8"/>
    </row>
    <row r="180" ht="16.5" customHeight="1">
      <c r="A180" s="8"/>
      <c r="B180" s="27"/>
      <c r="C180" s="27"/>
      <c r="D180" s="27"/>
      <c r="E180" s="28"/>
      <c r="F180" s="31"/>
      <c r="G180" s="28"/>
      <c r="H180" s="157"/>
      <c r="I180" s="158"/>
      <c r="J180" s="27"/>
      <c r="K180" s="28"/>
      <c r="L180" s="28"/>
      <c r="M180" s="27"/>
      <c r="N180" s="31"/>
      <c r="O180" s="31"/>
      <c r="P180" s="8"/>
      <c r="Q180" s="8"/>
      <c r="R180" s="8"/>
      <c r="S180" s="8"/>
      <c r="T180" s="8"/>
      <c r="U180" s="8"/>
      <c r="V180" s="8"/>
      <c r="W180" s="8"/>
      <c r="X180" s="8"/>
      <c r="Y180" s="8"/>
      <c r="Z180" s="8"/>
    </row>
    <row r="181" ht="16.5" customHeight="1">
      <c r="A181" s="8"/>
      <c r="B181" s="27"/>
      <c r="C181" s="27"/>
      <c r="D181" s="27"/>
      <c r="E181" s="28"/>
      <c r="F181" s="31"/>
      <c r="G181" s="28"/>
      <c r="H181" s="157"/>
      <c r="I181" s="158"/>
      <c r="J181" s="27"/>
      <c r="K181" s="28"/>
      <c r="L181" s="28"/>
      <c r="M181" s="27"/>
      <c r="N181" s="31"/>
      <c r="O181" s="31"/>
      <c r="P181" s="8"/>
      <c r="Q181" s="8"/>
      <c r="R181" s="8"/>
      <c r="S181" s="8"/>
      <c r="T181" s="8"/>
      <c r="U181" s="8"/>
      <c r="V181" s="8"/>
      <c r="W181" s="8"/>
      <c r="X181" s="8"/>
      <c r="Y181" s="8"/>
      <c r="Z181" s="8"/>
    </row>
    <row r="182" ht="16.5" customHeight="1">
      <c r="A182" s="8"/>
      <c r="B182" s="27"/>
      <c r="C182" s="27"/>
      <c r="D182" s="27"/>
      <c r="E182" s="28"/>
      <c r="F182" s="31"/>
      <c r="G182" s="28"/>
      <c r="H182" s="157"/>
      <c r="I182" s="158"/>
      <c r="J182" s="27"/>
      <c r="K182" s="28"/>
      <c r="L182" s="28"/>
      <c r="M182" s="27"/>
      <c r="N182" s="31"/>
      <c r="O182" s="31"/>
      <c r="P182" s="8"/>
      <c r="Q182" s="8"/>
      <c r="R182" s="8"/>
      <c r="S182" s="8"/>
      <c r="T182" s="8"/>
      <c r="U182" s="8"/>
      <c r="V182" s="8"/>
      <c r="W182" s="8"/>
      <c r="X182" s="8"/>
      <c r="Y182" s="8"/>
      <c r="Z182" s="8"/>
    </row>
    <row r="183" ht="16.5" customHeight="1">
      <c r="A183" s="8"/>
      <c r="B183" s="27"/>
      <c r="C183" s="27"/>
      <c r="D183" s="27"/>
      <c r="E183" s="28"/>
      <c r="F183" s="31"/>
      <c r="G183" s="28"/>
      <c r="H183" s="157"/>
      <c r="I183" s="158"/>
      <c r="J183" s="27"/>
      <c r="K183" s="28"/>
      <c r="L183" s="28"/>
      <c r="M183" s="27"/>
      <c r="N183" s="31"/>
      <c r="O183" s="31"/>
      <c r="P183" s="8"/>
      <c r="Q183" s="8"/>
      <c r="R183" s="8"/>
      <c r="S183" s="8"/>
      <c r="T183" s="8"/>
      <c r="U183" s="8"/>
      <c r="V183" s="8"/>
      <c r="W183" s="8"/>
      <c r="X183" s="8"/>
      <c r="Y183" s="8"/>
      <c r="Z183" s="8"/>
    </row>
    <row r="184" ht="16.5" customHeight="1">
      <c r="A184" s="8"/>
      <c r="B184" s="27"/>
      <c r="C184" s="27"/>
      <c r="D184" s="27"/>
      <c r="E184" s="28"/>
      <c r="F184" s="31"/>
      <c r="G184" s="28"/>
      <c r="H184" s="157"/>
      <c r="I184" s="158"/>
      <c r="J184" s="27"/>
      <c r="K184" s="28"/>
      <c r="L184" s="28"/>
      <c r="M184" s="27"/>
      <c r="N184" s="31"/>
      <c r="O184" s="31"/>
      <c r="P184" s="8"/>
      <c r="Q184" s="8"/>
      <c r="R184" s="8"/>
      <c r="S184" s="8"/>
      <c r="T184" s="8"/>
      <c r="U184" s="8"/>
      <c r="V184" s="8"/>
      <c r="W184" s="8"/>
      <c r="X184" s="8"/>
      <c r="Y184" s="8"/>
      <c r="Z184" s="8"/>
    </row>
    <row r="185" ht="16.5" customHeight="1">
      <c r="A185" s="8"/>
      <c r="B185" s="27"/>
      <c r="C185" s="27"/>
      <c r="D185" s="27"/>
      <c r="E185" s="28"/>
      <c r="F185" s="31"/>
      <c r="G185" s="28"/>
      <c r="H185" s="157"/>
      <c r="I185" s="158"/>
      <c r="J185" s="27"/>
      <c r="K185" s="28"/>
      <c r="L185" s="28"/>
      <c r="M185" s="27"/>
      <c r="N185" s="31"/>
      <c r="O185" s="31"/>
      <c r="P185" s="8"/>
      <c r="Q185" s="8"/>
      <c r="R185" s="8"/>
      <c r="S185" s="8"/>
      <c r="T185" s="8"/>
      <c r="U185" s="8"/>
      <c r="V185" s="8"/>
      <c r="W185" s="8"/>
      <c r="X185" s="8"/>
      <c r="Y185" s="8"/>
      <c r="Z185" s="8"/>
    </row>
    <row r="186" ht="16.5" customHeight="1">
      <c r="A186" s="8"/>
      <c r="B186" s="27"/>
      <c r="C186" s="27"/>
      <c r="D186" s="27"/>
      <c r="E186" s="28"/>
      <c r="F186" s="31"/>
      <c r="G186" s="28"/>
      <c r="H186" s="157"/>
      <c r="I186" s="158"/>
      <c r="J186" s="27"/>
      <c r="K186" s="28"/>
      <c r="L186" s="28"/>
      <c r="M186" s="27"/>
      <c r="N186" s="31"/>
      <c r="O186" s="31"/>
      <c r="P186" s="8"/>
      <c r="Q186" s="8"/>
      <c r="R186" s="8"/>
      <c r="S186" s="8"/>
      <c r="T186" s="8"/>
      <c r="U186" s="8"/>
      <c r="V186" s="8"/>
      <c r="W186" s="8"/>
      <c r="X186" s="8"/>
      <c r="Y186" s="8"/>
      <c r="Z186" s="8"/>
    </row>
    <row r="187" ht="16.5" customHeight="1">
      <c r="A187" s="8"/>
      <c r="B187" s="27"/>
      <c r="C187" s="27"/>
      <c r="D187" s="27"/>
      <c r="E187" s="28"/>
      <c r="F187" s="31"/>
      <c r="G187" s="28"/>
      <c r="H187" s="157"/>
      <c r="I187" s="158"/>
      <c r="J187" s="27"/>
      <c r="K187" s="28"/>
      <c r="L187" s="28"/>
      <c r="M187" s="27"/>
      <c r="N187" s="31"/>
      <c r="O187" s="31"/>
      <c r="P187" s="8"/>
      <c r="Q187" s="8"/>
      <c r="R187" s="8"/>
      <c r="S187" s="8"/>
      <c r="T187" s="8"/>
      <c r="U187" s="8"/>
      <c r="V187" s="8"/>
      <c r="W187" s="8"/>
      <c r="X187" s="8"/>
      <c r="Y187" s="8"/>
      <c r="Z187" s="8"/>
    </row>
    <row r="188" ht="16.5" customHeight="1">
      <c r="A188" s="8"/>
      <c r="B188" s="27"/>
      <c r="C188" s="27"/>
      <c r="D188" s="27"/>
      <c r="E188" s="28"/>
      <c r="F188" s="31"/>
      <c r="G188" s="28"/>
      <c r="H188" s="157"/>
      <c r="I188" s="158"/>
      <c r="J188" s="27"/>
      <c r="K188" s="28"/>
      <c r="L188" s="28"/>
      <c r="M188" s="27"/>
      <c r="N188" s="31"/>
      <c r="O188" s="31"/>
      <c r="P188" s="8"/>
      <c r="Q188" s="8"/>
      <c r="R188" s="8"/>
      <c r="S188" s="8"/>
      <c r="T188" s="8"/>
      <c r="U188" s="8"/>
      <c r="V188" s="8"/>
      <c r="W188" s="8"/>
      <c r="X188" s="8"/>
      <c r="Y188" s="8"/>
      <c r="Z188" s="8"/>
    </row>
    <row r="189" ht="16.5" customHeight="1">
      <c r="A189" s="8"/>
      <c r="B189" s="27"/>
      <c r="C189" s="27"/>
      <c r="D189" s="27"/>
      <c r="E189" s="28"/>
      <c r="F189" s="31"/>
      <c r="G189" s="28"/>
      <c r="H189" s="157"/>
      <c r="I189" s="158"/>
      <c r="J189" s="27"/>
      <c r="K189" s="28"/>
      <c r="L189" s="28"/>
      <c r="M189" s="27"/>
      <c r="N189" s="31"/>
      <c r="O189" s="31"/>
      <c r="P189" s="8"/>
      <c r="Q189" s="8"/>
      <c r="R189" s="8"/>
      <c r="S189" s="8"/>
      <c r="T189" s="8"/>
      <c r="U189" s="8"/>
      <c r="V189" s="8"/>
      <c r="W189" s="8"/>
      <c r="X189" s="8"/>
      <c r="Y189" s="8"/>
      <c r="Z189" s="8"/>
    </row>
    <row r="190" ht="16.5" customHeight="1">
      <c r="A190" s="8"/>
      <c r="B190" s="27"/>
      <c r="C190" s="27"/>
      <c r="D190" s="27"/>
      <c r="E190" s="28"/>
      <c r="F190" s="31"/>
      <c r="G190" s="28"/>
      <c r="H190" s="157"/>
      <c r="I190" s="158"/>
      <c r="J190" s="27"/>
      <c r="K190" s="28"/>
      <c r="L190" s="28"/>
      <c r="M190" s="27"/>
      <c r="N190" s="31"/>
      <c r="O190" s="31"/>
      <c r="P190" s="8"/>
      <c r="Q190" s="8"/>
      <c r="R190" s="8"/>
      <c r="S190" s="8"/>
      <c r="T190" s="8"/>
      <c r="U190" s="8"/>
      <c r="V190" s="8"/>
      <c r="W190" s="8"/>
      <c r="X190" s="8"/>
      <c r="Y190" s="8"/>
      <c r="Z190" s="8"/>
    </row>
    <row r="191" ht="16.5" customHeight="1">
      <c r="A191" s="8"/>
      <c r="B191" s="27"/>
      <c r="C191" s="27"/>
      <c r="D191" s="27"/>
      <c r="E191" s="28"/>
      <c r="F191" s="31"/>
      <c r="G191" s="28"/>
      <c r="H191" s="157"/>
      <c r="I191" s="158"/>
      <c r="J191" s="27"/>
      <c r="K191" s="28"/>
      <c r="L191" s="28"/>
      <c r="M191" s="27"/>
      <c r="N191" s="31"/>
      <c r="O191" s="31"/>
      <c r="P191" s="8"/>
      <c r="Q191" s="8"/>
      <c r="R191" s="8"/>
      <c r="S191" s="8"/>
      <c r="T191" s="8"/>
      <c r="U191" s="8"/>
      <c r="V191" s="8"/>
      <c r="W191" s="8"/>
      <c r="X191" s="8"/>
      <c r="Y191" s="8"/>
      <c r="Z191" s="8"/>
    </row>
    <row r="192" ht="16.5" customHeight="1">
      <c r="A192" s="8"/>
      <c r="B192" s="27"/>
      <c r="C192" s="27"/>
      <c r="D192" s="27"/>
      <c r="E192" s="28"/>
      <c r="F192" s="31"/>
      <c r="G192" s="28"/>
      <c r="H192" s="157"/>
      <c r="I192" s="158"/>
      <c r="J192" s="27"/>
      <c r="K192" s="28"/>
      <c r="L192" s="28"/>
      <c r="M192" s="27"/>
      <c r="N192" s="31"/>
      <c r="O192" s="31"/>
      <c r="P192" s="8"/>
      <c r="Q192" s="8"/>
      <c r="R192" s="8"/>
      <c r="S192" s="8"/>
      <c r="T192" s="8"/>
      <c r="U192" s="8"/>
      <c r="V192" s="8"/>
      <c r="W192" s="8"/>
      <c r="X192" s="8"/>
      <c r="Y192" s="8"/>
      <c r="Z192" s="8"/>
    </row>
    <row r="193" ht="16.5" customHeight="1">
      <c r="A193" s="8"/>
      <c r="B193" s="27"/>
      <c r="C193" s="27"/>
      <c r="D193" s="27"/>
      <c r="E193" s="28"/>
      <c r="F193" s="31"/>
      <c r="G193" s="28"/>
      <c r="H193" s="157"/>
      <c r="I193" s="158"/>
      <c r="J193" s="27"/>
      <c r="K193" s="28"/>
      <c r="L193" s="28"/>
      <c r="M193" s="27"/>
      <c r="N193" s="31"/>
      <c r="O193" s="31"/>
      <c r="P193" s="8"/>
      <c r="Q193" s="8"/>
      <c r="R193" s="8"/>
      <c r="S193" s="8"/>
      <c r="T193" s="8"/>
      <c r="U193" s="8"/>
      <c r="V193" s="8"/>
      <c r="W193" s="8"/>
      <c r="X193" s="8"/>
      <c r="Y193" s="8"/>
      <c r="Z193" s="8"/>
    </row>
    <row r="194" ht="16.5" customHeight="1">
      <c r="A194" s="8"/>
      <c r="B194" s="27"/>
      <c r="C194" s="27"/>
      <c r="D194" s="27"/>
      <c r="E194" s="28"/>
      <c r="F194" s="31"/>
      <c r="G194" s="28"/>
      <c r="H194" s="157"/>
      <c r="I194" s="158"/>
      <c r="J194" s="27"/>
      <c r="K194" s="28"/>
      <c r="L194" s="28"/>
      <c r="M194" s="27"/>
      <c r="N194" s="31"/>
      <c r="O194" s="31"/>
      <c r="P194" s="8"/>
      <c r="Q194" s="8"/>
      <c r="R194" s="8"/>
      <c r="S194" s="8"/>
      <c r="T194" s="8"/>
      <c r="U194" s="8"/>
      <c r="V194" s="8"/>
      <c r="W194" s="8"/>
      <c r="X194" s="8"/>
      <c r="Y194" s="8"/>
      <c r="Z194" s="8"/>
    </row>
    <row r="195" ht="16.5" customHeight="1">
      <c r="A195" s="8"/>
      <c r="B195" s="27"/>
      <c r="C195" s="27"/>
      <c r="D195" s="27"/>
      <c r="E195" s="28"/>
      <c r="F195" s="31"/>
      <c r="G195" s="28"/>
      <c r="H195" s="157"/>
      <c r="I195" s="158"/>
      <c r="J195" s="27"/>
      <c r="K195" s="28"/>
      <c r="L195" s="28"/>
      <c r="M195" s="27"/>
      <c r="N195" s="31"/>
      <c r="O195" s="31"/>
      <c r="P195" s="8"/>
      <c r="Q195" s="8"/>
      <c r="R195" s="8"/>
      <c r="S195" s="8"/>
      <c r="T195" s="8"/>
      <c r="U195" s="8"/>
      <c r="V195" s="8"/>
      <c r="W195" s="8"/>
      <c r="X195" s="8"/>
      <c r="Y195" s="8"/>
      <c r="Z195" s="8"/>
    </row>
    <row r="196" ht="16.5" customHeight="1">
      <c r="A196" s="8"/>
      <c r="B196" s="27"/>
      <c r="C196" s="27"/>
      <c r="D196" s="27"/>
      <c r="E196" s="28"/>
      <c r="F196" s="31"/>
      <c r="G196" s="28"/>
      <c r="H196" s="157"/>
      <c r="I196" s="158"/>
      <c r="J196" s="27"/>
      <c r="K196" s="28"/>
      <c r="L196" s="28"/>
      <c r="M196" s="27"/>
      <c r="N196" s="31"/>
      <c r="O196" s="31"/>
      <c r="P196" s="8"/>
      <c r="Q196" s="8"/>
      <c r="R196" s="8"/>
      <c r="S196" s="8"/>
      <c r="T196" s="8"/>
      <c r="U196" s="8"/>
      <c r="V196" s="8"/>
      <c r="W196" s="8"/>
      <c r="X196" s="8"/>
      <c r="Y196" s="8"/>
      <c r="Z196" s="8"/>
    </row>
    <row r="197" ht="16.5" customHeight="1">
      <c r="A197" s="8"/>
      <c r="B197" s="27"/>
      <c r="C197" s="27"/>
      <c r="D197" s="27"/>
      <c r="E197" s="28"/>
      <c r="F197" s="31"/>
      <c r="G197" s="28"/>
      <c r="H197" s="157"/>
      <c r="I197" s="158"/>
      <c r="J197" s="27"/>
      <c r="K197" s="28"/>
      <c r="L197" s="28"/>
      <c r="M197" s="27"/>
      <c r="N197" s="31"/>
      <c r="O197" s="31"/>
      <c r="P197" s="8"/>
      <c r="Q197" s="8"/>
      <c r="R197" s="8"/>
      <c r="S197" s="8"/>
      <c r="T197" s="8"/>
      <c r="U197" s="8"/>
      <c r="V197" s="8"/>
      <c r="W197" s="8"/>
      <c r="X197" s="8"/>
      <c r="Y197" s="8"/>
      <c r="Z197" s="8"/>
    </row>
    <row r="198" ht="16.5" customHeight="1">
      <c r="A198" s="8"/>
      <c r="B198" s="27"/>
      <c r="C198" s="27"/>
      <c r="D198" s="27"/>
      <c r="E198" s="28"/>
      <c r="F198" s="31"/>
      <c r="G198" s="28"/>
      <c r="H198" s="157"/>
      <c r="I198" s="158"/>
      <c r="J198" s="27"/>
      <c r="K198" s="28"/>
      <c r="L198" s="28"/>
      <c r="M198" s="27"/>
      <c r="N198" s="31"/>
      <c r="O198" s="31"/>
      <c r="P198" s="8"/>
      <c r="Q198" s="8"/>
      <c r="R198" s="8"/>
      <c r="S198" s="8"/>
      <c r="T198" s="8"/>
      <c r="U198" s="8"/>
      <c r="V198" s="8"/>
      <c r="W198" s="8"/>
      <c r="X198" s="8"/>
      <c r="Y198" s="8"/>
      <c r="Z198" s="8"/>
    </row>
    <row r="199" ht="16.5" customHeight="1">
      <c r="A199" s="8"/>
      <c r="B199" s="27"/>
      <c r="C199" s="27"/>
      <c r="D199" s="27"/>
      <c r="E199" s="28"/>
      <c r="F199" s="31"/>
      <c r="G199" s="28"/>
      <c r="H199" s="157"/>
      <c r="I199" s="158"/>
      <c r="J199" s="27"/>
      <c r="K199" s="28"/>
      <c r="L199" s="28"/>
      <c r="M199" s="27"/>
      <c r="N199" s="31"/>
      <c r="O199" s="31"/>
      <c r="P199" s="8"/>
      <c r="Q199" s="8"/>
      <c r="R199" s="8"/>
      <c r="S199" s="8"/>
      <c r="T199" s="8"/>
      <c r="U199" s="8"/>
      <c r="V199" s="8"/>
      <c r="W199" s="8"/>
      <c r="X199" s="8"/>
      <c r="Y199" s="8"/>
      <c r="Z199" s="8"/>
    </row>
    <row r="200" ht="16.5" customHeight="1">
      <c r="A200" s="8"/>
      <c r="B200" s="27"/>
      <c r="C200" s="27"/>
      <c r="D200" s="27"/>
      <c r="E200" s="28"/>
      <c r="F200" s="31"/>
      <c r="G200" s="28"/>
      <c r="H200" s="157"/>
      <c r="I200" s="158"/>
      <c r="J200" s="27"/>
      <c r="K200" s="28"/>
      <c r="L200" s="28"/>
      <c r="M200" s="27"/>
      <c r="N200" s="31"/>
      <c r="O200" s="31"/>
      <c r="P200" s="8"/>
      <c r="Q200" s="8"/>
      <c r="R200" s="8"/>
      <c r="S200" s="8"/>
      <c r="T200" s="8"/>
      <c r="U200" s="8"/>
      <c r="V200" s="8"/>
      <c r="W200" s="8"/>
      <c r="X200" s="8"/>
      <c r="Y200" s="8"/>
      <c r="Z200" s="8"/>
    </row>
    <row r="201" ht="16.5" customHeight="1">
      <c r="A201" s="8"/>
      <c r="B201" s="27"/>
      <c r="C201" s="27"/>
      <c r="D201" s="27"/>
      <c r="E201" s="28"/>
      <c r="F201" s="31"/>
      <c r="G201" s="28"/>
      <c r="H201" s="157"/>
      <c r="I201" s="158"/>
      <c r="J201" s="27"/>
      <c r="K201" s="28"/>
      <c r="L201" s="28"/>
      <c r="M201" s="27"/>
      <c r="N201" s="31"/>
      <c r="O201" s="31"/>
      <c r="P201" s="8"/>
      <c r="Q201" s="8"/>
      <c r="R201" s="8"/>
      <c r="S201" s="8"/>
      <c r="T201" s="8"/>
      <c r="U201" s="8"/>
      <c r="V201" s="8"/>
      <c r="W201" s="8"/>
      <c r="X201" s="8"/>
      <c r="Y201" s="8"/>
      <c r="Z201" s="8"/>
    </row>
    <row r="202" ht="16.5" customHeight="1">
      <c r="A202" s="8"/>
      <c r="B202" s="27"/>
      <c r="C202" s="27"/>
      <c r="D202" s="27"/>
      <c r="E202" s="28"/>
      <c r="F202" s="31"/>
      <c r="G202" s="28"/>
      <c r="H202" s="157"/>
      <c r="I202" s="158"/>
      <c r="J202" s="27"/>
      <c r="K202" s="28"/>
      <c r="L202" s="28"/>
      <c r="M202" s="27"/>
      <c r="N202" s="31"/>
      <c r="O202" s="31"/>
      <c r="P202" s="8"/>
      <c r="Q202" s="8"/>
      <c r="R202" s="8"/>
      <c r="S202" s="8"/>
      <c r="T202" s="8"/>
      <c r="U202" s="8"/>
      <c r="V202" s="8"/>
      <c r="W202" s="8"/>
      <c r="X202" s="8"/>
      <c r="Y202" s="8"/>
      <c r="Z202" s="8"/>
    </row>
    <row r="203" ht="16.5" customHeight="1">
      <c r="A203" s="8"/>
      <c r="B203" s="27"/>
      <c r="C203" s="27"/>
      <c r="D203" s="27"/>
      <c r="E203" s="28"/>
      <c r="F203" s="31"/>
      <c r="G203" s="28"/>
      <c r="H203" s="157"/>
      <c r="I203" s="158"/>
      <c r="J203" s="27"/>
      <c r="K203" s="28"/>
      <c r="L203" s="28"/>
      <c r="M203" s="27"/>
      <c r="N203" s="31"/>
      <c r="O203" s="31"/>
      <c r="P203" s="8"/>
      <c r="Q203" s="8"/>
      <c r="R203" s="8"/>
      <c r="S203" s="8"/>
      <c r="T203" s="8"/>
      <c r="U203" s="8"/>
      <c r="V203" s="8"/>
      <c r="W203" s="8"/>
      <c r="X203" s="8"/>
      <c r="Y203" s="8"/>
      <c r="Z203" s="8"/>
    </row>
    <row r="204" ht="16.5" customHeight="1">
      <c r="A204" s="8"/>
      <c r="B204" s="27"/>
      <c r="C204" s="27"/>
      <c r="D204" s="27"/>
      <c r="E204" s="28"/>
      <c r="F204" s="31"/>
      <c r="G204" s="28"/>
      <c r="H204" s="157"/>
      <c r="I204" s="158"/>
      <c r="J204" s="27"/>
      <c r="K204" s="28"/>
      <c r="L204" s="28"/>
      <c r="M204" s="27"/>
      <c r="N204" s="31"/>
      <c r="O204" s="31"/>
      <c r="P204" s="8"/>
      <c r="Q204" s="8"/>
      <c r="R204" s="8"/>
      <c r="S204" s="8"/>
      <c r="T204" s="8"/>
      <c r="U204" s="8"/>
      <c r="V204" s="8"/>
      <c r="W204" s="8"/>
      <c r="X204" s="8"/>
      <c r="Y204" s="8"/>
      <c r="Z204" s="8"/>
    </row>
    <row r="205" ht="16.5" customHeight="1">
      <c r="A205" s="8"/>
      <c r="B205" s="27"/>
      <c r="C205" s="27"/>
      <c r="D205" s="27"/>
      <c r="E205" s="28"/>
      <c r="F205" s="31"/>
      <c r="G205" s="28"/>
      <c r="H205" s="157"/>
      <c r="I205" s="158"/>
      <c r="J205" s="27"/>
      <c r="K205" s="28"/>
      <c r="L205" s="28"/>
      <c r="M205" s="27"/>
      <c r="N205" s="31"/>
      <c r="O205" s="31"/>
      <c r="P205" s="8"/>
      <c r="Q205" s="8"/>
      <c r="R205" s="8"/>
      <c r="S205" s="8"/>
      <c r="T205" s="8"/>
      <c r="U205" s="8"/>
      <c r="V205" s="8"/>
      <c r="W205" s="8"/>
      <c r="X205" s="8"/>
      <c r="Y205" s="8"/>
      <c r="Z205" s="8"/>
    </row>
    <row r="206" ht="16.5" customHeight="1">
      <c r="A206" s="8"/>
      <c r="B206" s="27"/>
      <c r="C206" s="27"/>
      <c r="D206" s="27"/>
      <c r="E206" s="28"/>
      <c r="F206" s="31"/>
      <c r="G206" s="28"/>
      <c r="H206" s="157"/>
      <c r="I206" s="158"/>
      <c r="J206" s="27"/>
      <c r="K206" s="28"/>
      <c r="L206" s="28"/>
      <c r="M206" s="27"/>
      <c r="N206" s="31"/>
      <c r="O206" s="31"/>
      <c r="P206" s="8"/>
      <c r="Q206" s="8"/>
      <c r="R206" s="8"/>
      <c r="S206" s="8"/>
      <c r="T206" s="8"/>
      <c r="U206" s="8"/>
      <c r="V206" s="8"/>
      <c r="W206" s="8"/>
      <c r="X206" s="8"/>
      <c r="Y206" s="8"/>
      <c r="Z206" s="8"/>
    </row>
    <row r="207" ht="16.5" customHeight="1">
      <c r="A207" s="8"/>
      <c r="B207" s="27"/>
      <c r="C207" s="27"/>
      <c r="D207" s="27"/>
      <c r="E207" s="28"/>
      <c r="F207" s="31"/>
      <c r="G207" s="28"/>
      <c r="H207" s="157"/>
      <c r="I207" s="158"/>
      <c r="J207" s="27"/>
      <c r="K207" s="28"/>
      <c r="L207" s="28"/>
      <c r="M207" s="27"/>
      <c r="N207" s="31"/>
      <c r="O207" s="31"/>
      <c r="P207" s="8"/>
      <c r="Q207" s="8"/>
      <c r="R207" s="8"/>
      <c r="S207" s="8"/>
      <c r="T207" s="8"/>
      <c r="U207" s="8"/>
      <c r="V207" s="8"/>
      <c r="W207" s="8"/>
      <c r="X207" s="8"/>
      <c r="Y207" s="8"/>
      <c r="Z207" s="8"/>
    </row>
    <row r="208" ht="16.5" customHeight="1">
      <c r="A208" s="8"/>
      <c r="B208" s="27"/>
      <c r="C208" s="27"/>
      <c r="D208" s="27"/>
      <c r="E208" s="28"/>
      <c r="F208" s="31"/>
      <c r="G208" s="28"/>
      <c r="H208" s="157"/>
      <c r="I208" s="158"/>
      <c r="J208" s="27"/>
      <c r="K208" s="28"/>
      <c r="L208" s="28"/>
      <c r="M208" s="27"/>
      <c r="N208" s="31"/>
      <c r="O208" s="31"/>
      <c r="P208" s="8"/>
      <c r="Q208" s="8"/>
      <c r="R208" s="8"/>
      <c r="S208" s="8"/>
      <c r="T208" s="8"/>
      <c r="U208" s="8"/>
      <c r="V208" s="8"/>
      <c r="W208" s="8"/>
      <c r="X208" s="8"/>
      <c r="Y208" s="8"/>
      <c r="Z208" s="8"/>
    </row>
    <row r="209" ht="16.5" customHeight="1">
      <c r="A209" s="8"/>
      <c r="B209" s="27"/>
      <c r="C209" s="27"/>
      <c r="D209" s="27"/>
      <c r="E209" s="28"/>
      <c r="F209" s="31"/>
      <c r="G209" s="28"/>
      <c r="H209" s="157"/>
      <c r="I209" s="158"/>
      <c r="J209" s="27"/>
      <c r="K209" s="28"/>
      <c r="L209" s="28"/>
      <c r="M209" s="27"/>
      <c r="N209" s="31"/>
      <c r="O209" s="31"/>
      <c r="P209" s="8"/>
      <c r="Q209" s="8"/>
      <c r="R209" s="8"/>
      <c r="S209" s="8"/>
      <c r="T209" s="8"/>
      <c r="U209" s="8"/>
      <c r="V209" s="8"/>
      <c r="W209" s="8"/>
      <c r="X209" s="8"/>
      <c r="Y209" s="8"/>
      <c r="Z209" s="8"/>
    </row>
    <row r="210" ht="16.5" customHeight="1">
      <c r="A210" s="8"/>
      <c r="B210" s="27"/>
      <c r="C210" s="27"/>
      <c r="D210" s="27"/>
      <c r="E210" s="28"/>
      <c r="F210" s="31"/>
      <c r="G210" s="28"/>
      <c r="H210" s="157"/>
      <c r="I210" s="158"/>
      <c r="J210" s="27"/>
      <c r="K210" s="28"/>
      <c r="L210" s="28"/>
      <c r="M210" s="27"/>
      <c r="N210" s="31"/>
      <c r="O210" s="31"/>
      <c r="P210" s="8"/>
      <c r="Q210" s="8"/>
      <c r="R210" s="8"/>
      <c r="S210" s="8"/>
      <c r="T210" s="8"/>
      <c r="U210" s="8"/>
      <c r="V210" s="8"/>
      <c r="W210" s="8"/>
      <c r="X210" s="8"/>
      <c r="Y210" s="8"/>
      <c r="Z210" s="8"/>
    </row>
    <row r="211" ht="16.5" customHeight="1">
      <c r="A211" s="8"/>
      <c r="B211" s="27"/>
      <c r="C211" s="27"/>
      <c r="D211" s="27"/>
      <c r="E211" s="28"/>
      <c r="F211" s="31"/>
      <c r="G211" s="28"/>
      <c r="H211" s="157"/>
      <c r="I211" s="158"/>
      <c r="J211" s="27"/>
      <c r="K211" s="28"/>
      <c r="L211" s="28"/>
      <c r="M211" s="27"/>
      <c r="N211" s="31"/>
      <c r="O211" s="31"/>
      <c r="P211" s="8"/>
      <c r="Q211" s="8"/>
      <c r="R211" s="8"/>
      <c r="S211" s="8"/>
      <c r="T211" s="8"/>
      <c r="U211" s="8"/>
      <c r="V211" s="8"/>
      <c r="W211" s="8"/>
      <c r="X211" s="8"/>
      <c r="Y211" s="8"/>
      <c r="Z211" s="8"/>
    </row>
    <row r="212" ht="16.5" customHeight="1">
      <c r="A212" s="8"/>
      <c r="B212" s="27"/>
      <c r="C212" s="27"/>
      <c r="D212" s="27"/>
      <c r="E212" s="28"/>
      <c r="F212" s="31"/>
      <c r="G212" s="28"/>
      <c r="H212" s="157"/>
      <c r="I212" s="158"/>
      <c r="J212" s="27"/>
      <c r="K212" s="28"/>
      <c r="L212" s="28"/>
      <c r="M212" s="27"/>
      <c r="N212" s="31"/>
      <c r="O212" s="31"/>
      <c r="P212" s="8"/>
      <c r="Q212" s="8"/>
      <c r="R212" s="8"/>
      <c r="S212" s="8"/>
      <c r="T212" s="8"/>
      <c r="U212" s="8"/>
      <c r="V212" s="8"/>
      <c r="W212" s="8"/>
      <c r="X212" s="8"/>
      <c r="Y212" s="8"/>
      <c r="Z212" s="8"/>
    </row>
    <row r="213" ht="16.5" customHeight="1">
      <c r="A213" s="8"/>
      <c r="B213" s="27"/>
      <c r="C213" s="27"/>
      <c r="D213" s="27"/>
      <c r="E213" s="28"/>
      <c r="F213" s="31"/>
      <c r="G213" s="28"/>
      <c r="H213" s="157"/>
      <c r="I213" s="158"/>
      <c r="J213" s="27"/>
      <c r="K213" s="28"/>
      <c r="L213" s="28"/>
      <c r="M213" s="27"/>
      <c r="N213" s="31"/>
      <c r="O213" s="31"/>
      <c r="P213" s="8"/>
      <c r="Q213" s="8"/>
      <c r="R213" s="8"/>
      <c r="S213" s="8"/>
      <c r="T213" s="8"/>
      <c r="U213" s="8"/>
      <c r="V213" s="8"/>
      <c r="W213" s="8"/>
      <c r="X213" s="8"/>
      <c r="Y213" s="8"/>
      <c r="Z213" s="8"/>
    </row>
    <row r="214" ht="16.5" customHeight="1">
      <c r="A214" s="8"/>
      <c r="B214" s="27"/>
      <c r="C214" s="27"/>
      <c r="D214" s="27"/>
      <c r="E214" s="28"/>
      <c r="F214" s="31"/>
      <c r="G214" s="28"/>
      <c r="H214" s="157"/>
      <c r="I214" s="158"/>
      <c r="J214" s="27"/>
      <c r="K214" s="28"/>
      <c r="L214" s="28"/>
      <c r="M214" s="27"/>
      <c r="N214" s="31"/>
      <c r="O214" s="31"/>
      <c r="P214" s="8"/>
      <c r="Q214" s="8"/>
      <c r="R214" s="8"/>
      <c r="S214" s="8"/>
      <c r="T214" s="8"/>
      <c r="U214" s="8"/>
      <c r="V214" s="8"/>
      <c r="W214" s="8"/>
      <c r="X214" s="8"/>
      <c r="Y214" s="8"/>
      <c r="Z214" s="8"/>
    </row>
    <row r="215" ht="16.5" customHeight="1">
      <c r="A215" s="8"/>
      <c r="B215" s="27"/>
      <c r="C215" s="27"/>
      <c r="D215" s="27"/>
      <c r="E215" s="28"/>
      <c r="F215" s="31"/>
      <c r="G215" s="28"/>
      <c r="H215" s="157"/>
      <c r="I215" s="158"/>
      <c r="J215" s="27"/>
      <c r="K215" s="28"/>
      <c r="L215" s="28"/>
      <c r="M215" s="27"/>
      <c r="N215" s="31"/>
      <c r="O215" s="31"/>
      <c r="P215" s="8"/>
      <c r="Q215" s="8"/>
      <c r="R215" s="8"/>
      <c r="S215" s="8"/>
      <c r="T215" s="8"/>
      <c r="U215" s="8"/>
      <c r="V215" s="8"/>
      <c r="W215" s="8"/>
      <c r="X215" s="8"/>
      <c r="Y215" s="8"/>
      <c r="Z215" s="8"/>
    </row>
    <row r="216" ht="16.5" customHeight="1">
      <c r="A216" s="8"/>
      <c r="B216" s="27"/>
      <c r="C216" s="27"/>
      <c r="D216" s="27"/>
      <c r="E216" s="28"/>
      <c r="F216" s="31"/>
      <c r="G216" s="28"/>
      <c r="H216" s="157"/>
      <c r="I216" s="158"/>
      <c r="J216" s="27"/>
      <c r="K216" s="28"/>
      <c r="L216" s="28"/>
      <c r="M216" s="27"/>
      <c r="N216" s="31"/>
      <c r="O216" s="31"/>
      <c r="P216" s="8"/>
      <c r="Q216" s="8"/>
      <c r="R216" s="8"/>
      <c r="S216" s="8"/>
      <c r="T216" s="8"/>
      <c r="U216" s="8"/>
      <c r="V216" s="8"/>
      <c r="W216" s="8"/>
      <c r="X216" s="8"/>
      <c r="Y216" s="8"/>
      <c r="Z216" s="8"/>
    </row>
    <row r="217" ht="16.5" customHeight="1">
      <c r="A217" s="8"/>
      <c r="B217" s="27"/>
      <c r="C217" s="27"/>
      <c r="D217" s="27"/>
      <c r="E217" s="28"/>
      <c r="F217" s="31"/>
      <c r="G217" s="28"/>
      <c r="H217" s="157"/>
      <c r="I217" s="158"/>
      <c r="J217" s="27"/>
      <c r="K217" s="28"/>
      <c r="L217" s="28"/>
      <c r="M217" s="27"/>
      <c r="N217" s="31"/>
      <c r="O217" s="31"/>
      <c r="P217" s="8"/>
      <c r="Q217" s="8"/>
      <c r="R217" s="8"/>
      <c r="S217" s="8"/>
      <c r="T217" s="8"/>
      <c r="U217" s="8"/>
      <c r="V217" s="8"/>
      <c r="W217" s="8"/>
      <c r="X217" s="8"/>
      <c r="Y217" s="8"/>
      <c r="Z217" s="8"/>
    </row>
    <row r="218" ht="16.5" customHeight="1">
      <c r="A218" s="8"/>
      <c r="B218" s="27"/>
      <c r="C218" s="27"/>
      <c r="D218" s="27"/>
      <c r="E218" s="28"/>
      <c r="F218" s="31"/>
      <c r="G218" s="28"/>
      <c r="H218" s="157"/>
      <c r="I218" s="158"/>
      <c r="J218" s="27"/>
      <c r="K218" s="28"/>
      <c r="L218" s="28"/>
      <c r="M218" s="27"/>
      <c r="N218" s="31"/>
      <c r="O218" s="31"/>
      <c r="P218" s="8"/>
      <c r="Q218" s="8"/>
      <c r="R218" s="8"/>
      <c r="S218" s="8"/>
      <c r="T218" s="8"/>
      <c r="U218" s="8"/>
      <c r="V218" s="8"/>
      <c r="W218" s="8"/>
      <c r="X218" s="8"/>
      <c r="Y218" s="8"/>
      <c r="Z218" s="8"/>
    </row>
    <row r="219" ht="16.5" customHeight="1">
      <c r="A219" s="8"/>
      <c r="B219" s="27"/>
      <c r="C219" s="27"/>
      <c r="D219" s="27"/>
      <c r="E219" s="28"/>
      <c r="F219" s="31"/>
      <c r="G219" s="28"/>
      <c r="H219" s="157"/>
      <c r="I219" s="158"/>
      <c r="J219" s="27"/>
      <c r="K219" s="28"/>
      <c r="L219" s="28"/>
      <c r="M219" s="27"/>
      <c r="N219" s="31"/>
      <c r="O219" s="31"/>
      <c r="P219" s="8"/>
      <c r="Q219" s="8"/>
      <c r="R219" s="8"/>
      <c r="S219" s="8"/>
      <c r="T219" s="8"/>
      <c r="U219" s="8"/>
      <c r="V219" s="8"/>
      <c r="W219" s="8"/>
      <c r="X219" s="8"/>
      <c r="Y219" s="8"/>
      <c r="Z219" s="8"/>
    </row>
    <row r="220" ht="16.5" customHeight="1">
      <c r="A220" s="8"/>
      <c r="B220" s="27"/>
      <c r="C220" s="27"/>
      <c r="D220" s="27"/>
      <c r="E220" s="28"/>
      <c r="F220" s="31"/>
      <c r="G220" s="28"/>
      <c r="H220" s="157"/>
      <c r="I220" s="158"/>
      <c r="J220" s="27"/>
      <c r="K220" s="28"/>
      <c r="L220" s="28"/>
      <c r="M220" s="27"/>
      <c r="N220" s="31"/>
      <c r="O220" s="31"/>
      <c r="P220" s="8"/>
      <c r="Q220" s="8"/>
      <c r="R220" s="8"/>
      <c r="S220" s="8"/>
      <c r="T220" s="8"/>
      <c r="U220" s="8"/>
      <c r="V220" s="8"/>
      <c r="W220" s="8"/>
      <c r="X220" s="8"/>
      <c r="Y220" s="8"/>
      <c r="Z220" s="8"/>
    </row>
    <row r="221" ht="16.5" customHeight="1">
      <c r="A221" s="8"/>
      <c r="B221" s="27"/>
      <c r="C221" s="27"/>
      <c r="D221" s="27"/>
      <c r="E221" s="28"/>
      <c r="F221" s="31"/>
      <c r="G221" s="28"/>
      <c r="H221" s="157"/>
      <c r="I221" s="158"/>
      <c r="J221" s="27"/>
      <c r="K221" s="28"/>
      <c r="L221" s="28"/>
      <c r="M221" s="27"/>
      <c r="N221" s="31"/>
      <c r="O221" s="31"/>
      <c r="P221" s="8"/>
      <c r="Q221" s="8"/>
      <c r="R221" s="8"/>
      <c r="S221" s="8"/>
      <c r="T221" s="8"/>
      <c r="U221" s="8"/>
      <c r="V221" s="8"/>
      <c r="W221" s="8"/>
      <c r="X221" s="8"/>
      <c r="Y221" s="8"/>
      <c r="Z221" s="8"/>
    </row>
    <row r="222" ht="16.5" customHeight="1">
      <c r="A222" s="8"/>
      <c r="B222" s="27"/>
      <c r="C222" s="27"/>
      <c r="D222" s="27"/>
      <c r="E222" s="28"/>
      <c r="F222" s="31"/>
      <c r="G222" s="28"/>
      <c r="H222" s="157"/>
      <c r="I222" s="158"/>
      <c r="J222" s="27"/>
      <c r="K222" s="28"/>
      <c r="L222" s="28"/>
      <c r="M222" s="27"/>
      <c r="N222" s="31"/>
      <c r="O222" s="31"/>
      <c r="P222" s="8"/>
      <c r="Q222" s="8"/>
      <c r="R222" s="8"/>
      <c r="S222" s="8"/>
      <c r="T222" s="8"/>
      <c r="U222" s="8"/>
      <c r="V222" s="8"/>
      <c r="W222" s="8"/>
      <c r="X222" s="8"/>
      <c r="Y222" s="8"/>
      <c r="Z222" s="8"/>
    </row>
    <row r="223" ht="16.5" customHeight="1">
      <c r="A223" s="8"/>
      <c r="B223" s="27"/>
      <c r="C223" s="27"/>
      <c r="D223" s="27"/>
      <c r="E223" s="28"/>
      <c r="F223" s="31"/>
      <c r="G223" s="28"/>
      <c r="H223" s="157"/>
      <c r="I223" s="158"/>
      <c r="J223" s="27"/>
      <c r="K223" s="28"/>
      <c r="L223" s="28"/>
      <c r="M223" s="27"/>
      <c r="N223" s="31"/>
      <c r="O223" s="31"/>
      <c r="P223" s="8"/>
      <c r="Q223" s="8"/>
      <c r="R223" s="8"/>
      <c r="S223" s="8"/>
      <c r="T223" s="8"/>
      <c r="U223" s="8"/>
      <c r="V223" s="8"/>
      <c r="W223" s="8"/>
      <c r="X223" s="8"/>
      <c r="Y223" s="8"/>
      <c r="Z223" s="8"/>
    </row>
    <row r="224" ht="16.5" customHeight="1">
      <c r="A224" s="8"/>
      <c r="B224" s="27"/>
      <c r="C224" s="27"/>
      <c r="D224" s="27"/>
      <c r="E224" s="28"/>
      <c r="F224" s="31"/>
      <c r="G224" s="28"/>
      <c r="H224" s="157"/>
      <c r="I224" s="158"/>
      <c r="J224" s="27"/>
      <c r="K224" s="28"/>
      <c r="L224" s="28"/>
      <c r="M224" s="27"/>
      <c r="N224" s="31"/>
      <c r="O224" s="31"/>
      <c r="P224" s="8"/>
      <c r="Q224" s="8"/>
      <c r="R224" s="8"/>
      <c r="S224" s="8"/>
      <c r="T224" s="8"/>
      <c r="U224" s="8"/>
      <c r="V224" s="8"/>
      <c r="W224" s="8"/>
      <c r="X224" s="8"/>
      <c r="Y224" s="8"/>
      <c r="Z224" s="8"/>
    </row>
    <row r="225" ht="16.5" customHeight="1">
      <c r="A225" s="8"/>
      <c r="B225" s="27"/>
      <c r="C225" s="27"/>
      <c r="D225" s="27"/>
      <c r="E225" s="28"/>
      <c r="F225" s="31"/>
      <c r="G225" s="28"/>
      <c r="H225" s="157"/>
      <c r="I225" s="158"/>
      <c r="J225" s="27"/>
      <c r="K225" s="28"/>
      <c r="L225" s="28"/>
      <c r="M225" s="27"/>
      <c r="N225" s="31"/>
      <c r="O225" s="31"/>
      <c r="P225" s="8"/>
      <c r="Q225" s="8"/>
      <c r="R225" s="8"/>
      <c r="S225" s="8"/>
      <c r="T225" s="8"/>
      <c r="U225" s="8"/>
      <c r="V225" s="8"/>
      <c r="W225" s="8"/>
      <c r="X225" s="8"/>
      <c r="Y225" s="8"/>
      <c r="Z225" s="8"/>
    </row>
    <row r="226" ht="16.5" customHeight="1">
      <c r="A226" s="8"/>
      <c r="B226" s="27"/>
      <c r="C226" s="27"/>
      <c r="D226" s="27"/>
      <c r="E226" s="28"/>
      <c r="F226" s="31"/>
      <c r="G226" s="28"/>
      <c r="H226" s="157"/>
      <c r="I226" s="158"/>
      <c r="J226" s="27"/>
      <c r="K226" s="28"/>
      <c r="L226" s="28"/>
      <c r="M226" s="27"/>
      <c r="N226" s="31"/>
      <c r="O226" s="31"/>
      <c r="P226" s="8"/>
      <c r="Q226" s="8"/>
      <c r="R226" s="8"/>
      <c r="S226" s="8"/>
      <c r="T226" s="8"/>
      <c r="U226" s="8"/>
      <c r="V226" s="8"/>
      <c r="W226" s="8"/>
      <c r="X226" s="8"/>
      <c r="Y226" s="8"/>
      <c r="Z226" s="8"/>
    </row>
    <row r="227" ht="16.5" customHeight="1">
      <c r="A227" s="8"/>
      <c r="B227" s="27"/>
      <c r="C227" s="27"/>
      <c r="D227" s="27"/>
      <c r="E227" s="28"/>
      <c r="F227" s="31"/>
      <c r="G227" s="28"/>
      <c r="H227" s="157"/>
      <c r="I227" s="158"/>
      <c r="J227" s="27"/>
      <c r="K227" s="28"/>
      <c r="L227" s="28"/>
      <c r="M227" s="27"/>
      <c r="N227" s="31"/>
      <c r="O227" s="31"/>
      <c r="P227" s="8"/>
      <c r="Q227" s="8"/>
      <c r="R227" s="8"/>
      <c r="S227" s="8"/>
      <c r="T227" s="8"/>
      <c r="U227" s="8"/>
      <c r="V227" s="8"/>
      <c r="W227" s="8"/>
      <c r="X227" s="8"/>
      <c r="Y227" s="8"/>
      <c r="Z227" s="8"/>
    </row>
    <row r="228" ht="16.5" customHeight="1">
      <c r="A228" s="8"/>
      <c r="B228" s="27"/>
      <c r="C228" s="27"/>
      <c r="D228" s="27"/>
      <c r="E228" s="28"/>
      <c r="F228" s="31"/>
      <c r="G228" s="28"/>
      <c r="H228" s="157"/>
      <c r="I228" s="158"/>
      <c r="J228" s="27"/>
      <c r="K228" s="28"/>
      <c r="L228" s="28"/>
      <c r="M228" s="27"/>
      <c r="N228" s="31"/>
      <c r="O228" s="31"/>
      <c r="P228" s="8"/>
      <c r="Q228" s="8"/>
      <c r="R228" s="8"/>
      <c r="S228" s="8"/>
      <c r="T228" s="8"/>
      <c r="U228" s="8"/>
      <c r="V228" s="8"/>
      <c r="W228" s="8"/>
      <c r="X228" s="8"/>
      <c r="Y228" s="8"/>
      <c r="Z228" s="8"/>
    </row>
    <row r="229" ht="16.5" customHeight="1">
      <c r="A229" s="8"/>
      <c r="B229" s="27"/>
      <c r="C229" s="27"/>
      <c r="D229" s="27"/>
      <c r="E229" s="28"/>
      <c r="F229" s="31"/>
      <c r="G229" s="28"/>
      <c r="H229" s="157"/>
      <c r="I229" s="158"/>
      <c r="J229" s="27"/>
      <c r="K229" s="28"/>
      <c r="L229" s="28"/>
      <c r="M229" s="27"/>
      <c r="N229" s="31"/>
      <c r="O229" s="31"/>
      <c r="P229" s="8"/>
      <c r="Q229" s="8"/>
      <c r="R229" s="8"/>
      <c r="S229" s="8"/>
      <c r="T229" s="8"/>
      <c r="U229" s="8"/>
      <c r="V229" s="8"/>
      <c r="W229" s="8"/>
      <c r="X229" s="8"/>
      <c r="Y229" s="8"/>
      <c r="Z229" s="8"/>
    </row>
    <row r="230" ht="16.5" customHeight="1">
      <c r="A230" s="8"/>
      <c r="B230" s="27"/>
      <c r="C230" s="27"/>
      <c r="D230" s="27"/>
      <c r="E230" s="28"/>
      <c r="F230" s="31"/>
      <c r="G230" s="28"/>
      <c r="H230" s="157"/>
      <c r="I230" s="158"/>
      <c r="J230" s="27"/>
      <c r="K230" s="28"/>
      <c r="L230" s="28"/>
      <c r="M230" s="27"/>
      <c r="N230" s="31"/>
      <c r="O230" s="31"/>
      <c r="P230" s="8"/>
      <c r="Q230" s="8"/>
      <c r="R230" s="8"/>
      <c r="S230" s="8"/>
      <c r="T230" s="8"/>
      <c r="U230" s="8"/>
      <c r="V230" s="8"/>
      <c r="W230" s="8"/>
      <c r="X230" s="8"/>
      <c r="Y230" s="8"/>
      <c r="Z230" s="8"/>
    </row>
    <row r="231" ht="16.5" customHeight="1">
      <c r="A231" s="8"/>
      <c r="B231" s="27"/>
      <c r="C231" s="27"/>
      <c r="D231" s="27"/>
      <c r="E231" s="28"/>
      <c r="F231" s="31"/>
      <c r="G231" s="28"/>
      <c r="H231" s="157"/>
      <c r="I231" s="158"/>
      <c r="J231" s="27"/>
      <c r="K231" s="28"/>
      <c r="L231" s="28"/>
      <c r="M231" s="27"/>
      <c r="N231" s="31"/>
      <c r="O231" s="31"/>
      <c r="P231" s="8"/>
      <c r="Q231" s="8"/>
      <c r="R231" s="8"/>
      <c r="S231" s="8"/>
      <c r="T231" s="8"/>
      <c r="U231" s="8"/>
      <c r="V231" s="8"/>
      <c r="W231" s="8"/>
      <c r="X231" s="8"/>
      <c r="Y231" s="8"/>
      <c r="Z231" s="8"/>
    </row>
    <row r="232" ht="16.5" customHeight="1">
      <c r="A232" s="8"/>
      <c r="B232" s="27"/>
      <c r="C232" s="27"/>
      <c r="D232" s="27"/>
      <c r="E232" s="28"/>
      <c r="F232" s="31"/>
      <c r="G232" s="28"/>
      <c r="H232" s="157"/>
      <c r="I232" s="158"/>
      <c r="J232" s="27"/>
      <c r="K232" s="28"/>
      <c r="L232" s="28"/>
      <c r="M232" s="27"/>
      <c r="N232" s="31"/>
      <c r="O232" s="31"/>
      <c r="P232" s="8"/>
      <c r="Q232" s="8"/>
      <c r="R232" s="8"/>
      <c r="S232" s="8"/>
      <c r="T232" s="8"/>
      <c r="U232" s="8"/>
      <c r="V232" s="8"/>
      <c r="W232" s="8"/>
      <c r="X232" s="8"/>
      <c r="Y232" s="8"/>
      <c r="Z232" s="8"/>
    </row>
    <row r="233" ht="16.5" customHeight="1">
      <c r="A233" s="8"/>
      <c r="B233" s="27"/>
      <c r="C233" s="27"/>
      <c r="D233" s="27"/>
      <c r="E233" s="28"/>
      <c r="F233" s="31"/>
      <c r="G233" s="28"/>
      <c r="H233" s="157"/>
      <c r="I233" s="158"/>
      <c r="J233" s="27"/>
      <c r="K233" s="28"/>
      <c r="L233" s="28"/>
      <c r="M233" s="27"/>
      <c r="N233" s="31"/>
      <c r="O233" s="31"/>
      <c r="P233" s="8"/>
      <c r="Q233" s="8"/>
      <c r="R233" s="8"/>
      <c r="S233" s="8"/>
      <c r="T233" s="8"/>
      <c r="U233" s="8"/>
      <c r="V233" s="8"/>
      <c r="W233" s="8"/>
      <c r="X233" s="8"/>
      <c r="Y233" s="8"/>
      <c r="Z233" s="8"/>
    </row>
    <row r="234" ht="16.5" customHeight="1">
      <c r="A234" s="8"/>
      <c r="B234" s="27"/>
      <c r="C234" s="27"/>
      <c r="D234" s="27"/>
      <c r="E234" s="28"/>
      <c r="F234" s="31"/>
      <c r="G234" s="28"/>
      <c r="H234" s="157"/>
      <c r="I234" s="158"/>
      <c r="J234" s="27"/>
      <c r="K234" s="28"/>
      <c r="L234" s="28"/>
      <c r="M234" s="27"/>
      <c r="N234" s="31"/>
      <c r="O234" s="31"/>
      <c r="P234" s="8"/>
      <c r="Q234" s="8"/>
      <c r="R234" s="8"/>
      <c r="S234" s="8"/>
      <c r="T234" s="8"/>
      <c r="U234" s="8"/>
      <c r="V234" s="8"/>
      <c r="W234" s="8"/>
      <c r="X234" s="8"/>
      <c r="Y234" s="8"/>
      <c r="Z234" s="8"/>
    </row>
    <row r="235" ht="16.5" customHeight="1">
      <c r="A235" s="8"/>
      <c r="B235" s="27"/>
      <c r="C235" s="27"/>
      <c r="D235" s="27"/>
      <c r="E235" s="28"/>
      <c r="F235" s="31"/>
      <c r="G235" s="28"/>
      <c r="H235" s="157"/>
      <c r="I235" s="158"/>
      <c r="J235" s="27"/>
      <c r="K235" s="28"/>
      <c r="L235" s="28"/>
      <c r="M235" s="27"/>
      <c r="N235" s="31"/>
      <c r="O235" s="31"/>
      <c r="P235" s="8"/>
      <c r="Q235" s="8"/>
      <c r="R235" s="8"/>
      <c r="S235" s="8"/>
      <c r="T235" s="8"/>
      <c r="U235" s="8"/>
      <c r="V235" s="8"/>
      <c r="W235" s="8"/>
      <c r="X235" s="8"/>
      <c r="Y235" s="8"/>
      <c r="Z235" s="8"/>
    </row>
    <row r="236" ht="16.5" customHeight="1">
      <c r="A236" s="8"/>
      <c r="B236" s="27"/>
      <c r="C236" s="27"/>
      <c r="D236" s="27"/>
      <c r="E236" s="28"/>
      <c r="F236" s="31"/>
      <c r="G236" s="28"/>
      <c r="H236" s="157"/>
      <c r="I236" s="158"/>
      <c r="J236" s="27"/>
      <c r="K236" s="28"/>
      <c r="L236" s="28"/>
      <c r="M236" s="27"/>
      <c r="N236" s="31"/>
      <c r="O236" s="31"/>
      <c r="P236" s="8"/>
      <c r="Q236" s="8"/>
      <c r="R236" s="8"/>
      <c r="S236" s="8"/>
      <c r="T236" s="8"/>
      <c r="U236" s="8"/>
      <c r="V236" s="8"/>
      <c r="W236" s="8"/>
      <c r="X236" s="8"/>
      <c r="Y236" s="8"/>
      <c r="Z236" s="8"/>
    </row>
    <row r="237" ht="16.5" customHeight="1">
      <c r="A237" s="8"/>
      <c r="B237" s="27"/>
      <c r="C237" s="27"/>
      <c r="D237" s="27"/>
      <c r="E237" s="28"/>
      <c r="F237" s="31"/>
      <c r="G237" s="28"/>
      <c r="H237" s="157"/>
      <c r="I237" s="158"/>
      <c r="J237" s="27"/>
      <c r="K237" s="28"/>
      <c r="L237" s="28"/>
      <c r="M237" s="27"/>
      <c r="N237" s="31"/>
      <c r="O237" s="31"/>
      <c r="P237" s="8"/>
      <c r="Q237" s="8"/>
      <c r="R237" s="8"/>
      <c r="S237" s="8"/>
      <c r="T237" s="8"/>
      <c r="U237" s="8"/>
      <c r="V237" s="8"/>
      <c r="W237" s="8"/>
      <c r="X237" s="8"/>
      <c r="Y237" s="8"/>
      <c r="Z237" s="8"/>
    </row>
    <row r="238" ht="16.5" customHeight="1">
      <c r="A238" s="8"/>
      <c r="B238" s="27"/>
      <c r="C238" s="27"/>
      <c r="D238" s="27"/>
      <c r="E238" s="28"/>
      <c r="F238" s="31"/>
      <c r="G238" s="28"/>
      <c r="H238" s="157"/>
      <c r="I238" s="158"/>
      <c r="J238" s="27"/>
      <c r="K238" s="28"/>
      <c r="L238" s="28"/>
      <c r="M238" s="27"/>
      <c r="N238" s="31"/>
      <c r="O238" s="31"/>
      <c r="P238" s="8"/>
      <c r="Q238" s="8"/>
      <c r="R238" s="8"/>
      <c r="S238" s="8"/>
      <c r="T238" s="8"/>
      <c r="U238" s="8"/>
      <c r="V238" s="8"/>
      <c r="W238" s="8"/>
      <c r="X238" s="8"/>
      <c r="Y238" s="8"/>
      <c r="Z238" s="8"/>
    </row>
    <row r="239" ht="16.5" customHeight="1">
      <c r="A239" s="8"/>
      <c r="B239" s="27"/>
      <c r="C239" s="27"/>
      <c r="D239" s="27"/>
      <c r="E239" s="28"/>
      <c r="F239" s="31"/>
      <c r="G239" s="28"/>
      <c r="H239" s="157"/>
      <c r="I239" s="158"/>
      <c r="J239" s="27"/>
      <c r="K239" s="28"/>
      <c r="L239" s="28"/>
      <c r="M239" s="27"/>
      <c r="N239" s="31"/>
      <c r="O239" s="31"/>
      <c r="P239" s="8"/>
      <c r="Q239" s="8"/>
      <c r="R239" s="8"/>
      <c r="S239" s="8"/>
      <c r="T239" s="8"/>
      <c r="U239" s="8"/>
      <c r="V239" s="8"/>
      <c r="W239" s="8"/>
      <c r="X239" s="8"/>
      <c r="Y239" s="8"/>
      <c r="Z239" s="8"/>
    </row>
    <row r="240" ht="16.5" customHeight="1">
      <c r="A240" s="8"/>
      <c r="B240" s="27"/>
      <c r="C240" s="27"/>
      <c r="D240" s="27"/>
      <c r="E240" s="28"/>
      <c r="F240" s="31"/>
      <c r="G240" s="28"/>
      <c r="H240" s="157"/>
      <c r="I240" s="158"/>
      <c r="J240" s="27"/>
      <c r="K240" s="28"/>
      <c r="L240" s="28"/>
      <c r="M240" s="27"/>
      <c r="N240" s="31"/>
      <c r="O240" s="31"/>
      <c r="P240" s="8"/>
      <c r="Q240" s="8"/>
      <c r="R240" s="8"/>
      <c r="S240" s="8"/>
      <c r="T240" s="8"/>
      <c r="U240" s="8"/>
      <c r="V240" s="8"/>
      <c r="W240" s="8"/>
      <c r="X240" s="8"/>
      <c r="Y240" s="8"/>
      <c r="Z240" s="8"/>
    </row>
    <row r="241" ht="16.5" customHeight="1">
      <c r="A241" s="8"/>
      <c r="B241" s="27"/>
      <c r="C241" s="27"/>
      <c r="D241" s="27"/>
      <c r="E241" s="28"/>
      <c r="F241" s="31"/>
      <c r="G241" s="28"/>
      <c r="H241" s="157"/>
      <c r="I241" s="158"/>
      <c r="J241" s="27"/>
      <c r="K241" s="28"/>
      <c r="L241" s="28"/>
      <c r="M241" s="27"/>
      <c r="N241" s="31"/>
      <c r="O241" s="31"/>
      <c r="P241" s="8"/>
      <c r="Q241" s="8"/>
      <c r="R241" s="8"/>
      <c r="S241" s="8"/>
      <c r="T241" s="8"/>
      <c r="U241" s="8"/>
      <c r="V241" s="8"/>
      <c r="W241" s="8"/>
      <c r="X241" s="8"/>
      <c r="Y241" s="8"/>
      <c r="Z241" s="8"/>
    </row>
    <row r="242" ht="16.5" customHeight="1">
      <c r="A242" s="8"/>
      <c r="B242" s="27"/>
      <c r="C242" s="27"/>
      <c r="D242" s="27"/>
      <c r="E242" s="28"/>
      <c r="F242" s="31"/>
      <c r="G242" s="28"/>
      <c r="H242" s="157"/>
      <c r="I242" s="158"/>
      <c r="J242" s="27"/>
      <c r="K242" s="28"/>
      <c r="L242" s="28"/>
      <c r="M242" s="27"/>
      <c r="N242" s="31"/>
      <c r="O242" s="31"/>
      <c r="P242" s="8"/>
      <c r="Q242" s="8"/>
      <c r="R242" s="8"/>
      <c r="S242" s="8"/>
      <c r="T242" s="8"/>
      <c r="U242" s="8"/>
      <c r="V242" s="8"/>
      <c r="W242" s="8"/>
      <c r="X242" s="8"/>
      <c r="Y242" s="8"/>
      <c r="Z242" s="8"/>
    </row>
    <row r="243" ht="16.5" customHeight="1">
      <c r="A243" s="8"/>
      <c r="B243" s="27"/>
      <c r="C243" s="27"/>
      <c r="D243" s="27"/>
      <c r="E243" s="28"/>
      <c r="F243" s="31"/>
      <c r="G243" s="28"/>
      <c r="H243" s="157"/>
      <c r="I243" s="158"/>
      <c r="J243" s="27"/>
      <c r="K243" s="28"/>
      <c r="L243" s="28"/>
      <c r="M243" s="27"/>
      <c r="N243" s="31"/>
      <c r="O243" s="31"/>
      <c r="P243" s="8"/>
      <c r="Q243" s="8"/>
      <c r="R243" s="8"/>
      <c r="S243" s="8"/>
      <c r="T243" s="8"/>
      <c r="U243" s="8"/>
      <c r="V243" s="8"/>
      <c r="W243" s="8"/>
      <c r="X243" s="8"/>
      <c r="Y243" s="8"/>
      <c r="Z243" s="8"/>
    </row>
    <row r="244" ht="16.5" customHeight="1">
      <c r="A244" s="8"/>
      <c r="B244" s="27"/>
      <c r="C244" s="27"/>
      <c r="D244" s="27"/>
      <c r="E244" s="28"/>
      <c r="F244" s="31"/>
      <c r="G244" s="28"/>
      <c r="H244" s="157"/>
      <c r="I244" s="158"/>
      <c r="J244" s="27"/>
      <c r="K244" s="28"/>
      <c r="L244" s="28"/>
      <c r="M244" s="27"/>
      <c r="N244" s="31"/>
      <c r="O244" s="31"/>
      <c r="P244" s="8"/>
      <c r="Q244" s="8"/>
      <c r="R244" s="8"/>
      <c r="S244" s="8"/>
      <c r="T244" s="8"/>
      <c r="U244" s="8"/>
      <c r="V244" s="8"/>
      <c r="W244" s="8"/>
      <c r="X244" s="8"/>
      <c r="Y244" s="8"/>
      <c r="Z244" s="8"/>
    </row>
    <row r="245" ht="16.5" customHeight="1">
      <c r="A245" s="8"/>
      <c r="B245" s="27"/>
      <c r="C245" s="27"/>
      <c r="D245" s="27"/>
      <c r="E245" s="28"/>
      <c r="F245" s="31"/>
      <c r="G245" s="28"/>
      <c r="H245" s="157"/>
      <c r="I245" s="158"/>
      <c r="J245" s="27"/>
      <c r="K245" s="28"/>
      <c r="L245" s="28"/>
      <c r="M245" s="27"/>
      <c r="N245" s="31"/>
      <c r="O245" s="31"/>
      <c r="P245" s="8"/>
      <c r="Q245" s="8"/>
      <c r="R245" s="8"/>
      <c r="S245" s="8"/>
      <c r="T245" s="8"/>
      <c r="U245" s="8"/>
      <c r="V245" s="8"/>
      <c r="W245" s="8"/>
      <c r="X245" s="8"/>
      <c r="Y245" s="8"/>
      <c r="Z245" s="8"/>
    </row>
    <row r="246" ht="16.5" customHeight="1">
      <c r="A246" s="8"/>
      <c r="B246" s="27"/>
      <c r="C246" s="27"/>
      <c r="D246" s="27"/>
      <c r="E246" s="28"/>
      <c r="F246" s="31"/>
      <c r="G246" s="28"/>
      <c r="H246" s="157"/>
      <c r="I246" s="158"/>
      <c r="J246" s="27"/>
      <c r="K246" s="28"/>
      <c r="L246" s="28"/>
      <c r="M246" s="27"/>
      <c r="N246" s="31"/>
      <c r="O246" s="31"/>
      <c r="P246" s="8"/>
      <c r="Q246" s="8"/>
      <c r="R246" s="8"/>
      <c r="S246" s="8"/>
      <c r="T246" s="8"/>
      <c r="U246" s="8"/>
      <c r="V246" s="8"/>
      <c r="W246" s="8"/>
      <c r="X246" s="8"/>
      <c r="Y246" s="8"/>
      <c r="Z246" s="8"/>
    </row>
    <row r="247" ht="16.5" customHeight="1">
      <c r="A247" s="8"/>
      <c r="B247" s="27"/>
      <c r="C247" s="27"/>
      <c r="D247" s="27"/>
      <c r="E247" s="28"/>
      <c r="F247" s="31"/>
      <c r="G247" s="28"/>
      <c r="H247" s="157"/>
      <c r="I247" s="158"/>
      <c r="J247" s="27"/>
      <c r="K247" s="28"/>
      <c r="L247" s="28"/>
      <c r="M247" s="27"/>
      <c r="N247" s="31"/>
      <c r="O247" s="31"/>
      <c r="P247" s="8"/>
      <c r="Q247" s="8"/>
      <c r="R247" s="8"/>
      <c r="S247" s="8"/>
      <c r="T247" s="8"/>
      <c r="U247" s="8"/>
      <c r="V247" s="8"/>
      <c r="W247" s="8"/>
      <c r="X247" s="8"/>
      <c r="Y247" s="8"/>
      <c r="Z247" s="8"/>
    </row>
    <row r="248" ht="16.5" customHeight="1">
      <c r="A248" s="8"/>
      <c r="B248" s="27"/>
      <c r="C248" s="27"/>
      <c r="D248" s="27"/>
      <c r="E248" s="28"/>
      <c r="F248" s="31"/>
      <c r="G248" s="28"/>
      <c r="H248" s="157"/>
      <c r="I248" s="158"/>
      <c r="J248" s="27"/>
      <c r="K248" s="28"/>
      <c r="L248" s="28"/>
      <c r="M248" s="27"/>
      <c r="N248" s="31"/>
      <c r="O248" s="31"/>
      <c r="P248" s="8"/>
      <c r="Q248" s="8"/>
      <c r="R248" s="8"/>
      <c r="S248" s="8"/>
      <c r="T248" s="8"/>
      <c r="U248" s="8"/>
      <c r="V248" s="8"/>
      <c r="W248" s="8"/>
      <c r="X248" s="8"/>
      <c r="Y248" s="8"/>
      <c r="Z248" s="8"/>
    </row>
    <row r="249" ht="16.5" customHeight="1">
      <c r="A249" s="8"/>
      <c r="B249" s="27"/>
      <c r="C249" s="27"/>
      <c r="D249" s="27"/>
      <c r="E249" s="28"/>
      <c r="F249" s="31"/>
      <c r="G249" s="28"/>
      <c r="H249" s="157"/>
      <c r="I249" s="158"/>
      <c r="J249" s="27"/>
      <c r="K249" s="28"/>
      <c r="L249" s="28"/>
      <c r="M249" s="27"/>
      <c r="N249" s="31"/>
      <c r="O249" s="31"/>
      <c r="P249" s="8"/>
      <c r="Q249" s="8"/>
      <c r="R249" s="8"/>
      <c r="S249" s="8"/>
      <c r="T249" s="8"/>
      <c r="U249" s="8"/>
      <c r="V249" s="8"/>
      <c r="W249" s="8"/>
      <c r="X249" s="8"/>
      <c r="Y249" s="8"/>
      <c r="Z249" s="8"/>
    </row>
    <row r="250" ht="16.5" customHeight="1">
      <c r="A250" s="8"/>
      <c r="B250" s="27"/>
      <c r="C250" s="27"/>
      <c r="D250" s="27"/>
      <c r="E250" s="28"/>
      <c r="F250" s="31"/>
      <c r="G250" s="28"/>
      <c r="H250" s="157"/>
      <c r="I250" s="158"/>
      <c r="J250" s="27"/>
      <c r="K250" s="28"/>
      <c r="L250" s="28"/>
      <c r="M250" s="27"/>
      <c r="N250" s="31"/>
      <c r="O250" s="31"/>
      <c r="P250" s="8"/>
      <c r="Q250" s="8"/>
      <c r="R250" s="8"/>
      <c r="S250" s="8"/>
      <c r="T250" s="8"/>
      <c r="U250" s="8"/>
      <c r="V250" s="8"/>
      <c r="W250" s="8"/>
      <c r="X250" s="8"/>
      <c r="Y250" s="8"/>
      <c r="Z250" s="8"/>
    </row>
    <row r="251" ht="16.5" customHeight="1">
      <c r="A251" s="8"/>
      <c r="B251" s="27"/>
      <c r="C251" s="27"/>
      <c r="D251" s="27"/>
      <c r="E251" s="28"/>
      <c r="F251" s="31"/>
      <c r="G251" s="28"/>
      <c r="H251" s="157"/>
      <c r="I251" s="158"/>
      <c r="J251" s="27"/>
      <c r="K251" s="28"/>
      <c r="L251" s="28"/>
      <c r="M251" s="27"/>
      <c r="N251" s="31"/>
      <c r="O251" s="31"/>
      <c r="P251" s="8"/>
      <c r="Q251" s="8"/>
      <c r="R251" s="8"/>
      <c r="S251" s="8"/>
      <c r="T251" s="8"/>
      <c r="U251" s="8"/>
      <c r="V251" s="8"/>
      <c r="W251" s="8"/>
      <c r="X251" s="8"/>
      <c r="Y251" s="8"/>
      <c r="Z251" s="8"/>
    </row>
    <row r="252" ht="16.5" customHeight="1">
      <c r="A252" s="8"/>
      <c r="B252" s="27"/>
      <c r="C252" s="27"/>
      <c r="D252" s="27"/>
      <c r="E252" s="28"/>
      <c r="F252" s="31"/>
      <c r="G252" s="28"/>
      <c r="H252" s="157"/>
      <c r="I252" s="158"/>
      <c r="J252" s="27"/>
      <c r="K252" s="28"/>
      <c r="L252" s="28"/>
      <c r="M252" s="27"/>
      <c r="N252" s="31"/>
      <c r="O252" s="31"/>
      <c r="P252" s="8"/>
      <c r="Q252" s="8"/>
      <c r="R252" s="8"/>
      <c r="S252" s="8"/>
      <c r="T252" s="8"/>
      <c r="U252" s="8"/>
      <c r="V252" s="8"/>
      <c r="W252" s="8"/>
      <c r="X252" s="8"/>
      <c r="Y252" s="8"/>
      <c r="Z252" s="8"/>
    </row>
    <row r="253" ht="16.5" customHeight="1">
      <c r="A253" s="8"/>
      <c r="B253" s="27"/>
      <c r="C253" s="27"/>
      <c r="D253" s="27"/>
      <c r="E253" s="28"/>
      <c r="F253" s="31"/>
      <c r="G253" s="28"/>
      <c r="H253" s="157"/>
      <c r="I253" s="158"/>
      <c r="J253" s="27"/>
      <c r="K253" s="28"/>
      <c r="L253" s="28"/>
      <c r="M253" s="27"/>
      <c r="N253" s="31"/>
      <c r="O253" s="31"/>
      <c r="P253" s="8"/>
      <c r="Q253" s="8"/>
      <c r="R253" s="8"/>
      <c r="S253" s="8"/>
      <c r="T253" s="8"/>
      <c r="U253" s="8"/>
      <c r="V253" s="8"/>
      <c r="W253" s="8"/>
      <c r="X253" s="8"/>
      <c r="Y253" s="8"/>
      <c r="Z253" s="8"/>
    </row>
    <row r="254" ht="16.5" customHeight="1">
      <c r="A254" s="8"/>
      <c r="B254" s="27"/>
      <c r="C254" s="27"/>
      <c r="D254" s="27"/>
      <c r="E254" s="28"/>
      <c r="F254" s="31"/>
      <c r="G254" s="28"/>
      <c r="H254" s="157"/>
      <c r="I254" s="158"/>
      <c r="J254" s="27"/>
      <c r="K254" s="28"/>
      <c r="L254" s="28"/>
      <c r="M254" s="27"/>
      <c r="N254" s="31"/>
      <c r="O254" s="31"/>
      <c r="P254" s="8"/>
      <c r="Q254" s="8"/>
      <c r="R254" s="8"/>
      <c r="S254" s="8"/>
      <c r="T254" s="8"/>
      <c r="U254" s="8"/>
      <c r="V254" s="8"/>
      <c r="W254" s="8"/>
      <c r="X254" s="8"/>
      <c r="Y254" s="8"/>
      <c r="Z254" s="8"/>
    </row>
    <row r="255" ht="16.5" customHeight="1">
      <c r="A255" s="8"/>
      <c r="B255" s="27"/>
      <c r="C255" s="27"/>
      <c r="D255" s="27"/>
      <c r="E255" s="28"/>
      <c r="F255" s="31"/>
      <c r="G255" s="28"/>
      <c r="H255" s="157"/>
      <c r="I255" s="158"/>
      <c r="J255" s="27"/>
      <c r="K255" s="28"/>
      <c r="L255" s="28"/>
      <c r="M255" s="27"/>
      <c r="N255" s="31"/>
      <c r="O255" s="31"/>
      <c r="P255" s="8"/>
      <c r="Q255" s="8"/>
      <c r="R255" s="8"/>
      <c r="S255" s="8"/>
      <c r="T255" s="8"/>
      <c r="U255" s="8"/>
      <c r="V255" s="8"/>
      <c r="W255" s="8"/>
      <c r="X255" s="8"/>
      <c r="Y255" s="8"/>
      <c r="Z255" s="8"/>
    </row>
    <row r="256" ht="16.5" customHeight="1">
      <c r="A256" s="8"/>
      <c r="B256" s="27"/>
      <c r="C256" s="27"/>
      <c r="D256" s="27"/>
      <c r="E256" s="28"/>
      <c r="F256" s="31"/>
      <c r="G256" s="28"/>
      <c r="H256" s="157"/>
      <c r="I256" s="158"/>
      <c r="J256" s="27"/>
      <c r="K256" s="28"/>
      <c r="L256" s="28"/>
      <c r="M256" s="27"/>
      <c r="N256" s="31"/>
      <c r="O256" s="31"/>
      <c r="P256" s="8"/>
      <c r="Q256" s="8"/>
      <c r="R256" s="8"/>
      <c r="S256" s="8"/>
      <c r="T256" s="8"/>
      <c r="U256" s="8"/>
      <c r="V256" s="8"/>
      <c r="W256" s="8"/>
      <c r="X256" s="8"/>
      <c r="Y256" s="8"/>
      <c r="Z256" s="8"/>
    </row>
    <row r="257" ht="16.5" customHeight="1">
      <c r="A257" s="8"/>
      <c r="B257" s="27"/>
      <c r="C257" s="27"/>
      <c r="D257" s="27"/>
      <c r="E257" s="28"/>
      <c r="F257" s="31"/>
      <c r="G257" s="28"/>
      <c r="H257" s="157"/>
      <c r="I257" s="158"/>
      <c r="J257" s="27"/>
      <c r="K257" s="28"/>
      <c r="L257" s="28"/>
      <c r="M257" s="27"/>
      <c r="N257" s="31"/>
      <c r="O257" s="31"/>
      <c r="P257" s="8"/>
      <c r="Q257" s="8"/>
      <c r="R257" s="8"/>
      <c r="S257" s="8"/>
      <c r="T257" s="8"/>
      <c r="U257" s="8"/>
      <c r="V257" s="8"/>
      <c r="W257" s="8"/>
      <c r="X257" s="8"/>
      <c r="Y257" s="8"/>
      <c r="Z257" s="8"/>
    </row>
    <row r="258" ht="16.5" customHeight="1">
      <c r="A258" s="8"/>
      <c r="B258" s="27"/>
      <c r="C258" s="27"/>
      <c r="D258" s="27"/>
      <c r="E258" s="28"/>
      <c r="F258" s="31"/>
      <c r="G258" s="28"/>
      <c r="H258" s="157"/>
      <c r="I258" s="158"/>
      <c r="J258" s="27"/>
      <c r="K258" s="28"/>
      <c r="L258" s="28"/>
      <c r="M258" s="27"/>
      <c r="N258" s="31"/>
      <c r="O258" s="31"/>
      <c r="P258" s="8"/>
      <c r="Q258" s="8"/>
      <c r="R258" s="8"/>
      <c r="S258" s="8"/>
      <c r="T258" s="8"/>
      <c r="U258" s="8"/>
      <c r="V258" s="8"/>
      <c r="W258" s="8"/>
      <c r="X258" s="8"/>
      <c r="Y258" s="8"/>
      <c r="Z258" s="8"/>
    </row>
    <row r="259" ht="16.5" customHeight="1">
      <c r="A259" s="8"/>
      <c r="B259" s="27"/>
      <c r="C259" s="27"/>
      <c r="D259" s="27"/>
      <c r="E259" s="28"/>
      <c r="F259" s="31"/>
      <c r="G259" s="28"/>
      <c r="H259" s="157"/>
      <c r="I259" s="158"/>
      <c r="J259" s="27"/>
      <c r="K259" s="28"/>
      <c r="L259" s="28"/>
      <c r="M259" s="27"/>
      <c r="N259" s="31"/>
      <c r="O259" s="31"/>
      <c r="P259" s="8"/>
      <c r="Q259" s="8"/>
      <c r="R259" s="8"/>
      <c r="S259" s="8"/>
      <c r="T259" s="8"/>
      <c r="U259" s="8"/>
      <c r="V259" s="8"/>
      <c r="W259" s="8"/>
      <c r="X259" s="8"/>
      <c r="Y259" s="8"/>
      <c r="Z259" s="8"/>
    </row>
    <row r="260" ht="16.5" customHeight="1">
      <c r="A260" s="8"/>
      <c r="B260" s="27"/>
      <c r="C260" s="27"/>
      <c r="D260" s="27"/>
      <c r="E260" s="28"/>
      <c r="F260" s="31"/>
      <c r="G260" s="28"/>
      <c r="H260" s="157"/>
      <c r="I260" s="158"/>
      <c r="J260" s="27"/>
      <c r="K260" s="28"/>
      <c r="L260" s="28"/>
      <c r="M260" s="27"/>
      <c r="N260" s="31"/>
      <c r="O260" s="31"/>
      <c r="P260" s="8"/>
      <c r="Q260" s="8"/>
      <c r="R260" s="8"/>
      <c r="S260" s="8"/>
      <c r="T260" s="8"/>
      <c r="U260" s="8"/>
      <c r="V260" s="8"/>
      <c r="W260" s="8"/>
      <c r="X260" s="8"/>
      <c r="Y260" s="8"/>
      <c r="Z260" s="8"/>
    </row>
    <row r="261" ht="16.5" customHeight="1">
      <c r="A261" s="8"/>
      <c r="B261" s="27"/>
      <c r="C261" s="27"/>
      <c r="D261" s="27"/>
      <c r="E261" s="28"/>
      <c r="F261" s="31"/>
      <c r="G261" s="28"/>
      <c r="H261" s="157"/>
      <c r="I261" s="158"/>
      <c r="J261" s="27"/>
      <c r="K261" s="28"/>
      <c r="L261" s="28"/>
      <c r="M261" s="27"/>
      <c r="N261" s="31"/>
      <c r="O261" s="31"/>
      <c r="P261" s="8"/>
      <c r="Q261" s="8"/>
      <c r="R261" s="8"/>
      <c r="S261" s="8"/>
      <c r="T261" s="8"/>
      <c r="U261" s="8"/>
      <c r="V261" s="8"/>
      <c r="W261" s="8"/>
      <c r="X261" s="8"/>
      <c r="Y261" s="8"/>
      <c r="Z261" s="8"/>
    </row>
    <row r="262" ht="16.5" customHeight="1">
      <c r="A262" s="8"/>
      <c r="B262" s="27"/>
      <c r="C262" s="27"/>
      <c r="D262" s="27"/>
      <c r="E262" s="28"/>
      <c r="F262" s="31"/>
      <c r="G262" s="28"/>
      <c r="H262" s="157"/>
      <c r="I262" s="158"/>
      <c r="J262" s="27"/>
      <c r="K262" s="28"/>
      <c r="L262" s="28"/>
      <c r="M262" s="27"/>
      <c r="N262" s="31"/>
      <c r="O262" s="31"/>
      <c r="P262" s="8"/>
      <c r="Q262" s="8"/>
      <c r="R262" s="8"/>
      <c r="S262" s="8"/>
      <c r="T262" s="8"/>
      <c r="U262" s="8"/>
      <c r="V262" s="8"/>
      <c r="W262" s="8"/>
      <c r="X262" s="8"/>
      <c r="Y262" s="8"/>
      <c r="Z262" s="8"/>
    </row>
    <row r="263" ht="16.5" customHeight="1">
      <c r="A263" s="8"/>
      <c r="B263" s="27"/>
      <c r="C263" s="27"/>
      <c r="D263" s="27"/>
      <c r="E263" s="28"/>
      <c r="F263" s="31"/>
      <c r="G263" s="28"/>
      <c r="H263" s="157"/>
      <c r="I263" s="158"/>
      <c r="J263" s="27"/>
      <c r="K263" s="28"/>
      <c r="L263" s="28"/>
      <c r="M263" s="27"/>
      <c r="N263" s="31"/>
      <c r="O263" s="31"/>
      <c r="P263" s="8"/>
      <c r="Q263" s="8"/>
      <c r="R263" s="8"/>
      <c r="S263" s="8"/>
      <c r="T263" s="8"/>
      <c r="U263" s="8"/>
      <c r="V263" s="8"/>
      <c r="W263" s="8"/>
      <c r="X263" s="8"/>
      <c r="Y263" s="8"/>
      <c r="Z263" s="8"/>
    </row>
    <row r="264" ht="16.5" customHeight="1">
      <c r="A264" s="8"/>
      <c r="B264" s="27"/>
      <c r="C264" s="27"/>
      <c r="D264" s="27"/>
      <c r="E264" s="28"/>
      <c r="F264" s="31"/>
      <c r="G264" s="28"/>
      <c r="H264" s="157"/>
      <c r="I264" s="158"/>
      <c r="J264" s="27"/>
      <c r="K264" s="28"/>
      <c r="L264" s="28"/>
      <c r="M264" s="27"/>
      <c r="N264" s="31"/>
      <c r="O264" s="31"/>
      <c r="P264" s="8"/>
      <c r="Q264" s="8"/>
      <c r="R264" s="8"/>
      <c r="S264" s="8"/>
      <c r="T264" s="8"/>
      <c r="U264" s="8"/>
      <c r="V264" s="8"/>
      <c r="W264" s="8"/>
      <c r="X264" s="8"/>
      <c r="Y264" s="8"/>
      <c r="Z264" s="8"/>
    </row>
    <row r="265" ht="16.5" customHeight="1">
      <c r="A265" s="8"/>
      <c r="B265" s="27"/>
      <c r="C265" s="27"/>
      <c r="D265" s="27"/>
      <c r="E265" s="28"/>
      <c r="F265" s="31"/>
      <c r="G265" s="28"/>
      <c r="H265" s="157"/>
      <c r="I265" s="158"/>
      <c r="J265" s="27"/>
      <c r="K265" s="28"/>
      <c r="L265" s="28"/>
      <c r="M265" s="27"/>
      <c r="N265" s="31"/>
      <c r="O265" s="31"/>
      <c r="P265" s="8"/>
      <c r="Q265" s="8"/>
      <c r="R265" s="8"/>
      <c r="S265" s="8"/>
      <c r="T265" s="8"/>
      <c r="U265" s="8"/>
      <c r="V265" s="8"/>
      <c r="W265" s="8"/>
      <c r="X265" s="8"/>
      <c r="Y265" s="8"/>
      <c r="Z265" s="8"/>
    </row>
    <row r="266" ht="16.5" customHeight="1">
      <c r="A266" s="8"/>
      <c r="B266" s="27"/>
      <c r="C266" s="27"/>
      <c r="D266" s="27"/>
      <c r="E266" s="28"/>
      <c r="F266" s="31"/>
      <c r="G266" s="28"/>
      <c r="H266" s="157"/>
      <c r="I266" s="158"/>
      <c r="J266" s="27"/>
      <c r="K266" s="28"/>
      <c r="L266" s="28"/>
      <c r="M266" s="27"/>
      <c r="N266" s="31"/>
      <c r="O266" s="31"/>
      <c r="P266" s="8"/>
      <c r="Q266" s="8"/>
      <c r="R266" s="8"/>
      <c r="S266" s="8"/>
      <c r="T266" s="8"/>
      <c r="U266" s="8"/>
      <c r="V266" s="8"/>
      <c r="W266" s="8"/>
      <c r="X266" s="8"/>
      <c r="Y266" s="8"/>
      <c r="Z266" s="8"/>
    </row>
    <row r="267" ht="16.5" customHeight="1">
      <c r="A267" s="8"/>
      <c r="B267" s="27"/>
      <c r="C267" s="27"/>
      <c r="D267" s="27"/>
      <c r="E267" s="28"/>
      <c r="F267" s="31"/>
      <c r="G267" s="28"/>
      <c r="H267" s="157"/>
      <c r="I267" s="158"/>
      <c r="J267" s="27"/>
      <c r="K267" s="28"/>
      <c r="L267" s="28"/>
      <c r="M267" s="27"/>
      <c r="N267" s="31"/>
      <c r="O267" s="31"/>
      <c r="P267" s="8"/>
      <c r="Q267" s="8"/>
      <c r="R267" s="8"/>
      <c r="S267" s="8"/>
      <c r="T267" s="8"/>
      <c r="U267" s="8"/>
      <c r="V267" s="8"/>
      <c r="W267" s="8"/>
      <c r="X267" s="8"/>
      <c r="Y267" s="8"/>
      <c r="Z267" s="8"/>
    </row>
    <row r="268" ht="16.5" customHeight="1">
      <c r="A268" s="8"/>
      <c r="B268" s="27"/>
      <c r="C268" s="27"/>
      <c r="D268" s="27"/>
      <c r="E268" s="28"/>
      <c r="F268" s="31"/>
      <c r="G268" s="28"/>
      <c r="H268" s="157"/>
      <c r="I268" s="158"/>
      <c r="J268" s="27"/>
      <c r="K268" s="28"/>
      <c r="L268" s="28"/>
      <c r="M268" s="27"/>
      <c r="N268" s="31"/>
      <c r="O268" s="31"/>
      <c r="P268" s="8"/>
      <c r="Q268" s="8"/>
      <c r="R268" s="8"/>
      <c r="S268" s="8"/>
      <c r="T268" s="8"/>
      <c r="U268" s="8"/>
      <c r="V268" s="8"/>
      <c r="W268" s="8"/>
      <c r="X268" s="8"/>
      <c r="Y268" s="8"/>
      <c r="Z268" s="8"/>
    </row>
    <row r="269" ht="16.5" customHeight="1">
      <c r="A269" s="8"/>
      <c r="B269" s="27"/>
      <c r="C269" s="27"/>
      <c r="D269" s="27"/>
      <c r="E269" s="28"/>
      <c r="F269" s="31"/>
      <c r="G269" s="28"/>
      <c r="H269" s="157"/>
      <c r="I269" s="158"/>
      <c r="J269" s="27"/>
      <c r="K269" s="28"/>
      <c r="L269" s="28"/>
      <c r="M269" s="27"/>
      <c r="N269" s="31"/>
      <c r="O269" s="31"/>
      <c r="P269" s="8"/>
      <c r="Q269" s="8"/>
      <c r="R269" s="8"/>
      <c r="S269" s="8"/>
      <c r="T269" s="8"/>
      <c r="U269" s="8"/>
      <c r="V269" s="8"/>
      <c r="W269" s="8"/>
      <c r="X269" s="8"/>
      <c r="Y269" s="8"/>
      <c r="Z269" s="8"/>
    </row>
    <row r="270" ht="16.5" customHeight="1">
      <c r="A270" s="8"/>
      <c r="B270" s="27"/>
      <c r="C270" s="27"/>
      <c r="D270" s="27"/>
      <c r="E270" s="28"/>
      <c r="F270" s="31"/>
      <c r="G270" s="28"/>
      <c r="H270" s="157"/>
      <c r="I270" s="158"/>
      <c r="J270" s="27"/>
      <c r="K270" s="28"/>
      <c r="L270" s="28"/>
      <c r="M270" s="27"/>
      <c r="N270" s="31"/>
      <c r="O270" s="31"/>
      <c r="P270" s="8"/>
      <c r="Q270" s="8"/>
      <c r="R270" s="8"/>
      <c r="S270" s="8"/>
      <c r="T270" s="8"/>
      <c r="U270" s="8"/>
      <c r="V270" s="8"/>
      <c r="W270" s="8"/>
      <c r="X270" s="8"/>
      <c r="Y270" s="8"/>
      <c r="Z270" s="8"/>
    </row>
    <row r="271" ht="16.5" customHeight="1">
      <c r="A271" s="8"/>
      <c r="B271" s="27"/>
      <c r="C271" s="27"/>
      <c r="D271" s="27"/>
      <c r="E271" s="28"/>
      <c r="F271" s="31"/>
      <c r="G271" s="28"/>
      <c r="H271" s="157"/>
      <c r="I271" s="158"/>
      <c r="J271" s="27"/>
      <c r="K271" s="28"/>
      <c r="L271" s="28"/>
      <c r="M271" s="27"/>
      <c r="N271" s="31"/>
      <c r="O271" s="31"/>
      <c r="P271" s="8"/>
      <c r="Q271" s="8"/>
      <c r="R271" s="8"/>
      <c r="S271" s="8"/>
      <c r="T271" s="8"/>
      <c r="U271" s="8"/>
      <c r="V271" s="8"/>
      <c r="W271" s="8"/>
      <c r="X271" s="8"/>
      <c r="Y271" s="8"/>
      <c r="Z271" s="8"/>
    </row>
    <row r="272" ht="16.5" customHeight="1">
      <c r="A272" s="8"/>
      <c r="B272" s="27"/>
      <c r="C272" s="27"/>
      <c r="D272" s="27"/>
      <c r="E272" s="28"/>
      <c r="F272" s="31"/>
      <c r="G272" s="28"/>
      <c r="H272" s="157"/>
      <c r="I272" s="158"/>
      <c r="J272" s="27"/>
      <c r="K272" s="28"/>
      <c r="L272" s="28"/>
      <c r="M272" s="27"/>
      <c r="N272" s="31"/>
      <c r="O272" s="31"/>
      <c r="P272" s="8"/>
      <c r="Q272" s="8"/>
      <c r="R272" s="8"/>
      <c r="S272" s="8"/>
      <c r="T272" s="8"/>
      <c r="U272" s="8"/>
      <c r="V272" s="8"/>
      <c r="W272" s="8"/>
      <c r="X272" s="8"/>
      <c r="Y272" s="8"/>
      <c r="Z272" s="8"/>
    </row>
    <row r="273" ht="16.5" customHeight="1">
      <c r="A273" s="8"/>
      <c r="B273" s="27"/>
      <c r="C273" s="27"/>
      <c r="D273" s="27"/>
      <c r="E273" s="28"/>
      <c r="F273" s="31"/>
      <c r="G273" s="28"/>
      <c r="H273" s="157"/>
      <c r="I273" s="158"/>
      <c r="J273" s="27"/>
      <c r="K273" s="28"/>
      <c r="L273" s="28"/>
      <c r="M273" s="27"/>
      <c r="N273" s="31"/>
      <c r="O273" s="31"/>
      <c r="P273" s="8"/>
      <c r="Q273" s="8"/>
      <c r="R273" s="8"/>
      <c r="S273" s="8"/>
      <c r="T273" s="8"/>
      <c r="U273" s="8"/>
      <c r="V273" s="8"/>
      <c r="W273" s="8"/>
      <c r="X273" s="8"/>
      <c r="Y273" s="8"/>
      <c r="Z273" s="8"/>
    </row>
    <row r="274" ht="16.5" customHeight="1">
      <c r="A274" s="8"/>
      <c r="B274" s="27"/>
      <c r="C274" s="27"/>
      <c r="D274" s="27"/>
      <c r="E274" s="28"/>
      <c r="F274" s="31"/>
      <c r="G274" s="28"/>
      <c r="H274" s="157"/>
      <c r="I274" s="158"/>
      <c r="J274" s="27"/>
      <c r="K274" s="28"/>
      <c r="L274" s="28"/>
      <c r="M274" s="27"/>
      <c r="N274" s="31"/>
      <c r="O274" s="31"/>
      <c r="P274" s="8"/>
      <c r="Q274" s="8"/>
      <c r="R274" s="8"/>
      <c r="S274" s="8"/>
      <c r="T274" s="8"/>
      <c r="U274" s="8"/>
      <c r="V274" s="8"/>
      <c r="W274" s="8"/>
      <c r="X274" s="8"/>
      <c r="Y274" s="8"/>
      <c r="Z274" s="8"/>
    </row>
    <row r="275" ht="16.5" customHeight="1">
      <c r="A275" s="8"/>
      <c r="B275" s="27"/>
      <c r="C275" s="27"/>
      <c r="D275" s="27"/>
      <c r="E275" s="28"/>
      <c r="F275" s="31"/>
      <c r="G275" s="28"/>
      <c r="H275" s="157"/>
      <c r="I275" s="158"/>
      <c r="J275" s="27"/>
      <c r="K275" s="28"/>
      <c r="L275" s="28"/>
      <c r="M275" s="27"/>
      <c r="N275" s="31"/>
      <c r="O275" s="31"/>
      <c r="P275" s="8"/>
      <c r="Q275" s="8"/>
      <c r="R275" s="8"/>
      <c r="S275" s="8"/>
      <c r="T275" s="8"/>
      <c r="U275" s="8"/>
      <c r="V275" s="8"/>
      <c r="W275" s="8"/>
      <c r="X275" s="8"/>
      <c r="Y275" s="8"/>
      <c r="Z275" s="8"/>
    </row>
    <row r="276" ht="16.5" customHeight="1">
      <c r="A276" s="8"/>
      <c r="B276" s="27"/>
      <c r="C276" s="27"/>
      <c r="D276" s="27"/>
      <c r="E276" s="28"/>
      <c r="F276" s="31"/>
      <c r="G276" s="28"/>
      <c r="H276" s="157"/>
      <c r="I276" s="158"/>
      <c r="J276" s="27"/>
      <c r="K276" s="28"/>
      <c r="L276" s="28"/>
      <c r="M276" s="27"/>
      <c r="N276" s="31"/>
      <c r="O276" s="31"/>
      <c r="P276" s="8"/>
      <c r="Q276" s="8"/>
      <c r="R276" s="8"/>
      <c r="S276" s="8"/>
      <c r="T276" s="8"/>
      <c r="U276" s="8"/>
      <c r="V276" s="8"/>
      <c r="W276" s="8"/>
      <c r="X276" s="8"/>
      <c r="Y276" s="8"/>
      <c r="Z276" s="8"/>
    </row>
    <row r="277" ht="16.5" customHeight="1">
      <c r="A277" s="8"/>
      <c r="B277" s="27"/>
      <c r="C277" s="27"/>
      <c r="D277" s="27"/>
      <c r="E277" s="28"/>
      <c r="F277" s="31"/>
      <c r="G277" s="28"/>
      <c r="H277" s="157"/>
      <c r="I277" s="158"/>
      <c r="J277" s="27"/>
      <c r="K277" s="28"/>
      <c r="L277" s="28"/>
      <c r="M277" s="27"/>
      <c r="N277" s="31"/>
      <c r="O277" s="31"/>
      <c r="P277" s="8"/>
      <c r="Q277" s="8"/>
      <c r="R277" s="8"/>
      <c r="S277" s="8"/>
      <c r="T277" s="8"/>
      <c r="U277" s="8"/>
      <c r="V277" s="8"/>
      <c r="W277" s="8"/>
      <c r="X277" s="8"/>
      <c r="Y277" s="8"/>
      <c r="Z277" s="8"/>
    </row>
    <row r="278" ht="16.5" customHeight="1">
      <c r="A278" s="8"/>
      <c r="B278" s="27"/>
      <c r="C278" s="27"/>
      <c r="D278" s="27"/>
      <c r="E278" s="28"/>
      <c r="F278" s="31"/>
      <c r="G278" s="28"/>
      <c r="H278" s="157"/>
      <c r="I278" s="158"/>
      <c r="J278" s="27"/>
      <c r="K278" s="28"/>
      <c r="L278" s="28"/>
      <c r="M278" s="27"/>
      <c r="N278" s="31"/>
      <c r="O278" s="31"/>
      <c r="P278" s="8"/>
      <c r="Q278" s="8"/>
      <c r="R278" s="8"/>
      <c r="S278" s="8"/>
      <c r="T278" s="8"/>
      <c r="U278" s="8"/>
      <c r="V278" s="8"/>
      <c r="W278" s="8"/>
      <c r="X278" s="8"/>
      <c r="Y278" s="8"/>
      <c r="Z278" s="8"/>
    </row>
    <row r="279" ht="16.5" customHeight="1">
      <c r="A279" s="8"/>
      <c r="B279" s="27"/>
      <c r="C279" s="27"/>
      <c r="D279" s="27"/>
      <c r="E279" s="28"/>
      <c r="F279" s="31"/>
      <c r="G279" s="28"/>
      <c r="H279" s="157"/>
      <c r="I279" s="158"/>
      <c r="J279" s="27"/>
      <c r="K279" s="28"/>
      <c r="L279" s="28"/>
      <c r="M279" s="27"/>
      <c r="N279" s="31"/>
      <c r="O279" s="31"/>
      <c r="P279" s="8"/>
      <c r="Q279" s="8"/>
      <c r="R279" s="8"/>
      <c r="S279" s="8"/>
      <c r="T279" s="8"/>
      <c r="U279" s="8"/>
      <c r="V279" s="8"/>
      <c r="W279" s="8"/>
      <c r="X279" s="8"/>
      <c r="Y279" s="8"/>
      <c r="Z279" s="8"/>
    </row>
    <row r="280" ht="16.5" customHeight="1">
      <c r="A280" s="8"/>
      <c r="B280" s="27"/>
      <c r="C280" s="27"/>
      <c r="D280" s="27"/>
      <c r="E280" s="28"/>
      <c r="F280" s="31"/>
      <c r="G280" s="28"/>
      <c r="H280" s="157"/>
      <c r="I280" s="158"/>
      <c r="J280" s="27"/>
      <c r="K280" s="28"/>
      <c r="L280" s="28"/>
      <c r="M280" s="27"/>
      <c r="N280" s="31"/>
      <c r="O280" s="31"/>
      <c r="P280" s="8"/>
      <c r="Q280" s="8"/>
      <c r="R280" s="8"/>
      <c r="S280" s="8"/>
      <c r="T280" s="8"/>
      <c r="U280" s="8"/>
      <c r="V280" s="8"/>
      <c r="W280" s="8"/>
      <c r="X280" s="8"/>
      <c r="Y280" s="8"/>
      <c r="Z280" s="8"/>
    </row>
    <row r="281" ht="16.5" customHeight="1">
      <c r="A281" s="8"/>
      <c r="B281" s="27"/>
      <c r="C281" s="27"/>
      <c r="D281" s="27"/>
      <c r="E281" s="28"/>
      <c r="F281" s="31"/>
      <c r="G281" s="28"/>
      <c r="H281" s="157"/>
      <c r="I281" s="158"/>
      <c r="J281" s="27"/>
      <c r="K281" s="28"/>
      <c r="L281" s="28"/>
      <c r="M281" s="27"/>
      <c r="N281" s="31"/>
      <c r="O281" s="31"/>
      <c r="P281" s="8"/>
      <c r="Q281" s="8"/>
      <c r="R281" s="8"/>
      <c r="S281" s="8"/>
      <c r="T281" s="8"/>
      <c r="U281" s="8"/>
      <c r="V281" s="8"/>
      <c r="W281" s="8"/>
      <c r="X281" s="8"/>
      <c r="Y281" s="8"/>
      <c r="Z281" s="8"/>
    </row>
    <row r="282" ht="16.5" customHeight="1">
      <c r="A282" s="8"/>
      <c r="B282" s="27"/>
      <c r="C282" s="27"/>
      <c r="D282" s="27"/>
      <c r="E282" s="28"/>
      <c r="F282" s="31"/>
      <c r="G282" s="28"/>
      <c r="H282" s="157"/>
      <c r="I282" s="158"/>
      <c r="J282" s="27"/>
      <c r="K282" s="28"/>
      <c r="L282" s="28"/>
      <c r="M282" s="27"/>
      <c r="N282" s="31"/>
      <c r="O282" s="31"/>
      <c r="P282" s="8"/>
      <c r="Q282" s="8"/>
      <c r="R282" s="8"/>
      <c r="S282" s="8"/>
      <c r="T282" s="8"/>
      <c r="U282" s="8"/>
      <c r="V282" s="8"/>
      <c r="W282" s="8"/>
      <c r="X282" s="8"/>
      <c r="Y282" s="8"/>
      <c r="Z282" s="8"/>
    </row>
    <row r="283" ht="16.5" customHeight="1">
      <c r="A283" s="8"/>
      <c r="B283" s="27"/>
      <c r="C283" s="27"/>
      <c r="D283" s="27"/>
      <c r="E283" s="28"/>
      <c r="F283" s="31"/>
      <c r="G283" s="28"/>
      <c r="H283" s="157"/>
      <c r="I283" s="158"/>
      <c r="J283" s="27"/>
      <c r="K283" s="28"/>
      <c r="L283" s="28"/>
      <c r="M283" s="27"/>
      <c r="N283" s="31"/>
      <c r="O283" s="31"/>
      <c r="P283" s="8"/>
      <c r="Q283" s="8"/>
      <c r="R283" s="8"/>
      <c r="S283" s="8"/>
      <c r="T283" s="8"/>
      <c r="U283" s="8"/>
      <c r="V283" s="8"/>
      <c r="W283" s="8"/>
      <c r="X283" s="8"/>
      <c r="Y283" s="8"/>
      <c r="Z283" s="8"/>
    </row>
    <row r="284" ht="16.5" customHeight="1">
      <c r="A284" s="8"/>
      <c r="B284" s="27"/>
      <c r="C284" s="27"/>
      <c r="D284" s="27"/>
      <c r="E284" s="28"/>
      <c r="F284" s="31"/>
      <c r="G284" s="28"/>
      <c r="H284" s="157"/>
      <c r="I284" s="158"/>
      <c r="J284" s="27"/>
      <c r="K284" s="28"/>
      <c r="L284" s="28"/>
      <c r="M284" s="27"/>
      <c r="N284" s="31"/>
      <c r="O284" s="31"/>
      <c r="P284" s="8"/>
      <c r="Q284" s="8"/>
      <c r="R284" s="8"/>
      <c r="S284" s="8"/>
      <c r="T284" s="8"/>
      <c r="U284" s="8"/>
      <c r="V284" s="8"/>
      <c r="W284" s="8"/>
      <c r="X284" s="8"/>
      <c r="Y284" s="8"/>
      <c r="Z284" s="8"/>
    </row>
    <row r="285" ht="16.5" customHeight="1">
      <c r="A285" s="8"/>
      <c r="B285" s="27"/>
      <c r="C285" s="27"/>
      <c r="D285" s="27"/>
      <c r="E285" s="28"/>
      <c r="F285" s="31"/>
      <c r="G285" s="28"/>
      <c r="H285" s="157"/>
      <c r="I285" s="158"/>
      <c r="J285" s="27"/>
      <c r="K285" s="28"/>
      <c r="L285" s="28"/>
      <c r="M285" s="27"/>
      <c r="N285" s="31"/>
      <c r="O285" s="31"/>
      <c r="P285" s="8"/>
      <c r="Q285" s="8"/>
      <c r="R285" s="8"/>
      <c r="S285" s="8"/>
      <c r="T285" s="8"/>
      <c r="U285" s="8"/>
      <c r="V285" s="8"/>
      <c r="W285" s="8"/>
      <c r="X285" s="8"/>
      <c r="Y285" s="8"/>
      <c r="Z285" s="8"/>
    </row>
    <row r="286" ht="16.5" customHeight="1">
      <c r="A286" s="8"/>
      <c r="B286" s="27"/>
      <c r="C286" s="27"/>
      <c r="D286" s="27"/>
      <c r="E286" s="28"/>
      <c r="F286" s="31"/>
      <c r="G286" s="28"/>
      <c r="H286" s="157"/>
      <c r="I286" s="158"/>
      <c r="J286" s="27"/>
      <c r="K286" s="28"/>
      <c r="L286" s="28"/>
      <c r="M286" s="27"/>
      <c r="N286" s="31"/>
      <c r="O286" s="31"/>
      <c r="P286" s="8"/>
      <c r="Q286" s="8"/>
      <c r="R286" s="8"/>
      <c r="S286" s="8"/>
      <c r="T286" s="8"/>
      <c r="U286" s="8"/>
      <c r="V286" s="8"/>
      <c r="W286" s="8"/>
      <c r="X286" s="8"/>
      <c r="Y286" s="8"/>
      <c r="Z286" s="8"/>
    </row>
    <row r="287" ht="16.5" customHeight="1">
      <c r="A287" s="8"/>
      <c r="B287" s="27"/>
      <c r="C287" s="27"/>
      <c r="D287" s="27"/>
      <c r="E287" s="28"/>
      <c r="F287" s="31"/>
      <c r="G287" s="28"/>
      <c r="H287" s="157"/>
      <c r="I287" s="158"/>
      <c r="J287" s="27"/>
      <c r="K287" s="28"/>
      <c r="L287" s="28"/>
      <c r="M287" s="27"/>
      <c r="N287" s="31"/>
      <c r="O287" s="31"/>
      <c r="P287" s="8"/>
      <c r="Q287" s="8"/>
      <c r="R287" s="8"/>
      <c r="S287" s="8"/>
      <c r="T287" s="8"/>
      <c r="U287" s="8"/>
      <c r="V287" s="8"/>
      <c r="W287" s="8"/>
      <c r="X287" s="8"/>
      <c r="Y287" s="8"/>
      <c r="Z287" s="8"/>
    </row>
    <row r="288" ht="16.5" customHeight="1">
      <c r="A288" s="8"/>
      <c r="B288" s="27"/>
      <c r="C288" s="27"/>
      <c r="D288" s="27"/>
      <c r="E288" s="28"/>
      <c r="F288" s="31"/>
      <c r="G288" s="28"/>
      <c r="H288" s="157"/>
      <c r="I288" s="158"/>
      <c r="J288" s="27"/>
      <c r="K288" s="28"/>
      <c r="L288" s="28"/>
      <c r="M288" s="27"/>
      <c r="N288" s="31"/>
      <c r="O288" s="31"/>
      <c r="P288" s="8"/>
      <c r="Q288" s="8"/>
      <c r="R288" s="8"/>
      <c r="S288" s="8"/>
      <c r="T288" s="8"/>
      <c r="U288" s="8"/>
      <c r="V288" s="8"/>
      <c r="W288" s="8"/>
      <c r="X288" s="8"/>
      <c r="Y288" s="8"/>
      <c r="Z288" s="8"/>
    </row>
    <row r="289" ht="16.5" customHeight="1">
      <c r="A289" s="8"/>
      <c r="B289" s="27"/>
      <c r="C289" s="27"/>
      <c r="D289" s="27"/>
      <c r="E289" s="28"/>
      <c r="F289" s="31"/>
      <c r="G289" s="28"/>
      <c r="H289" s="157"/>
      <c r="I289" s="158"/>
      <c r="J289" s="27"/>
      <c r="K289" s="28"/>
      <c r="L289" s="28"/>
      <c r="M289" s="27"/>
      <c r="N289" s="31"/>
      <c r="O289" s="31"/>
      <c r="P289" s="8"/>
      <c r="Q289" s="8"/>
      <c r="R289" s="8"/>
      <c r="S289" s="8"/>
      <c r="T289" s="8"/>
      <c r="U289" s="8"/>
      <c r="V289" s="8"/>
      <c r="W289" s="8"/>
      <c r="X289" s="8"/>
      <c r="Y289" s="8"/>
      <c r="Z289" s="8"/>
    </row>
    <row r="290" ht="16.5" customHeight="1">
      <c r="A290" s="8"/>
      <c r="B290" s="27"/>
      <c r="C290" s="27"/>
      <c r="D290" s="27"/>
      <c r="E290" s="28"/>
      <c r="F290" s="31"/>
      <c r="G290" s="28"/>
      <c r="H290" s="157"/>
      <c r="I290" s="158"/>
      <c r="J290" s="27"/>
      <c r="K290" s="28"/>
      <c r="L290" s="28"/>
      <c r="M290" s="27"/>
      <c r="N290" s="31"/>
      <c r="O290" s="31"/>
      <c r="P290" s="8"/>
      <c r="Q290" s="8"/>
      <c r="R290" s="8"/>
      <c r="S290" s="8"/>
      <c r="T290" s="8"/>
      <c r="U290" s="8"/>
      <c r="V290" s="8"/>
      <c r="W290" s="8"/>
      <c r="X290" s="8"/>
      <c r="Y290" s="8"/>
      <c r="Z290" s="8"/>
    </row>
    <row r="291" ht="16.5" customHeight="1">
      <c r="A291" s="8"/>
      <c r="B291" s="27"/>
      <c r="C291" s="27"/>
      <c r="D291" s="27"/>
      <c r="E291" s="28"/>
      <c r="F291" s="31"/>
      <c r="G291" s="28"/>
      <c r="H291" s="157"/>
      <c r="I291" s="158"/>
      <c r="J291" s="27"/>
      <c r="K291" s="28"/>
      <c r="L291" s="28"/>
      <c r="M291" s="27"/>
      <c r="N291" s="31"/>
      <c r="O291" s="31"/>
      <c r="P291" s="8"/>
      <c r="Q291" s="8"/>
      <c r="R291" s="8"/>
      <c r="S291" s="8"/>
      <c r="T291" s="8"/>
      <c r="U291" s="8"/>
      <c r="V291" s="8"/>
      <c r="W291" s="8"/>
      <c r="X291" s="8"/>
      <c r="Y291" s="8"/>
      <c r="Z291" s="8"/>
    </row>
    <row r="292" ht="16.5" customHeight="1">
      <c r="A292" s="8"/>
      <c r="B292" s="27"/>
      <c r="C292" s="27"/>
      <c r="D292" s="27"/>
      <c r="E292" s="28"/>
      <c r="F292" s="31"/>
      <c r="G292" s="28"/>
      <c r="H292" s="157"/>
      <c r="I292" s="158"/>
      <c r="J292" s="27"/>
      <c r="K292" s="28"/>
      <c r="L292" s="28"/>
      <c r="M292" s="27"/>
      <c r="N292" s="31"/>
      <c r="O292" s="31"/>
      <c r="P292" s="8"/>
      <c r="Q292" s="8"/>
      <c r="R292" s="8"/>
      <c r="S292" s="8"/>
      <c r="T292" s="8"/>
      <c r="U292" s="8"/>
      <c r="V292" s="8"/>
      <c r="W292" s="8"/>
      <c r="X292" s="8"/>
      <c r="Y292" s="8"/>
      <c r="Z292" s="8"/>
    </row>
    <row r="293" ht="16.5" customHeight="1">
      <c r="A293" s="8"/>
      <c r="B293" s="27"/>
      <c r="C293" s="27"/>
      <c r="D293" s="27"/>
      <c r="E293" s="28"/>
      <c r="F293" s="31"/>
      <c r="G293" s="28"/>
      <c r="H293" s="157"/>
      <c r="I293" s="158"/>
      <c r="J293" s="27"/>
      <c r="K293" s="28"/>
      <c r="L293" s="28"/>
      <c r="M293" s="27"/>
      <c r="N293" s="31"/>
      <c r="O293" s="31"/>
      <c r="P293" s="8"/>
      <c r="Q293" s="8"/>
      <c r="R293" s="8"/>
      <c r="S293" s="8"/>
      <c r="T293" s="8"/>
      <c r="U293" s="8"/>
      <c r="V293" s="8"/>
      <c r="W293" s="8"/>
      <c r="X293" s="8"/>
      <c r="Y293" s="8"/>
      <c r="Z293" s="8"/>
    </row>
    <row r="294" ht="16.5" customHeight="1">
      <c r="A294" s="8"/>
      <c r="B294" s="27"/>
      <c r="C294" s="27"/>
      <c r="D294" s="27"/>
      <c r="E294" s="28"/>
      <c r="F294" s="31"/>
      <c r="G294" s="28"/>
      <c r="H294" s="157"/>
      <c r="I294" s="158"/>
      <c r="J294" s="27"/>
      <c r="K294" s="28"/>
      <c r="L294" s="28"/>
      <c r="M294" s="27"/>
      <c r="N294" s="31"/>
      <c r="O294" s="31"/>
      <c r="P294" s="8"/>
      <c r="Q294" s="8"/>
      <c r="R294" s="8"/>
      <c r="S294" s="8"/>
      <c r="T294" s="8"/>
      <c r="U294" s="8"/>
      <c r="V294" s="8"/>
      <c r="W294" s="8"/>
      <c r="X294" s="8"/>
      <c r="Y294" s="8"/>
      <c r="Z294" s="8"/>
    </row>
    <row r="295" ht="16.5" customHeight="1">
      <c r="A295" s="8"/>
      <c r="B295" s="27"/>
      <c r="C295" s="27"/>
      <c r="D295" s="27"/>
      <c r="E295" s="28"/>
      <c r="F295" s="31"/>
      <c r="G295" s="28"/>
      <c r="H295" s="157"/>
      <c r="I295" s="158"/>
      <c r="J295" s="27"/>
      <c r="K295" s="28"/>
      <c r="L295" s="28"/>
      <c r="M295" s="27"/>
      <c r="N295" s="31"/>
      <c r="O295" s="31"/>
      <c r="P295" s="8"/>
      <c r="Q295" s="8"/>
      <c r="R295" s="8"/>
      <c r="S295" s="8"/>
      <c r="T295" s="8"/>
      <c r="U295" s="8"/>
      <c r="V295" s="8"/>
      <c r="W295" s="8"/>
      <c r="X295" s="8"/>
      <c r="Y295" s="8"/>
      <c r="Z295" s="8"/>
    </row>
    <row r="296" ht="16.5" customHeight="1">
      <c r="A296" s="8"/>
      <c r="B296" s="27"/>
      <c r="C296" s="27"/>
      <c r="D296" s="27"/>
      <c r="E296" s="28"/>
      <c r="F296" s="31"/>
      <c r="G296" s="28"/>
      <c r="H296" s="157"/>
      <c r="I296" s="158"/>
      <c r="J296" s="27"/>
      <c r="K296" s="28"/>
      <c r="L296" s="28"/>
      <c r="M296" s="27"/>
      <c r="N296" s="31"/>
      <c r="O296" s="31"/>
      <c r="P296" s="8"/>
      <c r="Q296" s="8"/>
      <c r="R296" s="8"/>
      <c r="S296" s="8"/>
      <c r="T296" s="8"/>
      <c r="U296" s="8"/>
      <c r="V296" s="8"/>
      <c r="W296" s="8"/>
      <c r="X296" s="8"/>
      <c r="Y296" s="8"/>
      <c r="Z296" s="8"/>
    </row>
    <row r="297" ht="16.5" customHeight="1">
      <c r="A297" s="8"/>
      <c r="B297" s="27"/>
      <c r="C297" s="27"/>
      <c r="D297" s="27"/>
      <c r="E297" s="28"/>
      <c r="F297" s="31"/>
      <c r="G297" s="28"/>
      <c r="H297" s="157"/>
      <c r="I297" s="158"/>
      <c r="J297" s="27"/>
      <c r="K297" s="28"/>
      <c r="L297" s="28"/>
      <c r="M297" s="27"/>
      <c r="N297" s="31"/>
      <c r="O297" s="31"/>
      <c r="P297" s="8"/>
      <c r="Q297" s="8"/>
      <c r="R297" s="8"/>
      <c r="S297" s="8"/>
      <c r="T297" s="8"/>
      <c r="U297" s="8"/>
      <c r="V297" s="8"/>
      <c r="W297" s="8"/>
      <c r="X297" s="8"/>
      <c r="Y297" s="8"/>
      <c r="Z297" s="8"/>
    </row>
    <row r="298" ht="16.5" customHeight="1">
      <c r="A298" s="8"/>
      <c r="B298" s="27"/>
      <c r="C298" s="27"/>
      <c r="D298" s="27"/>
      <c r="E298" s="28"/>
      <c r="F298" s="31"/>
      <c r="G298" s="28"/>
      <c r="H298" s="157"/>
      <c r="I298" s="158"/>
      <c r="J298" s="27"/>
      <c r="K298" s="28"/>
      <c r="L298" s="28"/>
      <c r="M298" s="27"/>
      <c r="N298" s="31"/>
      <c r="O298" s="31"/>
      <c r="P298" s="8"/>
      <c r="Q298" s="8"/>
      <c r="R298" s="8"/>
      <c r="S298" s="8"/>
      <c r="T298" s="8"/>
      <c r="U298" s="8"/>
      <c r="V298" s="8"/>
      <c r="W298" s="8"/>
      <c r="X298" s="8"/>
      <c r="Y298" s="8"/>
      <c r="Z298" s="8"/>
    </row>
    <row r="299" ht="16.5" customHeight="1">
      <c r="A299" s="8"/>
      <c r="B299" s="27"/>
      <c r="C299" s="27"/>
      <c r="D299" s="27"/>
      <c r="E299" s="28"/>
      <c r="F299" s="31"/>
      <c r="G299" s="28"/>
      <c r="H299" s="157"/>
      <c r="I299" s="158"/>
      <c r="J299" s="27"/>
      <c r="K299" s="28"/>
      <c r="L299" s="28"/>
      <c r="M299" s="27"/>
      <c r="N299" s="31"/>
      <c r="O299" s="31"/>
      <c r="P299" s="8"/>
      <c r="Q299" s="8"/>
      <c r="R299" s="8"/>
      <c r="S299" s="8"/>
      <c r="T299" s="8"/>
      <c r="U299" s="8"/>
      <c r="V299" s="8"/>
      <c r="W299" s="8"/>
      <c r="X299" s="8"/>
      <c r="Y299" s="8"/>
      <c r="Z299" s="8"/>
    </row>
    <row r="300" ht="16.5" customHeight="1">
      <c r="A300" s="8"/>
      <c r="B300" s="27"/>
      <c r="C300" s="27"/>
      <c r="D300" s="27"/>
      <c r="E300" s="28"/>
      <c r="F300" s="31"/>
      <c r="G300" s="28"/>
      <c r="H300" s="157"/>
      <c r="I300" s="158"/>
      <c r="J300" s="27"/>
      <c r="K300" s="28"/>
      <c r="L300" s="28"/>
      <c r="M300" s="27"/>
      <c r="N300" s="31"/>
      <c r="O300" s="31"/>
      <c r="P300" s="8"/>
      <c r="Q300" s="8"/>
      <c r="R300" s="8"/>
      <c r="S300" s="8"/>
      <c r="T300" s="8"/>
      <c r="U300" s="8"/>
      <c r="V300" s="8"/>
      <c r="W300" s="8"/>
      <c r="X300" s="8"/>
      <c r="Y300" s="8"/>
      <c r="Z300" s="8"/>
    </row>
    <row r="301" ht="16.5" customHeight="1">
      <c r="A301" s="8"/>
      <c r="B301" s="27"/>
      <c r="C301" s="27"/>
      <c r="D301" s="27"/>
      <c r="E301" s="28"/>
      <c r="F301" s="31"/>
      <c r="G301" s="28"/>
      <c r="H301" s="157"/>
      <c r="I301" s="158"/>
      <c r="J301" s="27"/>
      <c r="K301" s="28"/>
      <c r="L301" s="28"/>
      <c r="M301" s="27"/>
      <c r="N301" s="31"/>
      <c r="O301" s="31"/>
      <c r="P301" s="8"/>
      <c r="Q301" s="8"/>
      <c r="R301" s="8"/>
      <c r="S301" s="8"/>
      <c r="T301" s="8"/>
      <c r="U301" s="8"/>
      <c r="V301" s="8"/>
      <c r="W301" s="8"/>
      <c r="X301" s="8"/>
      <c r="Y301" s="8"/>
      <c r="Z301" s="8"/>
    </row>
    <row r="302" ht="16.5" customHeight="1">
      <c r="A302" s="8"/>
      <c r="B302" s="27"/>
      <c r="C302" s="27"/>
      <c r="D302" s="27"/>
      <c r="E302" s="28"/>
      <c r="F302" s="31"/>
      <c r="G302" s="28"/>
      <c r="H302" s="157"/>
      <c r="I302" s="158"/>
      <c r="J302" s="27"/>
      <c r="K302" s="28"/>
      <c r="L302" s="28"/>
      <c r="M302" s="27"/>
      <c r="N302" s="31"/>
      <c r="O302" s="31"/>
      <c r="P302" s="8"/>
      <c r="Q302" s="8"/>
      <c r="R302" s="8"/>
      <c r="S302" s="8"/>
      <c r="T302" s="8"/>
      <c r="U302" s="8"/>
      <c r="V302" s="8"/>
      <c r="W302" s="8"/>
      <c r="X302" s="8"/>
      <c r="Y302" s="8"/>
      <c r="Z302" s="8"/>
    </row>
    <row r="303" ht="16.5" customHeight="1">
      <c r="A303" s="8"/>
      <c r="B303" s="27"/>
      <c r="C303" s="27"/>
      <c r="D303" s="27"/>
      <c r="E303" s="28"/>
      <c r="F303" s="31"/>
      <c r="G303" s="28"/>
      <c r="H303" s="157"/>
      <c r="I303" s="158"/>
      <c r="J303" s="27"/>
      <c r="K303" s="28"/>
      <c r="L303" s="28"/>
      <c r="M303" s="27"/>
      <c r="N303" s="31"/>
      <c r="O303" s="31"/>
      <c r="P303" s="8"/>
      <c r="Q303" s="8"/>
      <c r="R303" s="8"/>
      <c r="S303" s="8"/>
      <c r="T303" s="8"/>
      <c r="U303" s="8"/>
      <c r="V303" s="8"/>
      <c r="W303" s="8"/>
      <c r="X303" s="8"/>
      <c r="Y303" s="8"/>
      <c r="Z303" s="8"/>
    </row>
    <row r="304" ht="16.5" customHeight="1">
      <c r="A304" s="8"/>
      <c r="B304" s="27"/>
      <c r="C304" s="27"/>
      <c r="D304" s="27"/>
      <c r="E304" s="28"/>
      <c r="F304" s="31"/>
      <c r="G304" s="28"/>
      <c r="H304" s="157"/>
      <c r="I304" s="158"/>
      <c r="J304" s="27"/>
      <c r="K304" s="28"/>
      <c r="L304" s="28"/>
      <c r="M304" s="27"/>
      <c r="N304" s="31"/>
      <c r="O304" s="31"/>
      <c r="P304" s="8"/>
      <c r="Q304" s="8"/>
      <c r="R304" s="8"/>
      <c r="S304" s="8"/>
      <c r="T304" s="8"/>
      <c r="U304" s="8"/>
      <c r="V304" s="8"/>
      <c r="W304" s="8"/>
      <c r="X304" s="8"/>
      <c r="Y304" s="8"/>
      <c r="Z304" s="8"/>
    </row>
    <row r="305" ht="16.5" customHeight="1">
      <c r="A305" s="8"/>
      <c r="B305" s="27"/>
      <c r="C305" s="27"/>
      <c r="D305" s="27"/>
      <c r="E305" s="28"/>
      <c r="F305" s="31"/>
      <c r="G305" s="28"/>
      <c r="H305" s="157"/>
      <c r="I305" s="158"/>
      <c r="J305" s="27"/>
      <c r="K305" s="28"/>
      <c r="L305" s="28"/>
      <c r="M305" s="27"/>
      <c r="N305" s="31"/>
      <c r="O305" s="31"/>
      <c r="P305" s="8"/>
      <c r="Q305" s="8"/>
      <c r="R305" s="8"/>
      <c r="S305" s="8"/>
      <c r="T305" s="8"/>
      <c r="U305" s="8"/>
      <c r="V305" s="8"/>
      <c r="W305" s="8"/>
      <c r="X305" s="8"/>
      <c r="Y305" s="8"/>
      <c r="Z305" s="8"/>
    </row>
    <row r="306" ht="16.5" customHeight="1">
      <c r="A306" s="8"/>
      <c r="B306" s="27"/>
      <c r="C306" s="27"/>
      <c r="D306" s="27"/>
      <c r="E306" s="28"/>
      <c r="F306" s="31"/>
      <c r="G306" s="28"/>
      <c r="H306" s="157"/>
      <c r="I306" s="158"/>
      <c r="J306" s="27"/>
      <c r="K306" s="28"/>
      <c r="L306" s="28"/>
      <c r="M306" s="27"/>
      <c r="N306" s="31"/>
      <c r="O306" s="31"/>
      <c r="P306" s="8"/>
      <c r="Q306" s="8"/>
      <c r="R306" s="8"/>
      <c r="S306" s="8"/>
      <c r="T306" s="8"/>
      <c r="U306" s="8"/>
      <c r="V306" s="8"/>
      <c r="W306" s="8"/>
      <c r="X306" s="8"/>
      <c r="Y306" s="8"/>
      <c r="Z306" s="8"/>
    </row>
    <row r="307" ht="16.5" customHeight="1">
      <c r="A307" s="8"/>
      <c r="B307" s="27"/>
      <c r="C307" s="27"/>
      <c r="D307" s="27"/>
      <c r="E307" s="28"/>
      <c r="F307" s="31"/>
      <c r="G307" s="28"/>
      <c r="H307" s="157"/>
      <c r="I307" s="158"/>
      <c r="J307" s="27"/>
      <c r="K307" s="28"/>
      <c r="L307" s="28"/>
      <c r="M307" s="27"/>
      <c r="N307" s="31"/>
      <c r="O307" s="31"/>
      <c r="P307" s="8"/>
      <c r="Q307" s="8"/>
      <c r="R307" s="8"/>
      <c r="S307" s="8"/>
      <c r="T307" s="8"/>
      <c r="U307" s="8"/>
      <c r="V307" s="8"/>
      <c r="W307" s="8"/>
      <c r="X307" s="8"/>
      <c r="Y307" s="8"/>
      <c r="Z307" s="8"/>
    </row>
    <row r="308" ht="16.5" customHeight="1">
      <c r="A308" s="8"/>
      <c r="B308" s="27"/>
      <c r="C308" s="27"/>
      <c r="D308" s="27"/>
      <c r="E308" s="28"/>
      <c r="F308" s="31"/>
      <c r="G308" s="28"/>
      <c r="H308" s="157"/>
      <c r="I308" s="158"/>
      <c r="J308" s="27"/>
      <c r="K308" s="28"/>
      <c r="L308" s="28"/>
      <c r="M308" s="27"/>
      <c r="N308" s="31"/>
      <c r="O308" s="31"/>
      <c r="P308" s="8"/>
      <c r="Q308" s="8"/>
      <c r="R308" s="8"/>
      <c r="S308" s="8"/>
      <c r="T308" s="8"/>
      <c r="U308" s="8"/>
      <c r="V308" s="8"/>
      <c r="W308" s="8"/>
      <c r="X308" s="8"/>
      <c r="Y308" s="8"/>
      <c r="Z308" s="8"/>
    </row>
    <row r="309" ht="16.5" customHeight="1">
      <c r="A309" s="8"/>
      <c r="B309" s="27"/>
      <c r="C309" s="27"/>
      <c r="D309" s="27"/>
      <c r="E309" s="28"/>
      <c r="F309" s="31"/>
      <c r="G309" s="28"/>
      <c r="H309" s="157"/>
      <c r="I309" s="158"/>
      <c r="J309" s="27"/>
      <c r="K309" s="28"/>
      <c r="L309" s="28"/>
      <c r="M309" s="27"/>
      <c r="N309" s="31"/>
      <c r="O309" s="31"/>
      <c r="P309" s="8"/>
      <c r="Q309" s="8"/>
      <c r="R309" s="8"/>
      <c r="S309" s="8"/>
      <c r="T309" s="8"/>
      <c r="U309" s="8"/>
      <c r="V309" s="8"/>
      <c r="W309" s="8"/>
      <c r="X309" s="8"/>
      <c r="Y309" s="8"/>
      <c r="Z309" s="8"/>
    </row>
    <row r="310" ht="16.5" customHeight="1">
      <c r="A310" s="8"/>
      <c r="B310" s="27"/>
      <c r="C310" s="27"/>
      <c r="D310" s="27"/>
      <c r="E310" s="28"/>
      <c r="F310" s="31"/>
      <c r="G310" s="28"/>
      <c r="H310" s="157"/>
      <c r="I310" s="158"/>
      <c r="J310" s="27"/>
      <c r="K310" s="28"/>
      <c r="L310" s="28"/>
      <c r="M310" s="27"/>
      <c r="N310" s="31"/>
      <c r="O310" s="31"/>
      <c r="P310" s="8"/>
      <c r="Q310" s="8"/>
      <c r="R310" s="8"/>
      <c r="S310" s="8"/>
      <c r="T310" s="8"/>
      <c r="U310" s="8"/>
      <c r="V310" s="8"/>
      <c r="W310" s="8"/>
      <c r="X310" s="8"/>
      <c r="Y310" s="8"/>
      <c r="Z310" s="8"/>
    </row>
    <row r="311" ht="16.5" customHeight="1">
      <c r="A311" s="8"/>
      <c r="B311" s="27"/>
      <c r="C311" s="27"/>
      <c r="D311" s="27"/>
      <c r="E311" s="28"/>
      <c r="F311" s="31"/>
      <c r="G311" s="28"/>
      <c r="H311" s="157"/>
      <c r="I311" s="158"/>
      <c r="J311" s="27"/>
      <c r="K311" s="28"/>
      <c r="L311" s="28"/>
      <c r="M311" s="27"/>
      <c r="N311" s="31"/>
      <c r="O311" s="31"/>
      <c r="P311" s="8"/>
      <c r="Q311" s="8"/>
      <c r="R311" s="8"/>
      <c r="S311" s="8"/>
      <c r="T311" s="8"/>
      <c r="U311" s="8"/>
      <c r="V311" s="8"/>
      <c r="W311" s="8"/>
      <c r="X311" s="8"/>
      <c r="Y311" s="8"/>
      <c r="Z311" s="8"/>
    </row>
    <row r="312" ht="16.5" customHeight="1">
      <c r="A312" s="8"/>
      <c r="B312" s="27"/>
      <c r="C312" s="27"/>
      <c r="D312" s="27"/>
      <c r="E312" s="28"/>
      <c r="F312" s="31"/>
      <c r="G312" s="28"/>
      <c r="H312" s="157"/>
      <c r="I312" s="158"/>
      <c r="J312" s="27"/>
      <c r="K312" s="28"/>
      <c r="L312" s="28"/>
      <c r="M312" s="27"/>
      <c r="N312" s="31"/>
      <c r="O312" s="31"/>
      <c r="P312" s="8"/>
      <c r="Q312" s="8"/>
      <c r="R312" s="8"/>
      <c r="S312" s="8"/>
      <c r="T312" s="8"/>
      <c r="U312" s="8"/>
      <c r="V312" s="8"/>
      <c r="W312" s="8"/>
      <c r="X312" s="8"/>
      <c r="Y312" s="8"/>
      <c r="Z312" s="8"/>
    </row>
    <row r="313" ht="16.5" customHeight="1">
      <c r="A313" s="8"/>
      <c r="B313" s="27"/>
      <c r="C313" s="27"/>
      <c r="D313" s="27"/>
      <c r="E313" s="28"/>
      <c r="F313" s="31"/>
      <c r="G313" s="28"/>
      <c r="H313" s="157"/>
      <c r="I313" s="158"/>
      <c r="J313" s="27"/>
      <c r="K313" s="28"/>
      <c r="L313" s="28"/>
      <c r="M313" s="27"/>
      <c r="N313" s="31"/>
      <c r="O313" s="31"/>
      <c r="P313" s="8"/>
      <c r="Q313" s="8"/>
      <c r="R313" s="8"/>
      <c r="S313" s="8"/>
      <c r="T313" s="8"/>
      <c r="U313" s="8"/>
      <c r="V313" s="8"/>
      <c r="W313" s="8"/>
      <c r="X313" s="8"/>
      <c r="Y313" s="8"/>
      <c r="Z313" s="8"/>
    </row>
    <row r="314" ht="16.5" customHeight="1">
      <c r="A314" s="8"/>
      <c r="B314" s="27"/>
      <c r="C314" s="27"/>
      <c r="D314" s="27"/>
      <c r="E314" s="28"/>
      <c r="F314" s="31"/>
      <c r="G314" s="28"/>
      <c r="H314" s="157"/>
      <c r="I314" s="158"/>
      <c r="J314" s="27"/>
      <c r="K314" s="28"/>
      <c r="L314" s="28"/>
      <c r="M314" s="27"/>
      <c r="N314" s="31"/>
      <c r="O314" s="31"/>
      <c r="P314" s="8"/>
      <c r="Q314" s="8"/>
      <c r="R314" s="8"/>
      <c r="S314" s="8"/>
      <c r="T314" s="8"/>
      <c r="U314" s="8"/>
      <c r="V314" s="8"/>
      <c r="W314" s="8"/>
      <c r="X314" s="8"/>
      <c r="Y314" s="8"/>
      <c r="Z314" s="8"/>
    </row>
    <row r="315" ht="16.5" customHeight="1">
      <c r="A315" s="8"/>
      <c r="B315" s="27"/>
      <c r="C315" s="27"/>
      <c r="D315" s="27"/>
      <c r="E315" s="28"/>
      <c r="F315" s="31"/>
      <c r="G315" s="28"/>
      <c r="H315" s="157"/>
      <c r="I315" s="158"/>
      <c r="J315" s="27"/>
      <c r="K315" s="28"/>
      <c r="L315" s="28"/>
      <c r="M315" s="27"/>
      <c r="N315" s="31"/>
      <c r="O315" s="31"/>
      <c r="P315" s="8"/>
      <c r="Q315" s="8"/>
      <c r="R315" s="8"/>
      <c r="S315" s="8"/>
      <c r="T315" s="8"/>
      <c r="U315" s="8"/>
      <c r="V315" s="8"/>
      <c r="W315" s="8"/>
      <c r="X315" s="8"/>
      <c r="Y315" s="8"/>
      <c r="Z315" s="8"/>
    </row>
    <row r="316" ht="16.5" customHeight="1">
      <c r="A316" s="8"/>
      <c r="B316" s="27"/>
      <c r="C316" s="27"/>
      <c r="D316" s="27"/>
      <c r="E316" s="28"/>
      <c r="F316" s="31"/>
      <c r="G316" s="28"/>
      <c r="H316" s="157"/>
      <c r="I316" s="158"/>
      <c r="J316" s="27"/>
      <c r="K316" s="28"/>
      <c r="L316" s="28"/>
      <c r="M316" s="27"/>
      <c r="N316" s="31"/>
      <c r="O316" s="31"/>
      <c r="P316" s="8"/>
      <c r="Q316" s="8"/>
      <c r="R316" s="8"/>
      <c r="S316" s="8"/>
      <c r="T316" s="8"/>
      <c r="U316" s="8"/>
      <c r="V316" s="8"/>
      <c r="W316" s="8"/>
      <c r="X316" s="8"/>
      <c r="Y316" s="8"/>
      <c r="Z316" s="8"/>
    </row>
    <row r="317" ht="16.5" customHeight="1">
      <c r="A317" s="8"/>
      <c r="B317" s="27"/>
      <c r="C317" s="27"/>
      <c r="D317" s="27"/>
      <c r="E317" s="28"/>
      <c r="F317" s="31"/>
      <c r="G317" s="28"/>
      <c r="H317" s="157"/>
      <c r="I317" s="158"/>
      <c r="J317" s="27"/>
      <c r="K317" s="28"/>
      <c r="L317" s="28"/>
      <c r="M317" s="27"/>
      <c r="N317" s="31"/>
      <c r="O317" s="31"/>
      <c r="P317" s="8"/>
      <c r="Q317" s="8"/>
      <c r="R317" s="8"/>
      <c r="S317" s="8"/>
      <c r="T317" s="8"/>
      <c r="U317" s="8"/>
      <c r="V317" s="8"/>
      <c r="W317" s="8"/>
      <c r="X317" s="8"/>
      <c r="Y317" s="8"/>
      <c r="Z317" s="8"/>
    </row>
    <row r="318" ht="16.5" customHeight="1">
      <c r="A318" s="8"/>
      <c r="B318" s="27"/>
      <c r="C318" s="27"/>
      <c r="D318" s="27"/>
      <c r="E318" s="28"/>
      <c r="F318" s="31"/>
      <c r="G318" s="28"/>
      <c r="H318" s="157"/>
      <c r="I318" s="158"/>
      <c r="J318" s="27"/>
      <c r="K318" s="28"/>
      <c r="L318" s="28"/>
      <c r="M318" s="27"/>
      <c r="N318" s="31"/>
      <c r="O318" s="31"/>
      <c r="P318" s="8"/>
      <c r="Q318" s="8"/>
      <c r="R318" s="8"/>
      <c r="S318" s="8"/>
      <c r="T318" s="8"/>
      <c r="U318" s="8"/>
      <c r="V318" s="8"/>
      <c r="W318" s="8"/>
      <c r="X318" s="8"/>
      <c r="Y318" s="8"/>
      <c r="Z318" s="8"/>
    </row>
    <row r="319" ht="16.5" customHeight="1">
      <c r="A319" s="8"/>
      <c r="B319" s="27"/>
      <c r="C319" s="27"/>
      <c r="D319" s="27"/>
      <c r="E319" s="28"/>
      <c r="F319" s="31"/>
      <c r="G319" s="28"/>
      <c r="H319" s="157"/>
      <c r="I319" s="158"/>
      <c r="J319" s="27"/>
      <c r="K319" s="28"/>
      <c r="L319" s="28"/>
      <c r="M319" s="27"/>
      <c r="N319" s="31"/>
      <c r="O319" s="31"/>
      <c r="P319" s="8"/>
      <c r="Q319" s="8"/>
      <c r="R319" s="8"/>
      <c r="S319" s="8"/>
      <c r="T319" s="8"/>
      <c r="U319" s="8"/>
      <c r="V319" s="8"/>
      <c r="W319" s="8"/>
      <c r="X319" s="8"/>
      <c r="Y319" s="8"/>
      <c r="Z319" s="8"/>
    </row>
    <row r="320" ht="16.5" customHeight="1">
      <c r="A320" s="8"/>
      <c r="B320" s="27"/>
      <c r="C320" s="27"/>
      <c r="D320" s="27"/>
      <c r="E320" s="28"/>
      <c r="F320" s="31"/>
      <c r="G320" s="28"/>
      <c r="H320" s="157"/>
      <c r="I320" s="158"/>
      <c r="J320" s="27"/>
      <c r="K320" s="28"/>
      <c r="L320" s="28"/>
      <c r="M320" s="27"/>
      <c r="N320" s="31"/>
      <c r="O320" s="31"/>
      <c r="P320" s="8"/>
      <c r="Q320" s="8"/>
      <c r="R320" s="8"/>
      <c r="S320" s="8"/>
      <c r="T320" s="8"/>
      <c r="U320" s="8"/>
      <c r="V320" s="8"/>
      <c r="W320" s="8"/>
      <c r="X320" s="8"/>
      <c r="Y320" s="8"/>
      <c r="Z320" s="8"/>
    </row>
    <row r="321" ht="16.5" customHeight="1">
      <c r="A321" s="8"/>
      <c r="B321" s="27"/>
      <c r="C321" s="27"/>
      <c r="D321" s="27"/>
      <c r="E321" s="28"/>
      <c r="F321" s="31"/>
      <c r="G321" s="28"/>
      <c r="H321" s="157"/>
      <c r="I321" s="158"/>
      <c r="J321" s="27"/>
      <c r="K321" s="28"/>
      <c r="L321" s="28"/>
      <c r="M321" s="27"/>
      <c r="N321" s="31"/>
      <c r="O321" s="31"/>
      <c r="P321" s="8"/>
      <c r="Q321" s="8"/>
      <c r="R321" s="8"/>
      <c r="S321" s="8"/>
      <c r="T321" s="8"/>
      <c r="U321" s="8"/>
      <c r="V321" s="8"/>
      <c r="W321" s="8"/>
      <c r="X321" s="8"/>
      <c r="Y321" s="8"/>
      <c r="Z321" s="8"/>
    </row>
    <row r="322" ht="16.5" customHeight="1">
      <c r="A322" s="8"/>
      <c r="B322" s="27"/>
      <c r="C322" s="27"/>
      <c r="D322" s="27"/>
      <c r="E322" s="28"/>
      <c r="F322" s="31"/>
      <c r="G322" s="28"/>
      <c r="H322" s="157"/>
      <c r="I322" s="158"/>
      <c r="J322" s="27"/>
      <c r="K322" s="28"/>
      <c r="L322" s="28"/>
      <c r="M322" s="27"/>
      <c r="N322" s="31"/>
      <c r="O322" s="31"/>
      <c r="P322" s="8"/>
      <c r="Q322" s="8"/>
      <c r="R322" s="8"/>
      <c r="S322" s="8"/>
      <c r="T322" s="8"/>
      <c r="U322" s="8"/>
      <c r="V322" s="8"/>
      <c r="W322" s="8"/>
      <c r="X322" s="8"/>
      <c r="Y322" s="8"/>
      <c r="Z322" s="8"/>
    </row>
    <row r="323" ht="16.5" customHeight="1">
      <c r="A323" s="8"/>
      <c r="B323" s="27"/>
      <c r="C323" s="27"/>
      <c r="D323" s="27"/>
      <c r="E323" s="28"/>
      <c r="F323" s="31"/>
      <c r="G323" s="28"/>
      <c r="H323" s="157"/>
      <c r="I323" s="158"/>
      <c r="J323" s="27"/>
      <c r="K323" s="28"/>
      <c r="L323" s="28"/>
      <c r="M323" s="27"/>
      <c r="N323" s="31"/>
      <c r="O323" s="31"/>
      <c r="P323" s="8"/>
      <c r="Q323" s="8"/>
      <c r="R323" s="8"/>
      <c r="S323" s="8"/>
      <c r="T323" s="8"/>
      <c r="U323" s="8"/>
      <c r="V323" s="8"/>
      <c r="W323" s="8"/>
      <c r="X323" s="8"/>
      <c r="Y323" s="8"/>
      <c r="Z323" s="8"/>
    </row>
    <row r="324" ht="16.5" customHeight="1">
      <c r="A324" s="8"/>
      <c r="B324" s="27"/>
      <c r="C324" s="27"/>
      <c r="D324" s="27"/>
      <c r="E324" s="28"/>
      <c r="F324" s="31"/>
      <c r="G324" s="28"/>
      <c r="H324" s="157"/>
      <c r="I324" s="158"/>
      <c r="J324" s="27"/>
      <c r="K324" s="28"/>
      <c r="L324" s="28"/>
      <c r="M324" s="27"/>
      <c r="N324" s="31"/>
      <c r="O324" s="31"/>
      <c r="P324" s="8"/>
      <c r="Q324" s="8"/>
      <c r="R324" s="8"/>
      <c r="S324" s="8"/>
      <c r="T324" s="8"/>
      <c r="U324" s="8"/>
      <c r="V324" s="8"/>
      <c r="W324" s="8"/>
      <c r="X324" s="8"/>
      <c r="Y324" s="8"/>
      <c r="Z324" s="8"/>
    </row>
    <row r="325" ht="16.5" customHeight="1">
      <c r="A325" s="8"/>
      <c r="B325" s="27"/>
      <c r="C325" s="27"/>
      <c r="D325" s="27"/>
      <c r="E325" s="28"/>
      <c r="F325" s="31"/>
      <c r="G325" s="28"/>
      <c r="H325" s="157"/>
      <c r="I325" s="158"/>
      <c r="J325" s="27"/>
      <c r="K325" s="28"/>
      <c r="L325" s="28"/>
      <c r="M325" s="27"/>
      <c r="N325" s="31"/>
      <c r="O325" s="31"/>
      <c r="P325" s="8"/>
      <c r="Q325" s="8"/>
      <c r="R325" s="8"/>
      <c r="S325" s="8"/>
      <c r="T325" s="8"/>
      <c r="U325" s="8"/>
      <c r="V325" s="8"/>
      <c r="W325" s="8"/>
      <c r="X325" s="8"/>
      <c r="Y325" s="8"/>
      <c r="Z325" s="8"/>
    </row>
    <row r="326" ht="16.5" customHeight="1">
      <c r="A326" s="8"/>
      <c r="B326" s="27"/>
      <c r="C326" s="27"/>
      <c r="D326" s="27"/>
      <c r="E326" s="28"/>
      <c r="F326" s="31"/>
      <c r="G326" s="28"/>
      <c r="H326" s="157"/>
      <c r="I326" s="158"/>
      <c r="J326" s="27"/>
      <c r="K326" s="28"/>
      <c r="L326" s="28"/>
      <c r="M326" s="27"/>
      <c r="N326" s="31"/>
      <c r="O326" s="31"/>
      <c r="P326" s="8"/>
      <c r="Q326" s="8"/>
      <c r="R326" s="8"/>
      <c r="S326" s="8"/>
      <c r="T326" s="8"/>
      <c r="U326" s="8"/>
      <c r="V326" s="8"/>
      <c r="W326" s="8"/>
      <c r="X326" s="8"/>
      <c r="Y326" s="8"/>
      <c r="Z326" s="8"/>
    </row>
    <row r="327" ht="16.5" customHeight="1">
      <c r="A327" s="8"/>
      <c r="B327" s="27"/>
      <c r="C327" s="27"/>
      <c r="D327" s="27"/>
      <c r="E327" s="28"/>
      <c r="F327" s="31"/>
      <c r="G327" s="28"/>
      <c r="H327" s="157"/>
      <c r="I327" s="158"/>
      <c r="J327" s="27"/>
      <c r="K327" s="28"/>
      <c r="L327" s="28"/>
      <c r="M327" s="27"/>
      <c r="N327" s="31"/>
      <c r="O327" s="31"/>
      <c r="P327" s="8"/>
      <c r="Q327" s="8"/>
      <c r="R327" s="8"/>
      <c r="S327" s="8"/>
      <c r="T327" s="8"/>
      <c r="U327" s="8"/>
      <c r="V327" s="8"/>
      <c r="W327" s="8"/>
      <c r="X327" s="8"/>
      <c r="Y327" s="8"/>
      <c r="Z327" s="8"/>
    </row>
    <row r="328" ht="16.5" customHeight="1">
      <c r="A328" s="8"/>
      <c r="B328" s="27"/>
      <c r="C328" s="27"/>
      <c r="D328" s="27"/>
      <c r="E328" s="28"/>
      <c r="F328" s="31"/>
      <c r="G328" s="28"/>
      <c r="H328" s="157"/>
      <c r="I328" s="158"/>
      <c r="J328" s="27"/>
      <c r="K328" s="28"/>
      <c r="L328" s="28"/>
      <c r="M328" s="27"/>
      <c r="N328" s="31"/>
      <c r="O328" s="31"/>
      <c r="P328" s="8"/>
      <c r="Q328" s="8"/>
      <c r="R328" s="8"/>
      <c r="S328" s="8"/>
      <c r="T328" s="8"/>
      <c r="U328" s="8"/>
      <c r="V328" s="8"/>
      <c r="W328" s="8"/>
      <c r="X328" s="8"/>
      <c r="Y328" s="8"/>
      <c r="Z328" s="8"/>
    </row>
    <row r="329" ht="16.5" customHeight="1">
      <c r="A329" s="8"/>
      <c r="B329" s="27"/>
      <c r="C329" s="27"/>
      <c r="D329" s="27"/>
      <c r="E329" s="28"/>
      <c r="F329" s="31"/>
      <c r="G329" s="28"/>
      <c r="H329" s="157"/>
      <c r="I329" s="158"/>
      <c r="J329" s="27"/>
      <c r="K329" s="28"/>
      <c r="L329" s="28"/>
      <c r="M329" s="27"/>
      <c r="N329" s="31"/>
      <c r="O329" s="31"/>
      <c r="P329" s="8"/>
      <c r="Q329" s="8"/>
      <c r="R329" s="8"/>
      <c r="S329" s="8"/>
      <c r="T329" s="8"/>
      <c r="U329" s="8"/>
      <c r="V329" s="8"/>
      <c r="W329" s="8"/>
      <c r="X329" s="8"/>
      <c r="Y329" s="8"/>
      <c r="Z329" s="8"/>
    </row>
    <row r="330" ht="16.5" customHeight="1">
      <c r="A330" s="8"/>
      <c r="B330" s="27"/>
      <c r="C330" s="27"/>
      <c r="D330" s="27"/>
      <c r="E330" s="28"/>
      <c r="F330" s="31"/>
      <c r="G330" s="28"/>
      <c r="H330" s="157"/>
      <c r="I330" s="158"/>
      <c r="J330" s="27"/>
      <c r="K330" s="28"/>
      <c r="L330" s="28"/>
      <c r="M330" s="27"/>
      <c r="N330" s="31"/>
      <c r="O330" s="31"/>
      <c r="P330" s="8"/>
      <c r="Q330" s="8"/>
      <c r="R330" s="8"/>
      <c r="S330" s="8"/>
      <c r="T330" s="8"/>
      <c r="U330" s="8"/>
      <c r="V330" s="8"/>
      <c r="W330" s="8"/>
      <c r="X330" s="8"/>
      <c r="Y330" s="8"/>
      <c r="Z330" s="8"/>
    </row>
    <row r="331" ht="16.5" customHeight="1">
      <c r="A331" s="8"/>
      <c r="B331" s="27"/>
      <c r="C331" s="27"/>
      <c r="D331" s="27"/>
      <c r="E331" s="28"/>
      <c r="F331" s="31"/>
      <c r="G331" s="28"/>
      <c r="H331" s="157"/>
      <c r="I331" s="158"/>
      <c r="J331" s="27"/>
      <c r="K331" s="28"/>
      <c r="L331" s="28"/>
      <c r="M331" s="27"/>
      <c r="N331" s="31"/>
      <c r="O331" s="31"/>
      <c r="P331" s="8"/>
      <c r="Q331" s="8"/>
      <c r="R331" s="8"/>
      <c r="S331" s="8"/>
      <c r="T331" s="8"/>
      <c r="U331" s="8"/>
      <c r="V331" s="8"/>
      <c r="W331" s="8"/>
      <c r="X331" s="8"/>
      <c r="Y331" s="8"/>
      <c r="Z331" s="8"/>
    </row>
    <row r="332" ht="16.5" customHeight="1">
      <c r="A332" s="8"/>
      <c r="B332" s="27"/>
      <c r="C332" s="27"/>
      <c r="D332" s="27"/>
      <c r="E332" s="28"/>
      <c r="F332" s="31"/>
      <c r="G332" s="28"/>
      <c r="H332" s="157"/>
      <c r="I332" s="158"/>
      <c r="J332" s="27"/>
      <c r="K332" s="28"/>
      <c r="L332" s="28"/>
      <c r="M332" s="27"/>
      <c r="N332" s="31"/>
      <c r="O332" s="31"/>
      <c r="P332" s="8"/>
      <c r="Q332" s="8"/>
      <c r="R332" s="8"/>
      <c r="S332" s="8"/>
      <c r="T332" s="8"/>
      <c r="U332" s="8"/>
      <c r="V332" s="8"/>
      <c r="W332" s="8"/>
      <c r="X332" s="8"/>
      <c r="Y332" s="8"/>
      <c r="Z332" s="8"/>
    </row>
    <row r="333" ht="16.5" customHeight="1">
      <c r="A333" s="8"/>
      <c r="B333" s="27"/>
      <c r="C333" s="27"/>
      <c r="D333" s="27"/>
      <c r="E333" s="28"/>
      <c r="F333" s="31"/>
      <c r="G333" s="28"/>
      <c r="H333" s="157"/>
      <c r="I333" s="158"/>
      <c r="J333" s="27"/>
      <c r="K333" s="28"/>
      <c r="L333" s="28"/>
      <c r="M333" s="27"/>
      <c r="N333" s="31"/>
      <c r="O333" s="31"/>
      <c r="P333" s="8"/>
      <c r="Q333" s="8"/>
      <c r="R333" s="8"/>
      <c r="S333" s="8"/>
      <c r="T333" s="8"/>
      <c r="U333" s="8"/>
      <c r="V333" s="8"/>
      <c r="W333" s="8"/>
      <c r="X333" s="8"/>
      <c r="Y333" s="8"/>
      <c r="Z333" s="8"/>
    </row>
    <row r="334" ht="16.5" customHeight="1">
      <c r="A334" s="8"/>
      <c r="B334" s="27"/>
      <c r="C334" s="27"/>
      <c r="D334" s="27"/>
      <c r="E334" s="28"/>
      <c r="F334" s="31"/>
      <c r="G334" s="28"/>
      <c r="H334" s="157"/>
      <c r="I334" s="158"/>
      <c r="J334" s="27"/>
      <c r="K334" s="28"/>
      <c r="L334" s="28"/>
      <c r="M334" s="27"/>
      <c r="N334" s="31"/>
      <c r="O334" s="31"/>
      <c r="P334" s="8"/>
      <c r="Q334" s="8"/>
      <c r="R334" s="8"/>
      <c r="S334" s="8"/>
      <c r="T334" s="8"/>
      <c r="U334" s="8"/>
      <c r="V334" s="8"/>
      <c r="W334" s="8"/>
      <c r="X334" s="8"/>
      <c r="Y334" s="8"/>
      <c r="Z334" s="8"/>
    </row>
    <row r="335" ht="16.5" customHeight="1">
      <c r="A335" s="8"/>
      <c r="B335" s="27"/>
      <c r="C335" s="27"/>
      <c r="D335" s="27"/>
      <c r="E335" s="28"/>
      <c r="F335" s="31"/>
      <c r="G335" s="28"/>
      <c r="H335" s="157"/>
      <c r="I335" s="158"/>
      <c r="J335" s="27"/>
      <c r="K335" s="28"/>
      <c r="L335" s="28"/>
      <c r="M335" s="27"/>
      <c r="N335" s="31"/>
      <c r="O335" s="31"/>
      <c r="P335" s="8"/>
      <c r="Q335" s="8"/>
      <c r="R335" s="8"/>
      <c r="S335" s="8"/>
      <c r="T335" s="8"/>
      <c r="U335" s="8"/>
      <c r="V335" s="8"/>
      <c r="W335" s="8"/>
      <c r="X335" s="8"/>
      <c r="Y335" s="8"/>
      <c r="Z335" s="8"/>
    </row>
    <row r="336" ht="16.5" customHeight="1">
      <c r="A336" s="8"/>
      <c r="B336" s="27"/>
      <c r="C336" s="27"/>
      <c r="D336" s="27"/>
      <c r="E336" s="28"/>
      <c r="F336" s="31"/>
      <c r="G336" s="28"/>
      <c r="H336" s="157"/>
      <c r="I336" s="158"/>
      <c r="J336" s="27"/>
      <c r="K336" s="28"/>
      <c r="L336" s="28"/>
      <c r="M336" s="27"/>
      <c r="N336" s="31"/>
      <c r="O336" s="31"/>
      <c r="P336" s="8"/>
      <c r="Q336" s="8"/>
      <c r="R336" s="8"/>
      <c r="S336" s="8"/>
      <c r="T336" s="8"/>
      <c r="U336" s="8"/>
      <c r="V336" s="8"/>
      <c r="W336" s="8"/>
      <c r="X336" s="8"/>
      <c r="Y336" s="8"/>
      <c r="Z336" s="8"/>
    </row>
    <row r="337" ht="16.5" customHeight="1">
      <c r="A337" s="8"/>
      <c r="B337" s="27"/>
      <c r="C337" s="27"/>
      <c r="D337" s="27"/>
      <c r="E337" s="28"/>
      <c r="F337" s="31"/>
      <c r="G337" s="28"/>
      <c r="H337" s="157"/>
      <c r="I337" s="158"/>
      <c r="J337" s="27"/>
      <c r="K337" s="28"/>
      <c r="L337" s="28"/>
      <c r="M337" s="27"/>
      <c r="N337" s="31"/>
      <c r="O337" s="31"/>
      <c r="P337" s="8"/>
      <c r="Q337" s="8"/>
      <c r="R337" s="8"/>
      <c r="S337" s="8"/>
      <c r="T337" s="8"/>
      <c r="U337" s="8"/>
      <c r="V337" s="8"/>
      <c r="W337" s="8"/>
      <c r="X337" s="8"/>
      <c r="Y337" s="8"/>
      <c r="Z337" s="8"/>
    </row>
    <row r="338" ht="16.5" customHeight="1">
      <c r="A338" s="8"/>
      <c r="B338" s="27"/>
      <c r="C338" s="27"/>
      <c r="D338" s="27"/>
      <c r="E338" s="28"/>
      <c r="F338" s="31"/>
      <c r="G338" s="28"/>
      <c r="H338" s="157"/>
      <c r="I338" s="158"/>
      <c r="J338" s="27"/>
      <c r="K338" s="28"/>
      <c r="L338" s="28"/>
      <c r="M338" s="27"/>
      <c r="N338" s="31"/>
      <c r="O338" s="31"/>
      <c r="P338" s="8"/>
      <c r="Q338" s="8"/>
      <c r="R338" s="8"/>
      <c r="S338" s="8"/>
      <c r="T338" s="8"/>
      <c r="U338" s="8"/>
      <c r="V338" s="8"/>
      <c r="W338" s="8"/>
      <c r="X338" s="8"/>
      <c r="Y338" s="8"/>
      <c r="Z338" s="8"/>
    </row>
    <row r="339" ht="16.5" customHeight="1">
      <c r="A339" s="8"/>
      <c r="B339" s="27"/>
      <c r="C339" s="27"/>
      <c r="D339" s="27"/>
      <c r="E339" s="28"/>
      <c r="F339" s="31"/>
      <c r="G339" s="28"/>
      <c r="H339" s="157"/>
      <c r="I339" s="158"/>
      <c r="J339" s="27"/>
      <c r="K339" s="28"/>
      <c r="L339" s="28"/>
      <c r="M339" s="27"/>
      <c r="N339" s="31"/>
      <c r="O339" s="31"/>
      <c r="P339" s="8"/>
      <c r="Q339" s="8"/>
      <c r="R339" s="8"/>
      <c r="S339" s="8"/>
      <c r="T339" s="8"/>
      <c r="U339" s="8"/>
      <c r="V339" s="8"/>
      <c r="W339" s="8"/>
      <c r="X339" s="8"/>
      <c r="Y339" s="8"/>
      <c r="Z339" s="8"/>
    </row>
    <row r="340" ht="16.5" customHeight="1">
      <c r="A340" s="8"/>
      <c r="B340" s="27"/>
      <c r="C340" s="27"/>
      <c r="D340" s="27"/>
      <c r="E340" s="28"/>
      <c r="F340" s="31"/>
      <c r="G340" s="28"/>
      <c r="H340" s="157"/>
      <c r="I340" s="158"/>
      <c r="J340" s="27"/>
      <c r="K340" s="28"/>
      <c r="L340" s="28"/>
      <c r="M340" s="27"/>
      <c r="N340" s="31"/>
      <c r="O340" s="31"/>
      <c r="P340" s="8"/>
      <c r="Q340" s="8"/>
      <c r="R340" s="8"/>
      <c r="S340" s="8"/>
      <c r="T340" s="8"/>
      <c r="U340" s="8"/>
      <c r="V340" s="8"/>
      <c r="W340" s="8"/>
      <c r="X340" s="8"/>
      <c r="Y340" s="8"/>
      <c r="Z340" s="8"/>
    </row>
    <row r="341" ht="16.5" customHeight="1">
      <c r="A341" s="8"/>
      <c r="B341" s="27"/>
      <c r="C341" s="27"/>
      <c r="D341" s="27"/>
      <c r="E341" s="28"/>
      <c r="F341" s="31"/>
      <c r="G341" s="28"/>
      <c r="H341" s="157"/>
      <c r="I341" s="158"/>
      <c r="J341" s="27"/>
      <c r="K341" s="28"/>
      <c r="L341" s="28"/>
      <c r="M341" s="27"/>
      <c r="N341" s="31"/>
      <c r="O341" s="31"/>
      <c r="P341" s="8"/>
      <c r="Q341" s="8"/>
      <c r="R341" s="8"/>
      <c r="S341" s="8"/>
      <c r="T341" s="8"/>
      <c r="U341" s="8"/>
      <c r="V341" s="8"/>
      <c r="W341" s="8"/>
      <c r="X341" s="8"/>
      <c r="Y341" s="8"/>
      <c r="Z341" s="8"/>
    </row>
    <row r="342" ht="16.5" customHeight="1">
      <c r="A342" s="8"/>
      <c r="B342" s="27"/>
      <c r="C342" s="27"/>
      <c r="D342" s="27"/>
      <c r="E342" s="28"/>
      <c r="F342" s="31"/>
      <c r="G342" s="28"/>
      <c r="H342" s="157"/>
      <c r="I342" s="158"/>
      <c r="J342" s="27"/>
      <c r="K342" s="28"/>
      <c r="L342" s="28"/>
      <c r="M342" s="27"/>
      <c r="N342" s="31"/>
      <c r="O342" s="31"/>
      <c r="P342" s="8"/>
      <c r="Q342" s="8"/>
      <c r="R342" s="8"/>
      <c r="S342" s="8"/>
      <c r="T342" s="8"/>
      <c r="U342" s="8"/>
      <c r="V342" s="8"/>
      <c r="W342" s="8"/>
      <c r="X342" s="8"/>
      <c r="Y342" s="8"/>
      <c r="Z342" s="8"/>
    </row>
    <row r="343" ht="16.5" customHeight="1">
      <c r="A343" s="8"/>
      <c r="B343" s="27"/>
      <c r="C343" s="27"/>
      <c r="D343" s="27"/>
      <c r="E343" s="28"/>
      <c r="F343" s="31"/>
      <c r="G343" s="28"/>
      <c r="H343" s="157"/>
      <c r="I343" s="158"/>
      <c r="J343" s="27"/>
      <c r="K343" s="28"/>
      <c r="L343" s="28"/>
      <c r="M343" s="27"/>
      <c r="N343" s="31"/>
      <c r="O343" s="31"/>
      <c r="P343" s="8"/>
      <c r="Q343" s="8"/>
      <c r="R343" s="8"/>
      <c r="S343" s="8"/>
      <c r="T343" s="8"/>
      <c r="U343" s="8"/>
      <c r="V343" s="8"/>
      <c r="W343" s="8"/>
      <c r="X343" s="8"/>
      <c r="Y343" s="8"/>
      <c r="Z343" s="8"/>
    </row>
    <row r="344" ht="16.5" customHeight="1">
      <c r="A344" s="8"/>
      <c r="B344" s="27"/>
      <c r="C344" s="27"/>
      <c r="D344" s="27"/>
      <c r="E344" s="28"/>
      <c r="F344" s="31"/>
      <c r="G344" s="28"/>
      <c r="H344" s="157"/>
      <c r="I344" s="158"/>
      <c r="J344" s="27"/>
      <c r="K344" s="28"/>
      <c r="L344" s="28"/>
      <c r="M344" s="27"/>
      <c r="N344" s="31"/>
      <c r="O344" s="31"/>
      <c r="P344" s="8"/>
      <c r="Q344" s="8"/>
      <c r="R344" s="8"/>
      <c r="S344" s="8"/>
      <c r="T344" s="8"/>
      <c r="U344" s="8"/>
      <c r="V344" s="8"/>
      <c r="W344" s="8"/>
      <c r="X344" s="8"/>
      <c r="Y344" s="8"/>
      <c r="Z344" s="8"/>
    </row>
    <row r="345" ht="16.5" customHeight="1">
      <c r="A345" s="8"/>
      <c r="B345" s="27"/>
      <c r="C345" s="27"/>
      <c r="D345" s="27"/>
      <c r="E345" s="28"/>
      <c r="F345" s="31"/>
      <c r="G345" s="28"/>
      <c r="H345" s="157"/>
      <c r="I345" s="158"/>
      <c r="J345" s="27"/>
      <c r="K345" s="28"/>
      <c r="L345" s="28"/>
      <c r="M345" s="27"/>
      <c r="N345" s="31"/>
      <c r="O345" s="31"/>
      <c r="P345" s="8"/>
      <c r="Q345" s="8"/>
      <c r="R345" s="8"/>
      <c r="S345" s="8"/>
      <c r="T345" s="8"/>
      <c r="U345" s="8"/>
      <c r="V345" s="8"/>
      <c r="W345" s="8"/>
      <c r="X345" s="8"/>
      <c r="Y345" s="8"/>
      <c r="Z345" s="8"/>
    </row>
    <row r="346" ht="16.5" customHeight="1">
      <c r="A346" s="8"/>
      <c r="B346" s="27"/>
      <c r="C346" s="27"/>
      <c r="D346" s="27"/>
      <c r="E346" s="28"/>
      <c r="F346" s="31"/>
      <c r="G346" s="28"/>
      <c r="H346" s="157"/>
      <c r="I346" s="158"/>
      <c r="J346" s="27"/>
      <c r="K346" s="28"/>
      <c r="L346" s="28"/>
      <c r="M346" s="27"/>
      <c r="N346" s="31"/>
      <c r="O346" s="31"/>
      <c r="P346" s="8"/>
      <c r="Q346" s="8"/>
      <c r="R346" s="8"/>
      <c r="S346" s="8"/>
      <c r="T346" s="8"/>
      <c r="U346" s="8"/>
      <c r="V346" s="8"/>
      <c r="W346" s="8"/>
      <c r="X346" s="8"/>
      <c r="Y346" s="8"/>
      <c r="Z346" s="8"/>
    </row>
    <row r="347" ht="16.5" customHeight="1">
      <c r="A347" s="8"/>
      <c r="B347" s="27"/>
      <c r="C347" s="27"/>
      <c r="D347" s="27"/>
      <c r="E347" s="28"/>
      <c r="F347" s="31"/>
      <c r="G347" s="28"/>
      <c r="H347" s="157"/>
      <c r="I347" s="158"/>
      <c r="J347" s="27"/>
      <c r="K347" s="28"/>
      <c r="L347" s="28"/>
      <c r="M347" s="27"/>
      <c r="N347" s="31"/>
      <c r="O347" s="31"/>
      <c r="P347" s="8"/>
      <c r="Q347" s="8"/>
      <c r="R347" s="8"/>
      <c r="S347" s="8"/>
      <c r="T347" s="8"/>
      <c r="U347" s="8"/>
      <c r="V347" s="8"/>
      <c r="W347" s="8"/>
      <c r="X347" s="8"/>
      <c r="Y347" s="8"/>
      <c r="Z347" s="8"/>
    </row>
    <row r="348" ht="16.5" customHeight="1">
      <c r="A348" s="8"/>
      <c r="B348" s="27"/>
      <c r="C348" s="27"/>
      <c r="D348" s="27"/>
      <c r="E348" s="28"/>
      <c r="F348" s="31"/>
      <c r="G348" s="28"/>
      <c r="H348" s="157"/>
      <c r="I348" s="158"/>
      <c r="J348" s="27"/>
      <c r="K348" s="28"/>
      <c r="L348" s="28"/>
      <c r="M348" s="27"/>
      <c r="N348" s="31"/>
      <c r="O348" s="31"/>
      <c r="P348" s="8"/>
      <c r="Q348" s="8"/>
      <c r="R348" s="8"/>
      <c r="S348" s="8"/>
      <c r="T348" s="8"/>
      <c r="U348" s="8"/>
      <c r="V348" s="8"/>
      <c r="W348" s="8"/>
      <c r="X348" s="8"/>
      <c r="Y348" s="8"/>
      <c r="Z348" s="8"/>
    </row>
    <row r="349" ht="16.5" customHeight="1">
      <c r="A349" s="8"/>
      <c r="B349" s="27"/>
      <c r="C349" s="27"/>
      <c r="D349" s="27"/>
      <c r="E349" s="28"/>
      <c r="F349" s="31"/>
      <c r="G349" s="28"/>
      <c r="H349" s="157"/>
      <c r="I349" s="158"/>
      <c r="J349" s="27"/>
      <c r="K349" s="28"/>
      <c r="L349" s="28"/>
      <c r="M349" s="27"/>
      <c r="N349" s="31"/>
      <c r="O349" s="31"/>
      <c r="P349" s="8"/>
      <c r="Q349" s="8"/>
      <c r="R349" s="8"/>
      <c r="S349" s="8"/>
      <c r="T349" s="8"/>
      <c r="U349" s="8"/>
      <c r="V349" s="8"/>
      <c r="W349" s="8"/>
      <c r="X349" s="8"/>
      <c r="Y349" s="8"/>
      <c r="Z349" s="8"/>
    </row>
    <row r="350" ht="16.5" customHeight="1">
      <c r="A350" s="8"/>
      <c r="B350" s="27"/>
      <c r="C350" s="27"/>
      <c r="D350" s="27"/>
      <c r="E350" s="28"/>
      <c r="F350" s="31"/>
      <c r="G350" s="28"/>
      <c r="H350" s="157"/>
      <c r="I350" s="158"/>
      <c r="J350" s="27"/>
      <c r="K350" s="28"/>
      <c r="L350" s="28"/>
      <c r="M350" s="27"/>
      <c r="N350" s="31"/>
      <c r="O350" s="31"/>
      <c r="P350" s="8"/>
      <c r="Q350" s="8"/>
      <c r="R350" s="8"/>
      <c r="S350" s="8"/>
      <c r="T350" s="8"/>
      <c r="U350" s="8"/>
      <c r="V350" s="8"/>
      <c r="W350" s="8"/>
      <c r="X350" s="8"/>
      <c r="Y350" s="8"/>
      <c r="Z350" s="8"/>
    </row>
    <row r="351" ht="16.5" customHeight="1">
      <c r="A351" s="8"/>
      <c r="B351" s="27"/>
      <c r="C351" s="27"/>
      <c r="D351" s="27"/>
      <c r="E351" s="28"/>
      <c r="F351" s="31"/>
      <c r="G351" s="28"/>
      <c r="H351" s="157"/>
      <c r="I351" s="158"/>
      <c r="J351" s="27"/>
      <c r="K351" s="28"/>
      <c r="L351" s="28"/>
      <c r="M351" s="27"/>
      <c r="N351" s="31"/>
      <c r="O351" s="31"/>
      <c r="P351" s="8"/>
      <c r="Q351" s="8"/>
      <c r="R351" s="8"/>
      <c r="S351" s="8"/>
      <c r="T351" s="8"/>
      <c r="U351" s="8"/>
      <c r="V351" s="8"/>
      <c r="W351" s="8"/>
      <c r="X351" s="8"/>
      <c r="Y351" s="8"/>
      <c r="Z351" s="8"/>
    </row>
    <row r="352" ht="16.5" customHeight="1">
      <c r="A352" s="8"/>
      <c r="B352" s="27"/>
      <c r="C352" s="27"/>
      <c r="D352" s="27"/>
      <c r="E352" s="28"/>
      <c r="F352" s="31"/>
      <c r="G352" s="28"/>
      <c r="H352" s="157"/>
      <c r="I352" s="158"/>
      <c r="J352" s="27"/>
      <c r="K352" s="28"/>
      <c r="L352" s="28"/>
      <c r="M352" s="27"/>
      <c r="N352" s="31"/>
      <c r="O352" s="31"/>
      <c r="P352" s="8"/>
      <c r="Q352" s="8"/>
      <c r="R352" s="8"/>
      <c r="S352" s="8"/>
      <c r="T352" s="8"/>
      <c r="U352" s="8"/>
      <c r="V352" s="8"/>
      <c r="W352" s="8"/>
      <c r="X352" s="8"/>
      <c r="Y352" s="8"/>
      <c r="Z352" s="8"/>
    </row>
    <row r="353" ht="16.5" customHeight="1">
      <c r="A353" s="8"/>
      <c r="B353" s="27"/>
      <c r="C353" s="27"/>
      <c r="D353" s="27"/>
      <c r="E353" s="28"/>
      <c r="F353" s="31"/>
      <c r="G353" s="28"/>
      <c r="H353" s="157"/>
      <c r="I353" s="158"/>
      <c r="J353" s="27"/>
      <c r="K353" s="28"/>
      <c r="L353" s="28"/>
      <c r="M353" s="27"/>
      <c r="N353" s="31"/>
      <c r="O353" s="31"/>
      <c r="P353" s="8"/>
      <c r="Q353" s="8"/>
      <c r="R353" s="8"/>
      <c r="S353" s="8"/>
      <c r="T353" s="8"/>
      <c r="U353" s="8"/>
      <c r="V353" s="8"/>
      <c r="W353" s="8"/>
      <c r="X353" s="8"/>
      <c r="Y353" s="8"/>
      <c r="Z353" s="8"/>
    </row>
    <row r="354" ht="16.5" customHeight="1">
      <c r="A354" s="8"/>
      <c r="B354" s="27"/>
      <c r="C354" s="27"/>
      <c r="D354" s="27"/>
      <c r="E354" s="28"/>
      <c r="F354" s="31"/>
      <c r="G354" s="28"/>
      <c r="H354" s="157"/>
      <c r="I354" s="158"/>
      <c r="J354" s="27"/>
      <c r="K354" s="28"/>
      <c r="L354" s="28"/>
      <c r="M354" s="27"/>
      <c r="N354" s="31"/>
      <c r="O354" s="31"/>
      <c r="P354" s="8"/>
      <c r="Q354" s="8"/>
      <c r="R354" s="8"/>
      <c r="S354" s="8"/>
      <c r="T354" s="8"/>
      <c r="U354" s="8"/>
      <c r="V354" s="8"/>
      <c r="W354" s="8"/>
      <c r="X354" s="8"/>
      <c r="Y354" s="8"/>
      <c r="Z354" s="8"/>
    </row>
    <row r="355" ht="16.5" customHeight="1">
      <c r="A355" s="8"/>
      <c r="B355" s="27"/>
      <c r="C355" s="27"/>
      <c r="D355" s="27"/>
      <c r="E355" s="28"/>
      <c r="F355" s="31"/>
      <c r="G355" s="28"/>
      <c r="H355" s="157"/>
      <c r="I355" s="158"/>
      <c r="J355" s="27"/>
      <c r="K355" s="28"/>
      <c r="L355" s="28"/>
      <c r="M355" s="27"/>
      <c r="N355" s="31"/>
      <c r="O355" s="31"/>
      <c r="P355" s="8"/>
      <c r="Q355" s="8"/>
      <c r="R355" s="8"/>
      <c r="S355" s="8"/>
      <c r="T355" s="8"/>
      <c r="U355" s="8"/>
      <c r="V355" s="8"/>
      <c r="W355" s="8"/>
      <c r="X355" s="8"/>
      <c r="Y355" s="8"/>
      <c r="Z355" s="8"/>
    </row>
    <row r="356" ht="16.5" customHeight="1">
      <c r="A356" s="8"/>
      <c r="B356" s="27"/>
      <c r="C356" s="27"/>
      <c r="D356" s="27"/>
      <c r="E356" s="28"/>
      <c r="F356" s="31"/>
      <c r="G356" s="28"/>
      <c r="H356" s="157"/>
      <c r="I356" s="158"/>
      <c r="J356" s="27"/>
      <c r="K356" s="28"/>
      <c r="L356" s="28"/>
      <c r="M356" s="27"/>
      <c r="N356" s="31"/>
      <c r="O356" s="31"/>
      <c r="P356" s="8"/>
      <c r="Q356" s="8"/>
      <c r="R356" s="8"/>
      <c r="S356" s="8"/>
      <c r="T356" s="8"/>
      <c r="U356" s="8"/>
      <c r="V356" s="8"/>
      <c r="W356" s="8"/>
      <c r="X356" s="8"/>
      <c r="Y356" s="8"/>
      <c r="Z356" s="8"/>
    </row>
    <row r="357" ht="16.5" customHeight="1">
      <c r="A357" s="8"/>
      <c r="B357" s="27"/>
      <c r="C357" s="27"/>
      <c r="D357" s="27"/>
      <c r="E357" s="28"/>
      <c r="F357" s="31"/>
      <c r="G357" s="28"/>
      <c r="H357" s="157"/>
      <c r="I357" s="158"/>
      <c r="J357" s="27"/>
      <c r="K357" s="28"/>
      <c r="L357" s="28"/>
      <c r="M357" s="27"/>
      <c r="N357" s="31"/>
      <c r="O357" s="31"/>
      <c r="P357" s="8"/>
      <c r="Q357" s="8"/>
      <c r="R357" s="8"/>
      <c r="S357" s="8"/>
      <c r="T357" s="8"/>
      <c r="U357" s="8"/>
      <c r="V357" s="8"/>
      <c r="W357" s="8"/>
      <c r="X357" s="8"/>
      <c r="Y357" s="8"/>
      <c r="Z357" s="8"/>
    </row>
    <row r="358" ht="16.5" customHeight="1">
      <c r="A358" s="8"/>
      <c r="B358" s="27"/>
      <c r="C358" s="27"/>
      <c r="D358" s="27"/>
      <c r="E358" s="28"/>
      <c r="F358" s="31"/>
      <c r="G358" s="28"/>
      <c r="H358" s="157"/>
      <c r="I358" s="158"/>
      <c r="J358" s="27"/>
      <c r="K358" s="28"/>
      <c r="L358" s="28"/>
      <c r="M358" s="27"/>
      <c r="N358" s="31"/>
      <c r="O358" s="31"/>
      <c r="P358" s="8"/>
      <c r="Q358" s="8"/>
      <c r="R358" s="8"/>
      <c r="S358" s="8"/>
      <c r="T358" s="8"/>
      <c r="U358" s="8"/>
      <c r="V358" s="8"/>
      <c r="W358" s="8"/>
      <c r="X358" s="8"/>
      <c r="Y358" s="8"/>
      <c r="Z358" s="8"/>
    </row>
    <row r="359" ht="16.5" customHeight="1">
      <c r="A359" s="8"/>
      <c r="B359" s="27"/>
      <c r="C359" s="27"/>
      <c r="D359" s="27"/>
      <c r="E359" s="28"/>
      <c r="F359" s="31"/>
      <c r="G359" s="28"/>
      <c r="H359" s="157"/>
      <c r="I359" s="158"/>
      <c r="J359" s="27"/>
      <c r="K359" s="28"/>
      <c r="L359" s="28"/>
      <c r="M359" s="27"/>
      <c r="N359" s="31"/>
      <c r="O359" s="31"/>
      <c r="P359" s="8"/>
      <c r="Q359" s="8"/>
      <c r="R359" s="8"/>
      <c r="S359" s="8"/>
      <c r="T359" s="8"/>
      <c r="U359" s="8"/>
      <c r="V359" s="8"/>
      <c r="W359" s="8"/>
      <c r="X359" s="8"/>
      <c r="Y359" s="8"/>
      <c r="Z359" s="8"/>
    </row>
    <row r="360" ht="16.5" customHeight="1">
      <c r="A360" s="8"/>
      <c r="B360" s="27"/>
      <c r="C360" s="27"/>
      <c r="D360" s="27"/>
      <c r="E360" s="28"/>
      <c r="F360" s="31"/>
      <c r="G360" s="28"/>
      <c r="H360" s="157"/>
      <c r="I360" s="158"/>
      <c r="J360" s="27"/>
      <c r="K360" s="28"/>
      <c r="L360" s="28"/>
      <c r="M360" s="27"/>
      <c r="N360" s="31"/>
      <c r="O360" s="31"/>
      <c r="P360" s="8"/>
      <c r="Q360" s="8"/>
      <c r="R360" s="8"/>
      <c r="S360" s="8"/>
      <c r="T360" s="8"/>
      <c r="U360" s="8"/>
      <c r="V360" s="8"/>
      <c r="W360" s="8"/>
      <c r="X360" s="8"/>
      <c r="Y360" s="8"/>
      <c r="Z360" s="8"/>
    </row>
    <row r="361" ht="16.5" customHeight="1">
      <c r="A361" s="8"/>
      <c r="B361" s="27"/>
      <c r="C361" s="27"/>
      <c r="D361" s="27"/>
      <c r="E361" s="28"/>
      <c r="F361" s="31"/>
      <c r="G361" s="28"/>
      <c r="H361" s="157"/>
      <c r="I361" s="158"/>
      <c r="J361" s="27"/>
      <c r="K361" s="28"/>
      <c r="L361" s="28"/>
      <c r="M361" s="27"/>
      <c r="N361" s="31"/>
      <c r="O361" s="31"/>
      <c r="P361" s="8"/>
      <c r="Q361" s="8"/>
      <c r="R361" s="8"/>
      <c r="S361" s="8"/>
      <c r="T361" s="8"/>
      <c r="U361" s="8"/>
      <c r="V361" s="8"/>
      <c r="W361" s="8"/>
      <c r="X361" s="8"/>
      <c r="Y361" s="8"/>
      <c r="Z361" s="8"/>
    </row>
    <row r="362" ht="16.5" customHeight="1">
      <c r="A362" s="8"/>
      <c r="B362" s="27"/>
      <c r="C362" s="27"/>
      <c r="D362" s="27"/>
      <c r="E362" s="28"/>
      <c r="F362" s="31"/>
      <c r="G362" s="28"/>
      <c r="H362" s="157"/>
      <c r="I362" s="158"/>
      <c r="J362" s="27"/>
      <c r="K362" s="28"/>
      <c r="L362" s="28"/>
      <c r="M362" s="27"/>
      <c r="N362" s="31"/>
      <c r="O362" s="31"/>
      <c r="P362" s="8"/>
      <c r="Q362" s="8"/>
      <c r="R362" s="8"/>
      <c r="S362" s="8"/>
      <c r="T362" s="8"/>
      <c r="U362" s="8"/>
      <c r="V362" s="8"/>
      <c r="W362" s="8"/>
      <c r="X362" s="8"/>
      <c r="Y362" s="8"/>
      <c r="Z362" s="8"/>
    </row>
    <row r="363" ht="16.5" customHeight="1">
      <c r="A363" s="8"/>
      <c r="B363" s="27"/>
      <c r="C363" s="27"/>
      <c r="D363" s="27"/>
      <c r="E363" s="28"/>
      <c r="F363" s="31"/>
      <c r="G363" s="28"/>
      <c r="H363" s="157"/>
      <c r="I363" s="158"/>
      <c r="J363" s="27"/>
      <c r="K363" s="28"/>
      <c r="L363" s="28"/>
      <c r="M363" s="27"/>
      <c r="N363" s="31"/>
      <c r="O363" s="31"/>
      <c r="P363" s="8"/>
      <c r="Q363" s="8"/>
      <c r="R363" s="8"/>
      <c r="S363" s="8"/>
      <c r="T363" s="8"/>
      <c r="U363" s="8"/>
      <c r="V363" s="8"/>
      <c r="W363" s="8"/>
      <c r="X363" s="8"/>
      <c r="Y363" s="8"/>
      <c r="Z363" s="8"/>
    </row>
    <row r="364" ht="16.5" customHeight="1">
      <c r="A364" s="8"/>
      <c r="B364" s="27"/>
      <c r="C364" s="27"/>
      <c r="D364" s="27"/>
      <c r="E364" s="28"/>
      <c r="F364" s="31"/>
      <c r="G364" s="28"/>
      <c r="H364" s="157"/>
      <c r="I364" s="158"/>
      <c r="J364" s="27"/>
      <c r="K364" s="28"/>
      <c r="L364" s="28"/>
      <c r="M364" s="27"/>
      <c r="N364" s="31"/>
      <c r="O364" s="31"/>
      <c r="P364" s="8"/>
      <c r="Q364" s="8"/>
      <c r="R364" s="8"/>
      <c r="S364" s="8"/>
      <c r="T364" s="8"/>
      <c r="U364" s="8"/>
      <c r="V364" s="8"/>
      <c r="W364" s="8"/>
      <c r="X364" s="8"/>
      <c r="Y364" s="8"/>
      <c r="Z364" s="8"/>
    </row>
    <row r="365" ht="16.5" customHeight="1">
      <c r="A365" s="8"/>
      <c r="B365" s="27"/>
      <c r="C365" s="27"/>
      <c r="D365" s="27"/>
      <c r="E365" s="28"/>
      <c r="F365" s="31"/>
      <c r="G365" s="28"/>
      <c r="H365" s="157"/>
      <c r="I365" s="158"/>
      <c r="J365" s="27"/>
      <c r="K365" s="28"/>
      <c r="L365" s="28"/>
      <c r="M365" s="27"/>
      <c r="N365" s="31"/>
      <c r="O365" s="31"/>
      <c r="P365" s="8"/>
      <c r="Q365" s="8"/>
      <c r="R365" s="8"/>
      <c r="S365" s="8"/>
      <c r="T365" s="8"/>
      <c r="U365" s="8"/>
      <c r="V365" s="8"/>
      <c r="W365" s="8"/>
      <c r="X365" s="8"/>
      <c r="Y365" s="8"/>
      <c r="Z365" s="8"/>
    </row>
    <row r="366" ht="16.5" customHeight="1">
      <c r="A366" s="8"/>
      <c r="B366" s="27"/>
      <c r="C366" s="27"/>
      <c r="D366" s="27"/>
      <c r="E366" s="28"/>
      <c r="F366" s="31"/>
      <c r="G366" s="28"/>
      <c r="H366" s="157"/>
      <c r="I366" s="158"/>
      <c r="J366" s="27"/>
      <c r="K366" s="28"/>
      <c r="L366" s="28"/>
      <c r="M366" s="27"/>
      <c r="N366" s="31"/>
      <c r="O366" s="31"/>
      <c r="P366" s="8"/>
      <c r="Q366" s="8"/>
      <c r="R366" s="8"/>
      <c r="S366" s="8"/>
      <c r="T366" s="8"/>
      <c r="U366" s="8"/>
      <c r="V366" s="8"/>
      <c r="W366" s="8"/>
      <c r="X366" s="8"/>
      <c r="Y366" s="8"/>
      <c r="Z366" s="8"/>
    </row>
    <row r="367" ht="16.5" customHeight="1">
      <c r="A367" s="8"/>
      <c r="B367" s="27"/>
      <c r="C367" s="27"/>
      <c r="D367" s="27"/>
      <c r="E367" s="28"/>
      <c r="F367" s="31"/>
      <c r="G367" s="28"/>
      <c r="H367" s="157"/>
      <c r="I367" s="158"/>
      <c r="J367" s="27"/>
      <c r="K367" s="28"/>
      <c r="L367" s="28"/>
      <c r="M367" s="27"/>
      <c r="N367" s="31"/>
      <c r="O367" s="31"/>
      <c r="P367" s="8"/>
      <c r="Q367" s="8"/>
      <c r="R367" s="8"/>
      <c r="S367" s="8"/>
      <c r="T367" s="8"/>
      <c r="U367" s="8"/>
      <c r="V367" s="8"/>
      <c r="W367" s="8"/>
      <c r="X367" s="8"/>
      <c r="Y367" s="8"/>
      <c r="Z367" s="8"/>
    </row>
    <row r="368" ht="16.5" customHeight="1">
      <c r="A368" s="8"/>
      <c r="B368" s="27"/>
      <c r="C368" s="27"/>
      <c r="D368" s="27"/>
      <c r="E368" s="28"/>
      <c r="F368" s="31"/>
      <c r="G368" s="28"/>
      <c r="H368" s="157"/>
      <c r="I368" s="158"/>
      <c r="J368" s="27"/>
      <c r="K368" s="28"/>
      <c r="L368" s="28"/>
      <c r="M368" s="27"/>
      <c r="N368" s="31"/>
      <c r="O368" s="31"/>
      <c r="P368" s="8"/>
      <c r="Q368" s="8"/>
      <c r="R368" s="8"/>
      <c r="S368" s="8"/>
      <c r="T368" s="8"/>
      <c r="U368" s="8"/>
      <c r="V368" s="8"/>
      <c r="W368" s="8"/>
      <c r="X368" s="8"/>
      <c r="Y368" s="8"/>
      <c r="Z368" s="8"/>
    </row>
    <row r="369" ht="16.5" customHeight="1">
      <c r="A369" s="8"/>
      <c r="B369" s="27"/>
      <c r="C369" s="27"/>
      <c r="D369" s="27"/>
      <c r="E369" s="28"/>
      <c r="F369" s="31"/>
      <c r="G369" s="28"/>
      <c r="H369" s="157"/>
      <c r="I369" s="158"/>
      <c r="J369" s="27"/>
      <c r="K369" s="28"/>
      <c r="L369" s="28"/>
      <c r="M369" s="27"/>
      <c r="N369" s="31"/>
      <c r="O369" s="31"/>
      <c r="P369" s="8"/>
      <c r="Q369" s="8"/>
      <c r="R369" s="8"/>
      <c r="S369" s="8"/>
      <c r="T369" s="8"/>
      <c r="U369" s="8"/>
      <c r="V369" s="8"/>
      <c r="W369" s="8"/>
      <c r="X369" s="8"/>
      <c r="Y369" s="8"/>
      <c r="Z369" s="8"/>
    </row>
    <row r="370" ht="16.5" customHeight="1">
      <c r="A370" s="8"/>
      <c r="B370" s="27"/>
      <c r="C370" s="27"/>
      <c r="D370" s="27"/>
      <c r="E370" s="28"/>
      <c r="F370" s="31"/>
      <c r="G370" s="28"/>
      <c r="H370" s="157"/>
      <c r="I370" s="158"/>
      <c r="J370" s="27"/>
      <c r="K370" s="28"/>
      <c r="L370" s="28"/>
      <c r="M370" s="27"/>
      <c r="N370" s="31"/>
      <c r="O370" s="31"/>
      <c r="P370" s="8"/>
      <c r="Q370" s="8"/>
      <c r="R370" s="8"/>
      <c r="S370" s="8"/>
      <c r="T370" s="8"/>
      <c r="U370" s="8"/>
      <c r="V370" s="8"/>
      <c r="W370" s="8"/>
      <c r="X370" s="8"/>
      <c r="Y370" s="8"/>
      <c r="Z370" s="8"/>
    </row>
    <row r="371" ht="16.5" customHeight="1">
      <c r="A371" s="8"/>
      <c r="B371" s="27"/>
      <c r="C371" s="27"/>
      <c r="D371" s="27"/>
      <c r="E371" s="28"/>
      <c r="F371" s="31"/>
      <c r="G371" s="28"/>
      <c r="H371" s="157"/>
      <c r="I371" s="158"/>
      <c r="J371" s="27"/>
      <c r="K371" s="28"/>
      <c r="L371" s="28"/>
      <c r="M371" s="27"/>
      <c r="N371" s="31"/>
      <c r="O371" s="31"/>
      <c r="P371" s="8"/>
      <c r="Q371" s="8"/>
      <c r="R371" s="8"/>
      <c r="S371" s="8"/>
      <c r="T371" s="8"/>
      <c r="U371" s="8"/>
      <c r="V371" s="8"/>
      <c r="W371" s="8"/>
      <c r="X371" s="8"/>
      <c r="Y371" s="8"/>
      <c r="Z371" s="8"/>
    </row>
    <row r="372" ht="16.5" customHeight="1">
      <c r="A372" s="8"/>
      <c r="B372" s="27"/>
      <c r="C372" s="27"/>
      <c r="D372" s="27"/>
      <c r="E372" s="28"/>
      <c r="F372" s="31"/>
      <c r="G372" s="28"/>
      <c r="H372" s="157"/>
      <c r="I372" s="158"/>
      <c r="J372" s="27"/>
      <c r="K372" s="28"/>
      <c r="L372" s="28"/>
      <c r="M372" s="27"/>
      <c r="N372" s="31"/>
      <c r="O372" s="31"/>
      <c r="P372" s="8"/>
      <c r="Q372" s="8"/>
      <c r="R372" s="8"/>
      <c r="S372" s="8"/>
      <c r="T372" s="8"/>
      <c r="U372" s="8"/>
      <c r="V372" s="8"/>
      <c r="W372" s="8"/>
      <c r="X372" s="8"/>
      <c r="Y372" s="8"/>
      <c r="Z372" s="8"/>
    </row>
    <row r="373" ht="16.5" customHeight="1">
      <c r="A373" s="8"/>
      <c r="B373" s="27"/>
      <c r="C373" s="27"/>
      <c r="D373" s="27"/>
      <c r="E373" s="28"/>
      <c r="F373" s="31"/>
      <c r="G373" s="28"/>
      <c r="H373" s="157"/>
      <c r="I373" s="158"/>
      <c r="J373" s="27"/>
      <c r="K373" s="28"/>
      <c r="L373" s="28"/>
      <c r="M373" s="27"/>
      <c r="N373" s="31"/>
      <c r="O373" s="31"/>
      <c r="P373" s="8"/>
      <c r="Q373" s="8"/>
      <c r="R373" s="8"/>
      <c r="S373" s="8"/>
      <c r="T373" s="8"/>
      <c r="U373" s="8"/>
      <c r="V373" s="8"/>
      <c r="W373" s="8"/>
      <c r="X373" s="8"/>
      <c r="Y373" s="8"/>
      <c r="Z373" s="8"/>
    </row>
    <row r="374" ht="16.5" customHeight="1">
      <c r="A374" s="8"/>
      <c r="B374" s="27"/>
      <c r="C374" s="27"/>
      <c r="D374" s="27"/>
      <c r="E374" s="28"/>
      <c r="F374" s="31"/>
      <c r="G374" s="28"/>
      <c r="H374" s="157"/>
      <c r="I374" s="158"/>
      <c r="J374" s="27"/>
      <c r="K374" s="28"/>
      <c r="L374" s="28"/>
      <c r="M374" s="27"/>
      <c r="N374" s="31"/>
      <c r="O374" s="31"/>
      <c r="P374" s="8"/>
      <c r="Q374" s="8"/>
      <c r="R374" s="8"/>
      <c r="S374" s="8"/>
      <c r="T374" s="8"/>
      <c r="U374" s="8"/>
      <c r="V374" s="8"/>
      <c r="W374" s="8"/>
      <c r="X374" s="8"/>
      <c r="Y374" s="8"/>
      <c r="Z374" s="8"/>
    </row>
    <row r="375" ht="16.5" customHeight="1">
      <c r="A375" s="8"/>
      <c r="B375" s="27"/>
      <c r="C375" s="27"/>
      <c r="D375" s="27"/>
      <c r="E375" s="28"/>
      <c r="F375" s="31"/>
      <c r="G375" s="28"/>
      <c r="H375" s="157"/>
      <c r="I375" s="158"/>
      <c r="J375" s="27"/>
      <c r="K375" s="28"/>
      <c r="L375" s="28"/>
      <c r="M375" s="27"/>
      <c r="N375" s="31"/>
      <c r="O375" s="31"/>
      <c r="P375" s="8"/>
      <c r="Q375" s="8"/>
      <c r="R375" s="8"/>
      <c r="S375" s="8"/>
      <c r="T375" s="8"/>
      <c r="U375" s="8"/>
      <c r="V375" s="8"/>
      <c r="W375" s="8"/>
      <c r="X375" s="8"/>
      <c r="Y375" s="8"/>
      <c r="Z375" s="8"/>
    </row>
    <row r="376" ht="16.5" customHeight="1">
      <c r="A376" s="8"/>
      <c r="B376" s="27"/>
      <c r="C376" s="27"/>
      <c r="D376" s="27"/>
      <c r="E376" s="28"/>
      <c r="F376" s="31"/>
      <c r="G376" s="28"/>
      <c r="H376" s="157"/>
      <c r="I376" s="158"/>
      <c r="J376" s="27"/>
      <c r="K376" s="28"/>
      <c r="L376" s="28"/>
      <c r="M376" s="27"/>
      <c r="N376" s="31"/>
      <c r="O376" s="31"/>
      <c r="P376" s="8"/>
      <c r="Q376" s="8"/>
      <c r="R376" s="8"/>
      <c r="S376" s="8"/>
      <c r="T376" s="8"/>
      <c r="U376" s="8"/>
      <c r="V376" s="8"/>
      <c r="W376" s="8"/>
      <c r="X376" s="8"/>
      <c r="Y376" s="8"/>
      <c r="Z376" s="8"/>
    </row>
    <row r="377" ht="16.5" customHeight="1">
      <c r="A377" s="8"/>
      <c r="B377" s="27"/>
      <c r="C377" s="27"/>
      <c r="D377" s="27"/>
      <c r="E377" s="28"/>
      <c r="F377" s="31"/>
      <c r="G377" s="28"/>
      <c r="H377" s="157"/>
      <c r="I377" s="158"/>
      <c r="J377" s="27"/>
      <c r="K377" s="28"/>
      <c r="L377" s="28"/>
      <c r="M377" s="27"/>
      <c r="N377" s="31"/>
      <c r="O377" s="31"/>
      <c r="P377" s="8"/>
      <c r="Q377" s="8"/>
      <c r="R377" s="8"/>
      <c r="S377" s="8"/>
      <c r="T377" s="8"/>
      <c r="U377" s="8"/>
      <c r="V377" s="8"/>
      <c r="W377" s="8"/>
      <c r="X377" s="8"/>
      <c r="Y377" s="8"/>
      <c r="Z377" s="8"/>
    </row>
    <row r="378" ht="16.5" customHeight="1">
      <c r="A378" s="8"/>
      <c r="B378" s="27"/>
      <c r="C378" s="27"/>
      <c r="D378" s="27"/>
      <c r="E378" s="28"/>
      <c r="F378" s="31"/>
      <c r="G378" s="28"/>
      <c r="H378" s="157"/>
      <c r="I378" s="158"/>
      <c r="J378" s="27"/>
      <c r="K378" s="28"/>
      <c r="L378" s="28"/>
      <c r="M378" s="27"/>
      <c r="N378" s="31"/>
      <c r="O378" s="31"/>
      <c r="P378" s="8"/>
      <c r="Q378" s="8"/>
      <c r="R378" s="8"/>
      <c r="S378" s="8"/>
      <c r="T378" s="8"/>
      <c r="U378" s="8"/>
      <c r="V378" s="8"/>
      <c r="W378" s="8"/>
      <c r="X378" s="8"/>
      <c r="Y378" s="8"/>
      <c r="Z378" s="8"/>
    </row>
    <row r="379" ht="16.5" customHeight="1">
      <c r="A379" s="8"/>
      <c r="B379" s="27"/>
      <c r="C379" s="27"/>
      <c r="D379" s="27"/>
      <c r="E379" s="28"/>
      <c r="F379" s="31"/>
      <c r="G379" s="28"/>
      <c r="H379" s="157"/>
      <c r="I379" s="158"/>
      <c r="J379" s="27"/>
      <c r="K379" s="28"/>
      <c r="L379" s="28"/>
      <c r="M379" s="27"/>
      <c r="N379" s="31"/>
      <c r="O379" s="31"/>
      <c r="P379" s="8"/>
      <c r="Q379" s="8"/>
      <c r="R379" s="8"/>
      <c r="S379" s="8"/>
      <c r="T379" s="8"/>
      <c r="U379" s="8"/>
      <c r="V379" s="8"/>
      <c r="W379" s="8"/>
      <c r="X379" s="8"/>
      <c r="Y379" s="8"/>
      <c r="Z379" s="8"/>
    </row>
    <row r="380" ht="16.5" customHeight="1">
      <c r="A380" s="8"/>
      <c r="B380" s="27"/>
      <c r="C380" s="27"/>
      <c r="D380" s="27"/>
      <c r="E380" s="28"/>
      <c r="F380" s="31"/>
      <c r="G380" s="28"/>
      <c r="H380" s="157"/>
      <c r="I380" s="158"/>
      <c r="J380" s="27"/>
      <c r="K380" s="28"/>
      <c r="L380" s="28"/>
      <c r="M380" s="27"/>
      <c r="N380" s="31"/>
      <c r="O380" s="31"/>
      <c r="P380" s="8"/>
      <c r="Q380" s="8"/>
      <c r="R380" s="8"/>
      <c r="S380" s="8"/>
      <c r="T380" s="8"/>
      <c r="U380" s="8"/>
      <c r="V380" s="8"/>
      <c r="W380" s="8"/>
      <c r="X380" s="8"/>
      <c r="Y380" s="8"/>
      <c r="Z380" s="8"/>
    </row>
    <row r="381" ht="16.5" customHeight="1">
      <c r="A381" s="8"/>
      <c r="B381" s="27"/>
      <c r="C381" s="27"/>
      <c r="D381" s="27"/>
      <c r="E381" s="28"/>
      <c r="F381" s="31"/>
      <c r="G381" s="28"/>
      <c r="H381" s="157"/>
      <c r="I381" s="158"/>
      <c r="J381" s="27"/>
      <c r="K381" s="28"/>
      <c r="L381" s="28"/>
      <c r="M381" s="27"/>
      <c r="N381" s="31"/>
      <c r="O381" s="31"/>
      <c r="P381" s="8"/>
      <c r="Q381" s="8"/>
      <c r="R381" s="8"/>
      <c r="S381" s="8"/>
      <c r="T381" s="8"/>
      <c r="U381" s="8"/>
      <c r="V381" s="8"/>
      <c r="W381" s="8"/>
      <c r="X381" s="8"/>
      <c r="Y381" s="8"/>
      <c r="Z381" s="8"/>
    </row>
    <row r="382" ht="16.5" customHeight="1">
      <c r="A382" s="8"/>
      <c r="B382" s="27"/>
      <c r="C382" s="27"/>
      <c r="D382" s="27"/>
      <c r="E382" s="28"/>
      <c r="F382" s="31"/>
      <c r="G382" s="28"/>
      <c r="H382" s="157"/>
      <c r="I382" s="158"/>
      <c r="J382" s="27"/>
      <c r="K382" s="28"/>
      <c r="L382" s="28"/>
      <c r="M382" s="27"/>
      <c r="N382" s="31"/>
      <c r="O382" s="31"/>
      <c r="P382" s="8"/>
      <c r="Q382" s="8"/>
      <c r="R382" s="8"/>
      <c r="S382" s="8"/>
      <c r="T382" s="8"/>
      <c r="U382" s="8"/>
      <c r="V382" s="8"/>
      <c r="W382" s="8"/>
      <c r="X382" s="8"/>
      <c r="Y382" s="8"/>
      <c r="Z382" s="8"/>
    </row>
    <row r="383" ht="16.5" customHeight="1">
      <c r="A383" s="8"/>
      <c r="B383" s="27"/>
      <c r="C383" s="27"/>
      <c r="D383" s="27"/>
      <c r="E383" s="28"/>
      <c r="F383" s="31"/>
      <c r="G383" s="28"/>
      <c r="H383" s="157"/>
      <c r="I383" s="158"/>
      <c r="J383" s="27"/>
      <c r="K383" s="28"/>
      <c r="L383" s="28"/>
      <c r="M383" s="27"/>
      <c r="N383" s="31"/>
      <c r="O383" s="31"/>
      <c r="P383" s="8"/>
      <c r="Q383" s="8"/>
      <c r="R383" s="8"/>
      <c r="S383" s="8"/>
      <c r="T383" s="8"/>
      <c r="U383" s="8"/>
      <c r="V383" s="8"/>
      <c r="W383" s="8"/>
      <c r="X383" s="8"/>
      <c r="Y383" s="8"/>
      <c r="Z383" s="8"/>
    </row>
    <row r="384" ht="16.5" customHeight="1">
      <c r="A384" s="8"/>
      <c r="B384" s="27"/>
      <c r="C384" s="27"/>
      <c r="D384" s="27"/>
      <c r="E384" s="28"/>
      <c r="F384" s="31"/>
      <c r="G384" s="28"/>
      <c r="H384" s="157"/>
      <c r="I384" s="158"/>
      <c r="J384" s="27"/>
      <c r="K384" s="28"/>
      <c r="L384" s="28"/>
      <c r="M384" s="27"/>
      <c r="N384" s="31"/>
      <c r="O384" s="31"/>
      <c r="P384" s="8"/>
      <c r="Q384" s="8"/>
      <c r="R384" s="8"/>
      <c r="S384" s="8"/>
      <c r="T384" s="8"/>
      <c r="U384" s="8"/>
      <c r="V384" s="8"/>
      <c r="W384" s="8"/>
      <c r="X384" s="8"/>
      <c r="Y384" s="8"/>
      <c r="Z384" s="8"/>
    </row>
    <row r="385" ht="16.5" customHeight="1">
      <c r="A385" s="8"/>
      <c r="B385" s="27"/>
      <c r="C385" s="27"/>
      <c r="D385" s="27"/>
      <c r="E385" s="28"/>
      <c r="F385" s="31"/>
      <c r="G385" s="28"/>
      <c r="H385" s="157"/>
      <c r="I385" s="158"/>
      <c r="J385" s="27"/>
      <c r="K385" s="28"/>
      <c r="L385" s="28"/>
      <c r="M385" s="27"/>
      <c r="N385" s="31"/>
      <c r="O385" s="31"/>
      <c r="P385" s="8"/>
      <c r="Q385" s="8"/>
      <c r="R385" s="8"/>
      <c r="S385" s="8"/>
      <c r="T385" s="8"/>
      <c r="U385" s="8"/>
      <c r="V385" s="8"/>
      <c r="W385" s="8"/>
      <c r="X385" s="8"/>
      <c r="Y385" s="8"/>
      <c r="Z385" s="8"/>
    </row>
    <row r="386" ht="16.5" customHeight="1">
      <c r="A386" s="8"/>
      <c r="B386" s="27"/>
      <c r="C386" s="27"/>
      <c r="D386" s="27"/>
      <c r="E386" s="28"/>
      <c r="F386" s="31"/>
      <c r="G386" s="28"/>
      <c r="H386" s="157"/>
      <c r="I386" s="158"/>
      <c r="J386" s="27"/>
      <c r="K386" s="28"/>
      <c r="L386" s="28"/>
      <c r="M386" s="27"/>
      <c r="N386" s="31"/>
      <c r="O386" s="31"/>
      <c r="P386" s="8"/>
      <c r="Q386" s="8"/>
      <c r="R386" s="8"/>
      <c r="S386" s="8"/>
      <c r="T386" s="8"/>
      <c r="U386" s="8"/>
      <c r="V386" s="8"/>
      <c r="W386" s="8"/>
      <c r="X386" s="8"/>
      <c r="Y386" s="8"/>
      <c r="Z386" s="8"/>
    </row>
    <row r="387" ht="16.5" customHeight="1">
      <c r="A387" s="8"/>
      <c r="B387" s="27"/>
      <c r="C387" s="27"/>
      <c r="D387" s="27"/>
      <c r="E387" s="28"/>
      <c r="F387" s="31"/>
      <c r="G387" s="28"/>
      <c r="H387" s="157"/>
      <c r="I387" s="158"/>
      <c r="J387" s="27"/>
      <c r="K387" s="28"/>
      <c r="L387" s="28"/>
      <c r="M387" s="27"/>
      <c r="N387" s="31"/>
      <c r="O387" s="31"/>
      <c r="P387" s="8"/>
      <c r="Q387" s="8"/>
      <c r="R387" s="8"/>
      <c r="S387" s="8"/>
      <c r="T387" s="8"/>
      <c r="U387" s="8"/>
      <c r="V387" s="8"/>
      <c r="W387" s="8"/>
      <c r="X387" s="8"/>
      <c r="Y387" s="8"/>
      <c r="Z387" s="8"/>
    </row>
    <row r="388" ht="16.5" customHeight="1">
      <c r="A388" s="8"/>
      <c r="B388" s="27"/>
      <c r="C388" s="27"/>
      <c r="D388" s="27"/>
      <c r="E388" s="28"/>
      <c r="F388" s="31"/>
      <c r="G388" s="28"/>
      <c r="H388" s="157"/>
      <c r="I388" s="158"/>
      <c r="J388" s="27"/>
      <c r="K388" s="28"/>
      <c r="L388" s="28"/>
      <c r="M388" s="27"/>
      <c r="N388" s="31"/>
      <c r="O388" s="31"/>
      <c r="P388" s="8"/>
      <c r="Q388" s="8"/>
      <c r="R388" s="8"/>
      <c r="S388" s="8"/>
      <c r="T388" s="8"/>
      <c r="U388" s="8"/>
      <c r="V388" s="8"/>
      <c r="W388" s="8"/>
      <c r="X388" s="8"/>
      <c r="Y388" s="8"/>
      <c r="Z388" s="8"/>
    </row>
    <row r="389" ht="16.5" customHeight="1">
      <c r="A389" s="8"/>
      <c r="B389" s="27"/>
      <c r="C389" s="27"/>
      <c r="D389" s="27"/>
      <c r="E389" s="28"/>
      <c r="F389" s="31"/>
      <c r="G389" s="28"/>
      <c r="H389" s="157"/>
      <c r="I389" s="158"/>
      <c r="J389" s="27"/>
      <c r="K389" s="28"/>
      <c r="L389" s="28"/>
      <c r="M389" s="27"/>
      <c r="N389" s="31"/>
      <c r="O389" s="31"/>
      <c r="P389" s="8"/>
      <c r="Q389" s="8"/>
      <c r="R389" s="8"/>
      <c r="S389" s="8"/>
      <c r="T389" s="8"/>
      <c r="U389" s="8"/>
      <c r="V389" s="8"/>
      <c r="W389" s="8"/>
      <c r="X389" s="8"/>
      <c r="Y389" s="8"/>
      <c r="Z389" s="8"/>
    </row>
    <row r="390" ht="16.5" customHeight="1">
      <c r="A390" s="8"/>
      <c r="B390" s="27"/>
      <c r="C390" s="27"/>
      <c r="D390" s="27"/>
      <c r="E390" s="28"/>
      <c r="F390" s="31"/>
      <c r="G390" s="28"/>
      <c r="H390" s="157"/>
      <c r="I390" s="158"/>
      <c r="J390" s="27"/>
      <c r="K390" s="28"/>
      <c r="L390" s="28"/>
      <c r="M390" s="27"/>
      <c r="N390" s="31"/>
      <c r="O390" s="31"/>
      <c r="P390" s="8"/>
      <c r="Q390" s="8"/>
      <c r="R390" s="8"/>
      <c r="S390" s="8"/>
      <c r="T390" s="8"/>
      <c r="U390" s="8"/>
      <c r="V390" s="8"/>
      <c r="W390" s="8"/>
      <c r="X390" s="8"/>
      <c r="Y390" s="8"/>
      <c r="Z390" s="8"/>
    </row>
    <row r="391" ht="16.5" customHeight="1">
      <c r="A391" s="8"/>
      <c r="B391" s="27"/>
      <c r="C391" s="27"/>
      <c r="D391" s="27"/>
      <c r="E391" s="28"/>
      <c r="F391" s="31"/>
      <c r="G391" s="28"/>
      <c r="H391" s="157"/>
      <c r="I391" s="158"/>
      <c r="J391" s="27"/>
      <c r="K391" s="28"/>
      <c r="L391" s="28"/>
      <c r="M391" s="27"/>
      <c r="N391" s="31"/>
      <c r="O391" s="31"/>
      <c r="P391" s="8"/>
      <c r="Q391" s="8"/>
      <c r="R391" s="8"/>
      <c r="S391" s="8"/>
      <c r="T391" s="8"/>
      <c r="U391" s="8"/>
      <c r="V391" s="8"/>
      <c r="W391" s="8"/>
      <c r="X391" s="8"/>
      <c r="Y391" s="8"/>
      <c r="Z391" s="8"/>
    </row>
    <row r="392" ht="16.5" customHeight="1">
      <c r="A392" s="8"/>
      <c r="B392" s="27"/>
      <c r="C392" s="27"/>
      <c r="D392" s="27"/>
      <c r="E392" s="28"/>
      <c r="F392" s="31"/>
      <c r="G392" s="28"/>
      <c r="H392" s="157"/>
      <c r="I392" s="158"/>
      <c r="J392" s="27"/>
      <c r="K392" s="28"/>
      <c r="L392" s="28"/>
      <c r="M392" s="27"/>
      <c r="N392" s="31"/>
      <c r="O392" s="31"/>
      <c r="P392" s="8"/>
      <c r="Q392" s="8"/>
      <c r="R392" s="8"/>
      <c r="S392" s="8"/>
      <c r="T392" s="8"/>
      <c r="U392" s="8"/>
      <c r="V392" s="8"/>
      <c r="W392" s="8"/>
      <c r="X392" s="8"/>
      <c r="Y392" s="8"/>
      <c r="Z392" s="8"/>
    </row>
    <row r="393" ht="16.5" customHeight="1">
      <c r="A393" s="8"/>
      <c r="B393" s="27"/>
      <c r="C393" s="27"/>
      <c r="D393" s="27"/>
      <c r="E393" s="28"/>
      <c r="F393" s="31"/>
      <c r="G393" s="28"/>
      <c r="H393" s="157"/>
      <c r="I393" s="158"/>
      <c r="J393" s="27"/>
      <c r="K393" s="28"/>
      <c r="L393" s="28"/>
      <c r="M393" s="27"/>
      <c r="N393" s="31"/>
      <c r="O393" s="31"/>
      <c r="P393" s="8"/>
      <c r="Q393" s="8"/>
      <c r="R393" s="8"/>
      <c r="S393" s="8"/>
      <c r="T393" s="8"/>
      <c r="U393" s="8"/>
      <c r="V393" s="8"/>
      <c r="W393" s="8"/>
      <c r="X393" s="8"/>
      <c r="Y393" s="8"/>
      <c r="Z393" s="8"/>
    </row>
    <row r="394" ht="16.5" customHeight="1">
      <c r="A394" s="8"/>
      <c r="B394" s="27"/>
      <c r="C394" s="27"/>
      <c r="D394" s="27"/>
      <c r="E394" s="28"/>
      <c r="F394" s="31"/>
      <c r="G394" s="28"/>
      <c r="H394" s="157"/>
      <c r="I394" s="158"/>
      <c r="J394" s="27"/>
      <c r="K394" s="28"/>
      <c r="L394" s="28"/>
      <c r="M394" s="27"/>
      <c r="N394" s="31"/>
      <c r="O394" s="31"/>
      <c r="P394" s="8"/>
      <c r="Q394" s="8"/>
      <c r="R394" s="8"/>
      <c r="S394" s="8"/>
      <c r="T394" s="8"/>
      <c r="U394" s="8"/>
      <c r="V394" s="8"/>
      <c r="W394" s="8"/>
      <c r="X394" s="8"/>
      <c r="Y394" s="8"/>
      <c r="Z394" s="8"/>
    </row>
    <row r="395" ht="16.5" customHeight="1">
      <c r="A395" s="8"/>
      <c r="B395" s="27"/>
      <c r="C395" s="27"/>
      <c r="D395" s="27"/>
      <c r="E395" s="28"/>
      <c r="F395" s="31"/>
      <c r="G395" s="28"/>
      <c r="H395" s="157"/>
      <c r="I395" s="158"/>
      <c r="J395" s="27"/>
      <c r="K395" s="28"/>
      <c r="L395" s="28"/>
      <c r="M395" s="27"/>
      <c r="N395" s="31"/>
      <c r="O395" s="31"/>
      <c r="P395" s="8"/>
      <c r="Q395" s="8"/>
      <c r="R395" s="8"/>
      <c r="S395" s="8"/>
      <c r="T395" s="8"/>
      <c r="U395" s="8"/>
      <c r="V395" s="8"/>
      <c r="W395" s="8"/>
      <c r="X395" s="8"/>
      <c r="Y395" s="8"/>
      <c r="Z395" s="8"/>
    </row>
    <row r="396" ht="16.5" customHeight="1">
      <c r="A396" s="8"/>
      <c r="B396" s="27"/>
      <c r="C396" s="27"/>
      <c r="D396" s="27"/>
      <c r="E396" s="28"/>
      <c r="F396" s="31"/>
      <c r="G396" s="28"/>
      <c r="H396" s="157"/>
      <c r="I396" s="158"/>
      <c r="J396" s="27"/>
      <c r="K396" s="28"/>
      <c r="L396" s="28"/>
      <c r="M396" s="27"/>
      <c r="N396" s="31"/>
      <c r="O396" s="31"/>
      <c r="P396" s="8"/>
      <c r="Q396" s="8"/>
      <c r="R396" s="8"/>
      <c r="S396" s="8"/>
      <c r="T396" s="8"/>
      <c r="U396" s="8"/>
      <c r="V396" s="8"/>
      <c r="W396" s="8"/>
      <c r="X396" s="8"/>
      <c r="Y396" s="8"/>
      <c r="Z396" s="8"/>
    </row>
    <row r="397" ht="16.5" customHeight="1">
      <c r="A397" s="8"/>
      <c r="B397" s="27"/>
      <c r="C397" s="27"/>
      <c r="D397" s="27"/>
      <c r="E397" s="28"/>
      <c r="F397" s="31"/>
      <c r="G397" s="28"/>
      <c r="H397" s="157"/>
      <c r="I397" s="158"/>
      <c r="J397" s="27"/>
      <c r="K397" s="28"/>
      <c r="L397" s="28"/>
      <c r="M397" s="27"/>
      <c r="N397" s="31"/>
      <c r="O397" s="31"/>
      <c r="P397" s="8"/>
      <c r="Q397" s="8"/>
      <c r="R397" s="8"/>
      <c r="S397" s="8"/>
      <c r="T397" s="8"/>
      <c r="U397" s="8"/>
      <c r="V397" s="8"/>
      <c r="W397" s="8"/>
      <c r="X397" s="8"/>
      <c r="Y397" s="8"/>
      <c r="Z397" s="8"/>
    </row>
    <row r="398" ht="16.5" customHeight="1">
      <c r="A398" s="8"/>
      <c r="B398" s="27"/>
      <c r="C398" s="27"/>
      <c r="D398" s="27"/>
      <c r="E398" s="28"/>
      <c r="F398" s="31"/>
      <c r="G398" s="28"/>
      <c r="H398" s="157"/>
      <c r="I398" s="158"/>
      <c r="J398" s="27"/>
      <c r="K398" s="28"/>
      <c r="L398" s="28"/>
      <c r="M398" s="27"/>
      <c r="N398" s="31"/>
      <c r="O398" s="31"/>
      <c r="P398" s="8"/>
      <c r="Q398" s="8"/>
      <c r="R398" s="8"/>
      <c r="S398" s="8"/>
      <c r="T398" s="8"/>
      <c r="U398" s="8"/>
      <c r="V398" s="8"/>
      <c r="W398" s="8"/>
      <c r="X398" s="8"/>
      <c r="Y398" s="8"/>
      <c r="Z398" s="8"/>
    </row>
    <row r="399" ht="16.5" customHeight="1">
      <c r="A399" s="8"/>
      <c r="B399" s="27"/>
      <c r="C399" s="27"/>
      <c r="D399" s="27"/>
      <c r="E399" s="28"/>
      <c r="F399" s="31"/>
      <c r="G399" s="28"/>
      <c r="H399" s="157"/>
      <c r="I399" s="158"/>
      <c r="J399" s="27"/>
      <c r="K399" s="28"/>
      <c r="L399" s="28"/>
      <c r="M399" s="27"/>
      <c r="N399" s="31"/>
      <c r="O399" s="31"/>
      <c r="P399" s="8"/>
      <c r="Q399" s="8"/>
      <c r="R399" s="8"/>
      <c r="S399" s="8"/>
      <c r="T399" s="8"/>
      <c r="U399" s="8"/>
      <c r="V399" s="8"/>
      <c r="W399" s="8"/>
      <c r="X399" s="8"/>
      <c r="Y399" s="8"/>
      <c r="Z399" s="8"/>
    </row>
    <row r="400" ht="16.5" customHeight="1">
      <c r="A400" s="8"/>
      <c r="B400" s="27"/>
      <c r="C400" s="27"/>
      <c r="D400" s="27"/>
      <c r="E400" s="28"/>
      <c r="F400" s="31"/>
      <c r="G400" s="28"/>
      <c r="H400" s="157"/>
      <c r="I400" s="158"/>
      <c r="J400" s="27"/>
      <c r="K400" s="28"/>
      <c r="L400" s="28"/>
      <c r="M400" s="27"/>
      <c r="N400" s="31"/>
      <c r="O400" s="31"/>
      <c r="P400" s="8"/>
      <c r="Q400" s="8"/>
      <c r="R400" s="8"/>
      <c r="S400" s="8"/>
      <c r="T400" s="8"/>
      <c r="U400" s="8"/>
      <c r="V400" s="8"/>
      <c r="W400" s="8"/>
      <c r="X400" s="8"/>
      <c r="Y400" s="8"/>
      <c r="Z400" s="8"/>
    </row>
    <row r="401" ht="16.5" customHeight="1">
      <c r="A401" s="8"/>
      <c r="B401" s="27"/>
      <c r="C401" s="27"/>
      <c r="D401" s="27"/>
      <c r="E401" s="28"/>
      <c r="F401" s="31"/>
      <c r="G401" s="28"/>
      <c r="H401" s="157"/>
      <c r="I401" s="158"/>
      <c r="J401" s="27"/>
      <c r="K401" s="28"/>
      <c r="L401" s="28"/>
      <c r="M401" s="27"/>
      <c r="N401" s="31"/>
      <c r="O401" s="31"/>
      <c r="P401" s="8"/>
      <c r="Q401" s="8"/>
      <c r="R401" s="8"/>
      <c r="S401" s="8"/>
      <c r="T401" s="8"/>
      <c r="U401" s="8"/>
      <c r="V401" s="8"/>
      <c r="W401" s="8"/>
      <c r="X401" s="8"/>
      <c r="Y401" s="8"/>
      <c r="Z401" s="8"/>
    </row>
    <row r="402" ht="16.5" customHeight="1">
      <c r="A402" s="8"/>
      <c r="B402" s="27"/>
      <c r="C402" s="27"/>
      <c r="D402" s="27"/>
      <c r="E402" s="28"/>
      <c r="F402" s="31"/>
      <c r="G402" s="28"/>
      <c r="H402" s="157"/>
      <c r="I402" s="158"/>
      <c r="J402" s="27"/>
      <c r="K402" s="28"/>
      <c r="L402" s="28"/>
      <c r="M402" s="27"/>
      <c r="N402" s="31"/>
      <c r="O402" s="31"/>
      <c r="P402" s="8"/>
      <c r="Q402" s="8"/>
      <c r="R402" s="8"/>
      <c r="S402" s="8"/>
      <c r="T402" s="8"/>
      <c r="U402" s="8"/>
      <c r="V402" s="8"/>
      <c r="W402" s="8"/>
      <c r="X402" s="8"/>
      <c r="Y402" s="8"/>
      <c r="Z402" s="8"/>
    </row>
    <row r="403" ht="16.5" customHeight="1">
      <c r="A403" s="8"/>
      <c r="B403" s="27"/>
      <c r="C403" s="27"/>
      <c r="D403" s="27"/>
      <c r="E403" s="28"/>
      <c r="F403" s="31"/>
      <c r="G403" s="28"/>
      <c r="H403" s="157"/>
      <c r="I403" s="158"/>
      <c r="J403" s="27"/>
      <c r="K403" s="28"/>
      <c r="L403" s="28"/>
      <c r="M403" s="27"/>
      <c r="N403" s="31"/>
      <c r="O403" s="31"/>
      <c r="P403" s="8"/>
      <c r="Q403" s="8"/>
      <c r="R403" s="8"/>
      <c r="S403" s="8"/>
      <c r="T403" s="8"/>
      <c r="U403" s="8"/>
      <c r="V403" s="8"/>
      <c r="W403" s="8"/>
      <c r="X403" s="8"/>
      <c r="Y403" s="8"/>
      <c r="Z403" s="8"/>
    </row>
    <row r="404" ht="16.5" customHeight="1">
      <c r="A404" s="8"/>
      <c r="B404" s="27"/>
      <c r="C404" s="27"/>
      <c r="D404" s="27"/>
      <c r="E404" s="28"/>
      <c r="F404" s="31"/>
      <c r="G404" s="28"/>
      <c r="H404" s="157"/>
      <c r="I404" s="158"/>
      <c r="J404" s="27"/>
      <c r="K404" s="28"/>
      <c r="L404" s="28"/>
      <c r="M404" s="27"/>
      <c r="N404" s="31"/>
      <c r="O404" s="31"/>
      <c r="P404" s="8"/>
      <c r="Q404" s="8"/>
      <c r="R404" s="8"/>
      <c r="S404" s="8"/>
      <c r="T404" s="8"/>
      <c r="U404" s="8"/>
      <c r="V404" s="8"/>
      <c r="W404" s="8"/>
      <c r="X404" s="8"/>
      <c r="Y404" s="8"/>
      <c r="Z404" s="8"/>
    </row>
    <row r="405" ht="16.5" customHeight="1">
      <c r="A405" s="8"/>
      <c r="B405" s="27"/>
      <c r="C405" s="27"/>
      <c r="D405" s="27"/>
      <c r="E405" s="28"/>
      <c r="F405" s="31"/>
      <c r="G405" s="28"/>
      <c r="H405" s="157"/>
      <c r="I405" s="158"/>
      <c r="J405" s="27"/>
      <c r="K405" s="28"/>
      <c r="L405" s="28"/>
      <c r="M405" s="27"/>
      <c r="N405" s="31"/>
      <c r="O405" s="31"/>
      <c r="P405" s="8"/>
      <c r="Q405" s="8"/>
      <c r="R405" s="8"/>
      <c r="S405" s="8"/>
      <c r="T405" s="8"/>
      <c r="U405" s="8"/>
      <c r="V405" s="8"/>
      <c r="W405" s="8"/>
      <c r="X405" s="8"/>
      <c r="Y405" s="8"/>
      <c r="Z405" s="8"/>
    </row>
    <row r="406" ht="16.5" customHeight="1">
      <c r="A406" s="8"/>
      <c r="B406" s="27"/>
      <c r="C406" s="27"/>
      <c r="D406" s="27"/>
      <c r="E406" s="28"/>
      <c r="F406" s="31"/>
      <c r="G406" s="28"/>
      <c r="H406" s="157"/>
      <c r="I406" s="158"/>
      <c r="J406" s="27"/>
      <c r="K406" s="28"/>
      <c r="L406" s="28"/>
      <c r="M406" s="27"/>
      <c r="N406" s="31"/>
      <c r="O406" s="31"/>
      <c r="P406" s="8"/>
      <c r="Q406" s="8"/>
      <c r="R406" s="8"/>
      <c r="S406" s="8"/>
      <c r="T406" s="8"/>
      <c r="U406" s="8"/>
      <c r="V406" s="8"/>
      <c r="W406" s="8"/>
      <c r="X406" s="8"/>
      <c r="Y406" s="8"/>
      <c r="Z406" s="8"/>
    </row>
    <row r="407" ht="16.5" customHeight="1">
      <c r="A407" s="8"/>
      <c r="B407" s="27"/>
      <c r="C407" s="27"/>
      <c r="D407" s="27"/>
      <c r="E407" s="28"/>
      <c r="F407" s="31"/>
      <c r="G407" s="28"/>
      <c r="H407" s="157"/>
      <c r="I407" s="158"/>
      <c r="J407" s="27"/>
      <c r="K407" s="28"/>
      <c r="L407" s="28"/>
      <c r="M407" s="27"/>
      <c r="N407" s="31"/>
      <c r="O407" s="31"/>
      <c r="P407" s="8"/>
      <c r="Q407" s="8"/>
      <c r="R407" s="8"/>
      <c r="S407" s="8"/>
      <c r="T407" s="8"/>
      <c r="U407" s="8"/>
      <c r="V407" s="8"/>
      <c r="W407" s="8"/>
      <c r="X407" s="8"/>
      <c r="Y407" s="8"/>
      <c r="Z407" s="8"/>
    </row>
    <row r="408" ht="16.5" customHeight="1">
      <c r="A408" s="8"/>
      <c r="B408" s="27"/>
      <c r="C408" s="27"/>
      <c r="D408" s="27"/>
      <c r="E408" s="28"/>
      <c r="F408" s="31"/>
      <c r="G408" s="28"/>
      <c r="H408" s="157"/>
      <c r="I408" s="158"/>
      <c r="J408" s="27"/>
      <c r="K408" s="28"/>
      <c r="L408" s="28"/>
      <c r="M408" s="27"/>
      <c r="N408" s="31"/>
      <c r="O408" s="31"/>
      <c r="P408" s="8"/>
      <c r="Q408" s="8"/>
      <c r="R408" s="8"/>
      <c r="S408" s="8"/>
      <c r="T408" s="8"/>
      <c r="U408" s="8"/>
      <c r="V408" s="8"/>
      <c r="W408" s="8"/>
      <c r="X408" s="8"/>
      <c r="Y408" s="8"/>
      <c r="Z408" s="8"/>
    </row>
    <row r="409" ht="16.5" customHeight="1">
      <c r="A409" s="8"/>
      <c r="B409" s="27"/>
      <c r="C409" s="27"/>
      <c r="D409" s="27"/>
      <c r="E409" s="28"/>
      <c r="F409" s="31"/>
      <c r="G409" s="28"/>
      <c r="H409" s="157"/>
      <c r="I409" s="158"/>
      <c r="J409" s="27"/>
      <c r="K409" s="28"/>
      <c r="L409" s="28"/>
      <c r="M409" s="27"/>
      <c r="N409" s="31"/>
      <c r="O409" s="31"/>
      <c r="P409" s="8"/>
      <c r="Q409" s="8"/>
      <c r="R409" s="8"/>
      <c r="S409" s="8"/>
      <c r="T409" s="8"/>
      <c r="U409" s="8"/>
      <c r="V409" s="8"/>
      <c r="W409" s="8"/>
      <c r="X409" s="8"/>
      <c r="Y409" s="8"/>
      <c r="Z409" s="8"/>
    </row>
    <row r="410" ht="16.5" customHeight="1">
      <c r="A410" s="8"/>
      <c r="B410" s="27"/>
      <c r="C410" s="27"/>
      <c r="D410" s="27"/>
      <c r="E410" s="28"/>
      <c r="F410" s="31"/>
      <c r="G410" s="28"/>
      <c r="H410" s="157"/>
      <c r="I410" s="158"/>
      <c r="J410" s="27"/>
      <c r="K410" s="28"/>
      <c r="L410" s="28"/>
      <c r="M410" s="27"/>
      <c r="N410" s="31"/>
      <c r="O410" s="31"/>
      <c r="P410" s="8"/>
      <c r="Q410" s="8"/>
      <c r="R410" s="8"/>
      <c r="S410" s="8"/>
      <c r="T410" s="8"/>
      <c r="U410" s="8"/>
      <c r="V410" s="8"/>
      <c r="W410" s="8"/>
      <c r="X410" s="8"/>
      <c r="Y410" s="8"/>
      <c r="Z410" s="8"/>
    </row>
    <row r="411" ht="16.5" customHeight="1">
      <c r="A411" s="8"/>
      <c r="B411" s="27"/>
      <c r="C411" s="27"/>
      <c r="D411" s="27"/>
      <c r="E411" s="28"/>
      <c r="F411" s="31"/>
      <c r="G411" s="28"/>
      <c r="H411" s="157"/>
      <c r="I411" s="158"/>
      <c r="J411" s="27"/>
      <c r="K411" s="28"/>
      <c r="L411" s="28"/>
      <c r="M411" s="27"/>
      <c r="N411" s="31"/>
      <c r="O411" s="31"/>
      <c r="P411" s="8"/>
      <c r="Q411" s="8"/>
      <c r="R411" s="8"/>
      <c r="S411" s="8"/>
      <c r="T411" s="8"/>
      <c r="U411" s="8"/>
      <c r="V411" s="8"/>
      <c r="W411" s="8"/>
      <c r="X411" s="8"/>
      <c r="Y411" s="8"/>
      <c r="Z411" s="8"/>
    </row>
    <row r="412" ht="16.5" customHeight="1">
      <c r="A412" s="8"/>
      <c r="B412" s="27"/>
      <c r="C412" s="27"/>
      <c r="D412" s="27"/>
      <c r="E412" s="28"/>
      <c r="F412" s="31"/>
      <c r="G412" s="28"/>
      <c r="H412" s="157"/>
      <c r="I412" s="158"/>
      <c r="J412" s="27"/>
      <c r="K412" s="28"/>
      <c r="L412" s="28"/>
      <c r="M412" s="27"/>
      <c r="N412" s="31"/>
      <c r="O412" s="31"/>
      <c r="P412" s="8"/>
      <c r="Q412" s="8"/>
      <c r="R412" s="8"/>
      <c r="S412" s="8"/>
      <c r="T412" s="8"/>
      <c r="U412" s="8"/>
      <c r="V412" s="8"/>
      <c r="W412" s="8"/>
      <c r="X412" s="8"/>
      <c r="Y412" s="8"/>
      <c r="Z412" s="8"/>
    </row>
    <row r="413" ht="16.5" customHeight="1">
      <c r="A413" s="8"/>
      <c r="B413" s="27"/>
      <c r="C413" s="27"/>
      <c r="D413" s="27"/>
      <c r="E413" s="28"/>
      <c r="F413" s="31"/>
      <c r="G413" s="28"/>
      <c r="H413" s="157"/>
      <c r="I413" s="158"/>
      <c r="J413" s="27"/>
      <c r="K413" s="28"/>
      <c r="L413" s="28"/>
      <c r="M413" s="27"/>
      <c r="N413" s="31"/>
      <c r="O413" s="31"/>
      <c r="P413" s="8"/>
      <c r="Q413" s="8"/>
      <c r="R413" s="8"/>
      <c r="S413" s="8"/>
      <c r="T413" s="8"/>
      <c r="U413" s="8"/>
      <c r="V413" s="8"/>
      <c r="W413" s="8"/>
      <c r="X413" s="8"/>
      <c r="Y413" s="8"/>
      <c r="Z413" s="8"/>
    </row>
    <row r="414" ht="16.5" customHeight="1">
      <c r="A414" s="8"/>
      <c r="B414" s="27"/>
      <c r="C414" s="27"/>
      <c r="D414" s="27"/>
      <c r="E414" s="28"/>
      <c r="F414" s="31"/>
      <c r="G414" s="28"/>
      <c r="H414" s="157"/>
      <c r="I414" s="158"/>
      <c r="J414" s="27"/>
      <c r="K414" s="28"/>
      <c r="L414" s="28"/>
      <c r="M414" s="27"/>
      <c r="N414" s="31"/>
      <c r="O414" s="31"/>
      <c r="P414" s="8"/>
      <c r="Q414" s="8"/>
      <c r="R414" s="8"/>
      <c r="S414" s="8"/>
      <c r="T414" s="8"/>
      <c r="U414" s="8"/>
      <c r="V414" s="8"/>
      <c r="W414" s="8"/>
      <c r="X414" s="8"/>
      <c r="Y414" s="8"/>
      <c r="Z414" s="8"/>
    </row>
    <row r="415" ht="16.5" customHeight="1">
      <c r="A415" s="8"/>
      <c r="B415" s="27"/>
      <c r="C415" s="27"/>
      <c r="D415" s="27"/>
      <c r="E415" s="28"/>
      <c r="F415" s="31"/>
      <c r="G415" s="28"/>
      <c r="H415" s="157"/>
      <c r="I415" s="158"/>
      <c r="J415" s="27"/>
      <c r="K415" s="28"/>
      <c r="L415" s="28"/>
      <c r="M415" s="27"/>
      <c r="N415" s="31"/>
      <c r="O415" s="31"/>
      <c r="P415" s="8"/>
      <c r="Q415" s="8"/>
      <c r="R415" s="8"/>
      <c r="S415" s="8"/>
      <c r="T415" s="8"/>
      <c r="U415" s="8"/>
      <c r="V415" s="8"/>
      <c r="W415" s="8"/>
      <c r="X415" s="8"/>
      <c r="Y415" s="8"/>
      <c r="Z415" s="8"/>
    </row>
    <row r="416" ht="16.5" customHeight="1">
      <c r="A416" s="8"/>
      <c r="B416" s="27"/>
      <c r="C416" s="27"/>
      <c r="D416" s="27"/>
      <c r="E416" s="28"/>
      <c r="F416" s="31"/>
      <c r="G416" s="28"/>
      <c r="H416" s="157"/>
      <c r="I416" s="158"/>
      <c r="J416" s="27"/>
      <c r="K416" s="28"/>
      <c r="L416" s="28"/>
      <c r="M416" s="27"/>
      <c r="N416" s="31"/>
      <c r="O416" s="31"/>
      <c r="P416" s="8"/>
      <c r="Q416" s="8"/>
      <c r="R416" s="8"/>
      <c r="S416" s="8"/>
      <c r="T416" s="8"/>
      <c r="U416" s="8"/>
      <c r="V416" s="8"/>
      <c r="W416" s="8"/>
      <c r="X416" s="8"/>
      <c r="Y416" s="8"/>
      <c r="Z416" s="8"/>
    </row>
    <row r="417" ht="16.5" customHeight="1">
      <c r="A417" s="8"/>
      <c r="B417" s="27"/>
      <c r="C417" s="27"/>
      <c r="D417" s="27"/>
      <c r="E417" s="28"/>
      <c r="F417" s="31"/>
      <c r="G417" s="28"/>
      <c r="H417" s="157"/>
      <c r="I417" s="158"/>
      <c r="J417" s="27"/>
      <c r="K417" s="28"/>
      <c r="L417" s="28"/>
      <c r="M417" s="27"/>
      <c r="N417" s="31"/>
      <c r="O417" s="31"/>
      <c r="P417" s="8"/>
      <c r="Q417" s="8"/>
      <c r="R417" s="8"/>
      <c r="S417" s="8"/>
      <c r="T417" s="8"/>
      <c r="U417" s="8"/>
      <c r="V417" s="8"/>
      <c r="W417" s="8"/>
      <c r="X417" s="8"/>
      <c r="Y417" s="8"/>
      <c r="Z417" s="8"/>
    </row>
    <row r="418" ht="16.5" customHeight="1">
      <c r="A418" s="8"/>
      <c r="B418" s="27"/>
      <c r="C418" s="27"/>
      <c r="D418" s="27"/>
      <c r="E418" s="28"/>
      <c r="F418" s="31"/>
      <c r="G418" s="28"/>
      <c r="H418" s="157"/>
      <c r="I418" s="158"/>
      <c r="J418" s="27"/>
      <c r="K418" s="28"/>
      <c r="L418" s="28"/>
      <c r="M418" s="27"/>
      <c r="N418" s="31"/>
      <c r="O418" s="31"/>
      <c r="P418" s="8"/>
      <c r="Q418" s="8"/>
      <c r="R418" s="8"/>
      <c r="S418" s="8"/>
      <c r="T418" s="8"/>
      <c r="U418" s="8"/>
      <c r="V418" s="8"/>
      <c r="W418" s="8"/>
      <c r="X418" s="8"/>
      <c r="Y418" s="8"/>
      <c r="Z418" s="8"/>
    </row>
    <row r="419" ht="16.5" customHeight="1">
      <c r="A419" s="8"/>
      <c r="B419" s="27"/>
      <c r="C419" s="27"/>
      <c r="D419" s="27"/>
      <c r="E419" s="28"/>
      <c r="F419" s="31"/>
      <c r="G419" s="28"/>
      <c r="H419" s="157"/>
      <c r="I419" s="158"/>
      <c r="J419" s="27"/>
      <c r="K419" s="28"/>
      <c r="L419" s="28"/>
      <c r="M419" s="27"/>
      <c r="N419" s="31"/>
      <c r="O419" s="31"/>
      <c r="P419" s="8"/>
      <c r="Q419" s="8"/>
      <c r="R419" s="8"/>
      <c r="S419" s="8"/>
      <c r="T419" s="8"/>
      <c r="U419" s="8"/>
      <c r="V419" s="8"/>
      <c r="W419" s="8"/>
      <c r="X419" s="8"/>
      <c r="Y419" s="8"/>
      <c r="Z419" s="8"/>
    </row>
    <row r="420" ht="16.5" customHeight="1">
      <c r="A420" s="8"/>
      <c r="B420" s="27"/>
      <c r="C420" s="27"/>
      <c r="D420" s="27"/>
      <c r="E420" s="28"/>
      <c r="F420" s="31"/>
      <c r="G420" s="28"/>
      <c r="H420" s="157"/>
      <c r="I420" s="158"/>
      <c r="J420" s="27"/>
      <c r="K420" s="28"/>
      <c r="L420" s="28"/>
      <c r="M420" s="27"/>
      <c r="N420" s="31"/>
      <c r="O420" s="31"/>
      <c r="P420" s="8"/>
      <c r="Q420" s="8"/>
      <c r="R420" s="8"/>
      <c r="S420" s="8"/>
      <c r="T420" s="8"/>
      <c r="U420" s="8"/>
      <c r="V420" s="8"/>
      <c r="W420" s="8"/>
      <c r="X420" s="8"/>
      <c r="Y420" s="8"/>
      <c r="Z420" s="8"/>
    </row>
    <row r="421" ht="16.5" customHeight="1">
      <c r="A421" s="8"/>
      <c r="B421" s="27"/>
      <c r="C421" s="27"/>
      <c r="D421" s="27"/>
      <c r="E421" s="28"/>
      <c r="F421" s="31"/>
      <c r="G421" s="28"/>
      <c r="H421" s="157"/>
      <c r="I421" s="158"/>
      <c r="J421" s="27"/>
      <c r="K421" s="28"/>
      <c r="L421" s="28"/>
      <c r="M421" s="27"/>
      <c r="N421" s="31"/>
      <c r="O421" s="31"/>
      <c r="P421" s="8"/>
      <c r="Q421" s="8"/>
      <c r="R421" s="8"/>
      <c r="S421" s="8"/>
      <c r="T421" s="8"/>
      <c r="U421" s="8"/>
      <c r="V421" s="8"/>
      <c r="W421" s="8"/>
      <c r="X421" s="8"/>
      <c r="Y421" s="8"/>
      <c r="Z421" s="8"/>
    </row>
    <row r="422" ht="16.5" customHeight="1">
      <c r="A422" s="8"/>
      <c r="B422" s="27"/>
      <c r="C422" s="27"/>
      <c r="D422" s="27"/>
      <c r="E422" s="28"/>
      <c r="F422" s="31"/>
      <c r="G422" s="28"/>
      <c r="H422" s="157"/>
      <c r="I422" s="158"/>
      <c r="J422" s="27"/>
      <c r="K422" s="28"/>
      <c r="L422" s="28"/>
      <c r="M422" s="27"/>
      <c r="N422" s="31"/>
      <c r="O422" s="31"/>
      <c r="P422" s="8"/>
      <c r="Q422" s="8"/>
      <c r="R422" s="8"/>
      <c r="S422" s="8"/>
      <c r="T422" s="8"/>
      <c r="U422" s="8"/>
      <c r="V422" s="8"/>
      <c r="W422" s="8"/>
      <c r="X422" s="8"/>
      <c r="Y422" s="8"/>
      <c r="Z422" s="8"/>
    </row>
    <row r="423" ht="16.5" customHeight="1">
      <c r="A423" s="8"/>
      <c r="B423" s="27"/>
      <c r="C423" s="27"/>
      <c r="D423" s="27"/>
      <c r="E423" s="28"/>
      <c r="F423" s="31"/>
      <c r="G423" s="28"/>
      <c r="H423" s="157"/>
      <c r="I423" s="158"/>
      <c r="J423" s="27"/>
      <c r="K423" s="28"/>
      <c r="L423" s="28"/>
      <c r="M423" s="27"/>
      <c r="N423" s="31"/>
      <c r="O423" s="31"/>
      <c r="P423" s="8"/>
      <c r="Q423" s="8"/>
      <c r="R423" s="8"/>
      <c r="S423" s="8"/>
      <c r="T423" s="8"/>
      <c r="U423" s="8"/>
      <c r="V423" s="8"/>
      <c r="W423" s="8"/>
      <c r="X423" s="8"/>
      <c r="Y423" s="8"/>
      <c r="Z423" s="8"/>
    </row>
    <row r="424" ht="16.5" customHeight="1">
      <c r="A424" s="8"/>
      <c r="B424" s="27"/>
      <c r="C424" s="27"/>
      <c r="D424" s="27"/>
      <c r="E424" s="28"/>
      <c r="F424" s="31"/>
      <c r="G424" s="28"/>
      <c r="H424" s="157"/>
      <c r="I424" s="158"/>
      <c r="J424" s="27"/>
      <c r="K424" s="28"/>
      <c r="L424" s="28"/>
      <c r="M424" s="27"/>
      <c r="N424" s="31"/>
      <c r="O424" s="31"/>
      <c r="P424" s="8"/>
      <c r="Q424" s="8"/>
      <c r="R424" s="8"/>
      <c r="S424" s="8"/>
      <c r="T424" s="8"/>
      <c r="U424" s="8"/>
      <c r="V424" s="8"/>
      <c r="W424" s="8"/>
      <c r="X424" s="8"/>
      <c r="Y424" s="8"/>
      <c r="Z424" s="8"/>
    </row>
    <row r="425" ht="16.5" customHeight="1">
      <c r="A425" s="8"/>
      <c r="B425" s="27"/>
      <c r="C425" s="27"/>
      <c r="D425" s="27"/>
      <c r="E425" s="28"/>
      <c r="F425" s="31"/>
      <c r="G425" s="28"/>
      <c r="H425" s="157"/>
      <c r="I425" s="158"/>
      <c r="J425" s="27"/>
      <c r="K425" s="28"/>
      <c r="L425" s="28"/>
      <c r="M425" s="27"/>
      <c r="N425" s="31"/>
      <c r="O425" s="31"/>
      <c r="P425" s="8"/>
      <c r="Q425" s="8"/>
      <c r="R425" s="8"/>
      <c r="S425" s="8"/>
      <c r="T425" s="8"/>
      <c r="U425" s="8"/>
      <c r="V425" s="8"/>
      <c r="W425" s="8"/>
      <c r="X425" s="8"/>
      <c r="Y425" s="8"/>
      <c r="Z425" s="8"/>
    </row>
    <row r="426" ht="16.5" customHeight="1">
      <c r="A426" s="8"/>
      <c r="B426" s="27"/>
      <c r="C426" s="27"/>
      <c r="D426" s="27"/>
      <c r="E426" s="28"/>
      <c r="F426" s="31"/>
      <c r="G426" s="28"/>
      <c r="H426" s="157"/>
      <c r="I426" s="158"/>
      <c r="J426" s="27"/>
      <c r="K426" s="28"/>
      <c r="L426" s="28"/>
      <c r="M426" s="27"/>
      <c r="N426" s="31"/>
      <c r="O426" s="31"/>
      <c r="P426" s="8"/>
      <c r="Q426" s="8"/>
      <c r="R426" s="8"/>
      <c r="S426" s="8"/>
      <c r="T426" s="8"/>
      <c r="U426" s="8"/>
      <c r="V426" s="8"/>
      <c r="W426" s="8"/>
      <c r="X426" s="8"/>
      <c r="Y426" s="8"/>
      <c r="Z426" s="8"/>
    </row>
    <row r="427" ht="16.5" customHeight="1">
      <c r="A427" s="8"/>
      <c r="B427" s="27"/>
      <c r="C427" s="27"/>
      <c r="D427" s="27"/>
      <c r="E427" s="28"/>
      <c r="F427" s="31"/>
      <c r="G427" s="28"/>
      <c r="H427" s="157"/>
      <c r="I427" s="158"/>
      <c r="J427" s="27"/>
      <c r="K427" s="28"/>
      <c r="L427" s="28"/>
      <c r="M427" s="27"/>
      <c r="N427" s="31"/>
      <c r="O427" s="31"/>
      <c r="P427" s="8"/>
      <c r="Q427" s="8"/>
      <c r="R427" s="8"/>
      <c r="S427" s="8"/>
      <c r="T427" s="8"/>
      <c r="U427" s="8"/>
      <c r="V427" s="8"/>
      <c r="W427" s="8"/>
      <c r="X427" s="8"/>
      <c r="Y427" s="8"/>
      <c r="Z427" s="8"/>
    </row>
    <row r="428" ht="16.5" customHeight="1">
      <c r="A428" s="8"/>
      <c r="B428" s="27"/>
      <c r="C428" s="27"/>
      <c r="D428" s="27"/>
      <c r="E428" s="28"/>
      <c r="F428" s="31"/>
      <c r="G428" s="28"/>
      <c r="H428" s="157"/>
      <c r="I428" s="158"/>
      <c r="J428" s="27"/>
      <c r="K428" s="28"/>
      <c r="L428" s="28"/>
      <c r="M428" s="27"/>
      <c r="N428" s="31"/>
      <c r="O428" s="31"/>
      <c r="P428" s="8"/>
      <c r="Q428" s="8"/>
      <c r="R428" s="8"/>
      <c r="S428" s="8"/>
      <c r="T428" s="8"/>
      <c r="U428" s="8"/>
      <c r="V428" s="8"/>
      <c r="W428" s="8"/>
      <c r="X428" s="8"/>
      <c r="Y428" s="8"/>
      <c r="Z428" s="8"/>
    </row>
    <row r="429" ht="16.5" customHeight="1">
      <c r="A429" s="8"/>
      <c r="B429" s="27"/>
      <c r="C429" s="27"/>
      <c r="D429" s="27"/>
      <c r="E429" s="28"/>
      <c r="F429" s="31"/>
      <c r="G429" s="28"/>
      <c r="H429" s="157"/>
      <c r="I429" s="158"/>
      <c r="J429" s="27"/>
      <c r="K429" s="28"/>
      <c r="L429" s="28"/>
      <c r="M429" s="27"/>
      <c r="N429" s="31"/>
      <c r="O429" s="31"/>
      <c r="P429" s="8"/>
      <c r="Q429" s="8"/>
      <c r="R429" s="8"/>
      <c r="S429" s="8"/>
      <c r="T429" s="8"/>
      <c r="U429" s="8"/>
      <c r="V429" s="8"/>
      <c r="W429" s="8"/>
      <c r="X429" s="8"/>
      <c r="Y429" s="8"/>
      <c r="Z429" s="8"/>
    </row>
    <row r="430" ht="16.5" customHeight="1">
      <c r="A430" s="8"/>
      <c r="B430" s="27"/>
      <c r="C430" s="27"/>
      <c r="D430" s="27"/>
      <c r="E430" s="28"/>
      <c r="F430" s="31"/>
      <c r="G430" s="28"/>
      <c r="H430" s="157"/>
      <c r="I430" s="158"/>
      <c r="J430" s="27"/>
      <c r="K430" s="28"/>
      <c r="L430" s="28"/>
      <c r="M430" s="27"/>
      <c r="N430" s="31"/>
      <c r="O430" s="31"/>
      <c r="P430" s="8"/>
      <c r="Q430" s="8"/>
      <c r="R430" s="8"/>
      <c r="S430" s="8"/>
      <c r="T430" s="8"/>
      <c r="U430" s="8"/>
      <c r="V430" s="8"/>
      <c r="W430" s="8"/>
      <c r="X430" s="8"/>
      <c r="Y430" s="8"/>
      <c r="Z430" s="8"/>
    </row>
    <row r="431" ht="16.5" customHeight="1">
      <c r="A431" s="8"/>
      <c r="B431" s="27"/>
      <c r="C431" s="27"/>
      <c r="D431" s="27"/>
      <c r="E431" s="28"/>
      <c r="F431" s="31"/>
      <c r="G431" s="28"/>
      <c r="H431" s="157"/>
      <c r="I431" s="158"/>
      <c r="J431" s="27"/>
      <c r="K431" s="28"/>
      <c r="L431" s="28"/>
      <c r="M431" s="27"/>
      <c r="N431" s="31"/>
      <c r="O431" s="31"/>
      <c r="P431" s="8"/>
      <c r="Q431" s="8"/>
      <c r="R431" s="8"/>
      <c r="S431" s="8"/>
      <c r="T431" s="8"/>
      <c r="U431" s="8"/>
      <c r="V431" s="8"/>
      <c r="W431" s="8"/>
      <c r="X431" s="8"/>
      <c r="Y431" s="8"/>
      <c r="Z431" s="8"/>
    </row>
    <row r="432" ht="16.5" customHeight="1">
      <c r="A432" s="8"/>
      <c r="B432" s="27"/>
      <c r="C432" s="27"/>
      <c r="D432" s="27"/>
      <c r="E432" s="28"/>
      <c r="F432" s="31"/>
      <c r="G432" s="28"/>
      <c r="H432" s="157"/>
      <c r="I432" s="158"/>
      <c r="J432" s="27"/>
      <c r="K432" s="28"/>
      <c r="L432" s="28"/>
      <c r="M432" s="27"/>
      <c r="N432" s="31"/>
      <c r="O432" s="31"/>
      <c r="P432" s="8"/>
      <c r="Q432" s="8"/>
      <c r="R432" s="8"/>
      <c r="S432" s="8"/>
      <c r="T432" s="8"/>
      <c r="U432" s="8"/>
      <c r="V432" s="8"/>
      <c r="W432" s="8"/>
      <c r="X432" s="8"/>
      <c r="Y432" s="8"/>
      <c r="Z432" s="8"/>
    </row>
    <row r="433" ht="16.5" customHeight="1">
      <c r="A433" s="8"/>
      <c r="B433" s="27"/>
      <c r="C433" s="27"/>
      <c r="D433" s="27"/>
      <c r="E433" s="28"/>
      <c r="F433" s="31"/>
      <c r="G433" s="28"/>
      <c r="H433" s="157"/>
      <c r="I433" s="158"/>
      <c r="J433" s="27"/>
      <c r="K433" s="28"/>
      <c r="L433" s="28"/>
      <c r="M433" s="27"/>
      <c r="N433" s="31"/>
      <c r="O433" s="31"/>
      <c r="P433" s="8"/>
      <c r="Q433" s="8"/>
      <c r="R433" s="8"/>
      <c r="S433" s="8"/>
      <c r="T433" s="8"/>
      <c r="U433" s="8"/>
      <c r="V433" s="8"/>
      <c r="W433" s="8"/>
      <c r="X433" s="8"/>
      <c r="Y433" s="8"/>
      <c r="Z433" s="8"/>
    </row>
    <row r="434" ht="16.5" customHeight="1">
      <c r="A434" s="8"/>
      <c r="B434" s="27"/>
      <c r="C434" s="27"/>
      <c r="D434" s="27"/>
      <c r="E434" s="28"/>
      <c r="F434" s="31"/>
      <c r="G434" s="28"/>
      <c r="H434" s="157"/>
      <c r="I434" s="158"/>
      <c r="J434" s="27"/>
      <c r="K434" s="28"/>
      <c r="L434" s="28"/>
      <c r="M434" s="27"/>
      <c r="N434" s="31"/>
      <c r="O434" s="31"/>
      <c r="P434" s="8"/>
      <c r="Q434" s="8"/>
      <c r="R434" s="8"/>
      <c r="S434" s="8"/>
      <c r="T434" s="8"/>
      <c r="U434" s="8"/>
      <c r="V434" s="8"/>
      <c r="W434" s="8"/>
      <c r="X434" s="8"/>
      <c r="Y434" s="8"/>
      <c r="Z434" s="8"/>
    </row>
    <row r="435" ht="16.5" customHeight="1">
      <c r="A435" s="8"/>
      <c r="B435" s="27"/>
      <c r="C435" s="27"/>
      <c r="D435" s="27"/>
      <c r="E435" s="28"/>
      <c r="F435" s="31"/>
      <c r="G435" s="28"/>
      <c r="H435" s="157"/>
      <c r="I435" s="158"/>
      <c r="J435" s="27"/>
      <c r="K435" s="28"/>
      <c r="L435" s="28"/>
      <c r="M435" s="27"/>
      <c r="N435" s="31"/>
      <c r="O435" s="31"/>
      <c r="P435" s="8"/>
      <c r="Q435" s="8"/>
      <c r="R435" s="8"/>
      <c r="S435" s="8"/>
      <c r="T435" s="8"/>
      <c r="U435" s="8"/>
      <c r="V435" s="8"/>
      <c r="W435" s="8"/>
      <c r="X435" s="8"/>
      <c r="Y435" s="8"/>
      <c r="Z435" s="8"/>
    </row>
    <row r="436" ht="16.5" customHeight="1">
      <c r="A436" s="8"/>
      <c r="B436" s="27"/>
      <c r="C436" s="27"/>
      <c r="D436" s="27"/>
      <c r="E436" s="28"/>
      <c r="F436" s="31"/>
      <c r="G436" s="28"/>
      <c r="H436" s="157"/>
      <c r="I436" s="158"/>
      <c r="J436" s="27"/>
      <c r="K436" s="28"/>
      <c r="L436" s="28"/>
      <c r="M436" s="27"/>
      <c r="N436" s="31"/>
      <c r="O436" s="31"/>
      <c r="P436" s="8"/>
      <c r="Q436" s="8"/>
      <c r="R436" s="8"/>
      <c r="S436" s="8"/>
      <c r="T436" s="8"/>
      <c r="U436" s="8"/>
      <c r="V436" s="8"/>
      <c r="W436" s="8"/>
      <c r="X436" s="8"/>
      <c r="Y436" s="8"/>
      <c r="Z436" s="8"/>
    </row>
    <row r="437" ht="16.5" customHeight="1">
      <c r="A437" s="8"/>
      <c r="B437" s="27"/>
      <c r="C437" s="27"/>
      <c r="D437" s="27"/>
      <c r="E437" s="28"/>
      <c r="F437" s="31"/>
      <c r="G437" s="28"/>
      <c r="H437" s="157"/>
      <c r="I437" s="158"/>
      <c r="J437" s="27"/>
      <c r="K437" s="28"/>
      <c r="L437" s="28"/>
      <c r="M437" s="27"/>
      <c r="N437" s="31"/>
      <c r="O437" s="31"/>
      <c r="P437" s="8"/>
      <c r="Q437" s="8"/>
      <c r="R437" s="8"/>
      <c r="S437" s="8"/>
      <c r="T437" s="8"/>
      <c r="U437" s="8"/>
      <c r="V437" s="8"/>
      <c r="W437" s="8"/>
      <c r="X437" s="8"/>
      <c r="Y437" s="8"/>
      <c r="Z437" s="8"/>
    </row>
    <row r="438" ht="16.5" customHeight="1">
      <c r="A438" s="8"/>
      <c r="B438" s="27"/>
      <c r="C438" s="27"/>
      <c r="D438" s="27"/>
      <c r="E438" s="28"/>
      <c r="F438" s="31"/>
      <c r="G438" s="28"/>
      <c r="H438" s="157"/>
      <c r="I438" s="158"/>
      <c r="J438" s="27"/>
      <c r="K438" s="28"/>
      <c r="L438" s="28"/>
      <c r="M438" s="27"/>
      <c r="N438" s="31"/>
      <c r="O438" s="31"/>
      <c r="P438" s="8"/>
      <c r="Q438" s="8"/>
      <c r="R438" s="8"/>
      <c r="S438" s="8"/>
      <c r="T438" s="8"/>
      <c r="U438" s="8"/>
      <c r="V438" s="8"/>
      <c r="W438" s="8"/>
      <c r="X438" s="8"/>
      <c r="Y438" s="8"/>
      <c r="Z438" s="8"/>
    </row>
    <row r="439" ht="16.5" customHeight="1">
      <c r="A439" s="8"/>
      <c r="B439" s="27"/>
      <c r="C439" s="27"/>
      <c r="D439" s="27"/>
      <c r="E439" s="28"/>
      <c r="F439" s="31"/>
      <c r="G439" s="28"/>
      <c r="H439" s="157"/>
      <c r="I439" s="158"/>
      <c r="J439" s="27"/>
      <c r="K439" s="28"/>
      <c r="L439" s="28"/>
      <c r="M439" s="27"/>
      <c r="N439" s="31"/>
      <c r="O439" s="31"/>
      <c r="P439" s="8"/>
      <c r="Q439" s="8"/>
      <c r="R439" s="8"/>
      <c r="S439" s="8"/>
      <c r="T439" s="8"/>
      <c r="U439" s="8"/>
      <c r="V439" s="8"/>
      <c r="W439" s="8"/>
      <c r="X439" s="8"/>
      <c r="Y439" s="8"/>
      <c r="Z439" s="8"/>
    </row>
    <row r="440" ht="16.5" customHeight="1">
      <c r="A440" s="8"/>
      <c r="B440" s="27"/>
      <c r="C440" s="27"/>
      <c r="D440" s="27"/>
      <c r="E440" s="28"/>
      <c r="F440" s="31"/>
      <c r="G440" s="28"/>
      <c r="H440" s="157"/>
      <c r="I440" s="158"/>
      <c r="J440" s="27"/>
      <c r="K440" s="28"/>
      <c r="L440" s="28"/>
      <c r="M440" s="27"/>
      <c r="N440" s="31"/>
      <c r="O440" s="31"/>
      <c r="P440" s="8"/>
      <c r="Q440" s="8"/>
      <c r="R440" s="8"/>
      <c r="S440" s="8"/>
      <c r="T440" s="8"/>
      <c r="U440" s="8"/>
      <c r="V440" s="8"/>
      <c r="W440" s="8"/>
      <c r="X440" s="8"/>
      <c r="Y440" s="8"/>
      <c r="Z440" s="8"/>
    </row>
    <row r="441" ht="16.5" customHeight="1">
      <c r="A441" s="8"/>
      <c r="B441" s="27"/>
      <c r="C441" s="27"/>
      <c r="D441" s="27"/>
      <c r="E441" s="28"/>
      <c r="F441" s="31"/>
      <c r="G441" s="28"/>
      <c r="H441" s="157"/>
      <c r="I441" s="158"/>
      <c r="J441" s="27"/>
      <c r="K441" s="28"/>
      <c r="L441" s="28"/>
      <c r="M441" s="27"/>
      <c r="N441" s="31"/>
      <c r="O441" s="31"/>
      <c r="P441" s="8"/>
      <c r="Q441" s="8"/>
      <c r="R441" s="8"/>
      <c r="S441" s="8"/>
      <c r="T441" s="8"/>
      <c r="U441" s="8"/>
      <c r="V441" s="8"/>
      <c r="W441" s="8"/>
      <c r="X441" s="8"/>
      <c r="Y441" s="8"/>
      <c r="Z441" s="8"/>
    </row>
    <row r="442" ht="16.5" customHeight="1">
      <c r="A442" s="8"/>
      <c r="B442" s="27"/>
      <c r="C442" s="27"/>
      <c r="D442" s="27"/>
      <c r="E442" s="28"/>
      <c r="F442" s="31"/>
      <c r="G442" s="28"/>
      <c r="H442" s="157"/>
      <c r="I442" s="158"/>
      <c r="J442" s="27"/>
      <c r="K442" s="28"/>
      <c r="L442" s="28"/>
      <c r="M442" s="27"/>
      <c r="N442" s="31"/>
      <c r="O442" s="31"/>
      <c r="P442" s="8"/>
      <c r="Q442" s="8"/>
      <c r="R442" s="8"/>
      <c r="S442" s="8"/>
      <c r="T442" s="8"/>
      <c r="U442" s="8"/>
      <c r="V442" s="8"/>
      <c r="W442" s="8"/>
      <c r="X442" s="8"/>
      <c r="Y442" s="8"/>
      <c r="Z442" s="8"/>
    </row>
    <row r="443" ht="16.5" customHeight="1">
      <c r="A443" s="8"/>
      <c r="B443" s="27"/>
      <c r="C443" s="27"/>
      <c r="D443" s="27"/>
      <c r="E443" s="28"/>
      <c r="F443" s="31"/>
      <c r="G443" s="28"/>
      <c r="H443" s="157"/>
      <c r="I443" s="158"/>
      <c r="J443" s="27"/>
      <c r="K443" s="28"/>
      <c r="L443" s="28"/>
      <c r="M443" s="27"/>
      <c r="N443" s="31"/>
      <c r="O443" s="31"/>
      <c r="P443" s="8"/>
      <c r="Q443" s="8"/>
      <c r="R443" s="8"/>
      <c r="S443" s="8"/>
      <c r="T443" s="8"/>
      <c r="U443" s="8"/>
      <c r="V443" s="8"/>
      <c r="W443" s="8"/>
      <c r="X443" s="8"/>
      <c r="Y443" s="8"/>
      <c r="Z443" s="8"/>
    </row>
    <row r="444" ht="16.5" customHeight="1">
      <c r="A444" s="8"/>
      <c r="B444" s="27"/>
      <c r="C444" s="27"/>
      <c r="D444" s="27"/>
      <c r="E444" s="28"/>
      <c r="F444" s="31"/>
      <c r="G444" s="28"/>
      <c r="H444" s="157"/>
      <c r="I444" s="158"/>
      <c r="J444" s="27"/>
      <c r="K444" s="28"/>
      <c r="L444" s="28"/>
      <c r="M444" s="27"/>
      <c r="N444" s="31"/>
      <c r="O444" s="31"/>
      <c r="P444" s="8"/>
      <c r="Q444" s="8"/>
      <c r="R444" s="8"/>
      <c r="S444" s="8"/>
      <c r="T444" s="8"/>
      <c r="U444" s="8"/>
      <c r="V444" s="8"/>
      <c r="W444" s="8"/>
      <c r="X444" s="8"/>
      <c r="Y444" s="8"/>
      <c r="Z444" s="8"/>
    </row>
    <row r="445" ht="16.5" customHeight="1">
      <c r="A445" s="8"/>
      <c r="B445" s="27"/>
      <c r="C445" s="27"/>
      <c r="D445" s="27"/>
      <c r="E445" s="28"/>
      <c r="F445" s="31"/>
      <c r="G445" s="28"/>
      <c r="H445" s="157"/>
      <c r="I445" s="158"/>
      <c r="J445" s="27"/>
      <c r="K445" s="28"/>
      <c r="L445" s="28"/>
      <c r="M445" s="27"/>
      <c r="N445" s="31"/>
      <c r="O445" s="31"/>
      <c r="P445" s="8"/>
      <c r="Q445" s="8"/>
      <c r="R445" s="8"/>
      <c r="S445" s="8"/>
      <c r="T445" s="8"/>
      <c r="U445" s="8"/>
      <c r="V445" s="8"/>
      <c r="W445" s="8"/>
      <c r="X445" s="8"/>
      <c r="Y445" s="8"/>
      <c r="Z445" s="8"/>
    </row>
    <row r="446" ht="16.5" customHeight="1">
      <c r="A446" s="8"/>
      <c r="B446" s="27"/>
      <c r="C446" s="27"/>
      <c r="D446" s="27"/>
      <c r="E446" s="28"/>
      <c r="F446" s="31"/>
      <c r="G446" s="28"/>
      <c r="H446" s="157"/>
      <c r="I446" s="158"/>
      <c r="J446" s="27"/>
      <c r="K446" s="28"/>
      <c r="L446" s="28"/>
      <c r="M446" s="27"/>
      <c r="N446" s="31"/>
      <c r="O446" s="31"/>
      <c r="P446" s="8"/>
      <c r="Q446" s="8"/>
      <c r="R446" s="8"/>
      <c r="S446" s="8"/>
      <c r="T446" s="8"/>
      <c r="U446" s="8"/>
      <c r="V446" s="8"/>
      <c r="W446" s="8"/>
      <c r="X446" s="8"/>
      <c r="Y446" s="8"/>
      <c r="Z446" s="8"/>
    </row>
    <row r="447" ht="16.5" customHeight="1">
      <c r="A447" s="8"/>
      <c r="B447" s="27"/>
      <c r="C447" s="27"/>
      <c r="D447" s="27"/>
      <c r="E447" s="28"/>
      <c r="F447" s="31"/>
      <c r="G447" s="28"/>
      <c r="H447" s="157"/>
      <c r="I447" s="158"/>
      <c r="J447" s="27"/>
      <c r="K447" s="28"/>
      <c r="L447" s="28"/>
      <c r="M447" s="27"/>
      <c r="N447" s="31"/>
      <c r="O447" s="31"/>
      <c r="P447" s="8"/>
      <c r="Q447" s="8"/>
      <c r="R447" s="8"/>
      <c r="S447" s="8"/>
      <c r="T447" s="8"/>
      <c r="U447" s="8"/>
      <c r="V447" s="8"/>
      <c r="W447" s="8"/>
      <c r="X447" s="8"/>
      <c r="Y447" s="8"/>
      <c r="Z447" s="8"/>
    </row>
    <row r="448" ht="16.5" customHeight="1">
      <c r="A448" s="8"/>
      <c r="B448" s="27"/>
      <c r="C448" s="27"/>
      <c r="D448" s="27"/>
      <c r="E448" s="28"/>
      <c r="F448" s="31"/>
      <c r="G448" s="28"/>
      <c r="H448" s="157"/>
      <c r="I448" s="158"/>
      <c r="J448" s="27"/>
      <c r="K448" s="28"/>
      <c r="L448" s="28"/>
      <c r="M448" s="27"/>
      <c r="N448" s="31"/>
      <c r="O448" s="31"/>
      <c r="P448" s="8"/>
      <c r="Q448" s="8"/>
      <c r="R448" s="8"/>
      <c r="S448" s="8"/>
      <c r="T448" s="8"/>
      <c r="U448" s="8"/>
      <c r="V448" s="8"/>
      <c r="W448" s="8"/>
      <c r="X448" s="8"/>
      <c r="Y448" s="8"/>
      <c r="Z448" s="8"/>
    </row>
    <row r="449" ht="16.5" customHeight="1">
      <c r="A449" s="8"/>
      <c r="B449" s="27"/>
      <c r="C449" s="27"/>
      <c r="D449" s="27"/>
      <c r="E449" s="28"/>
      <c r="F449" s="31"/>
      <c r="G449" s="28"/>
      <c r="H449" s="157"/>
      <c r="I449" s="158"/>
      <c r="J449" s="27"/>
      <c r="K449" s="28"/>
      <c r="L449" s="28"/>
      <c r="M449" s="27"/>
      <c r="N449" s="31"/>
      <c r="O449" s="31"/>
      <c r="P449" s="8"/>
      <c r="Q449" s="8"/>
      <c r="R449" s="8"/>
      <c r="S449" s="8"/>
      <c r="T449" s="8"/>
      <c r="U449" s="8"/>
      <c r="V449" s="8"/>
      <c r="W449" s="8"/>
      <c r="X449" s="8"/>
      <c r="Y449" s="8"/>
      <c r="Z449" s="8"/>
    </row>
    <row r="450" ht="16.5" customHeight="1">
      <c r="A450" s="8"/>
      <c r="B450" s="27"/>
      <c r="C450" s="27"/>
      <c r="D450" s="27"/>
      <c r="E450" s="28"/>
      <c r="F450" s="31"/>
      <c r="G450" s="28"/>
      <c r="H450" s="157"/>
      <c r="I450" s="158"/>
      <c r="J450" s="27"/>
      <c r="K450" s="28"/>
      <c r="L450" s="28"/>
      <c r="M450" s="27"/>
      <c r="N450" s="31"/>
      <c r="O450" s="31"/>
      <c r="P450" s="8"/>
      <c r="Q450" s="8"/>
      <c r="R450" s="8"/>
      <c r="S450" s="8"/>
      <c r="T450" s="8"/>
      <c r="U450" s="8"/>
      <c r="V450" s="8"/>
      <c r="W450" s="8"/>
      <c r="X450" s="8"/>
      <c r="Y450" s="8"/>
      <c r="Z450" s="8"/>
    </row>
    <row r="451" ht="16.5" customHeight="1">
      <c r="A451" s="8"/>
      <c r="B451" s="27"/>
      <c r="C451" s="27"/>
      <c r="D451" s="27"/>
      <c r="E451" s="28"/>
      <c r="F451" s="31"/>
      <c r="G451" s="28"/>
      <c r="H451" s="157"/>
      <c r="I451" s="158"/>
      <c r="J451" s="27"/>
      <c r="K451" s="28"/>
      <c r="L451" s="28"/>
      <c r="M451" s="27"/>
      <c r="N451" s="31"/>
      <c r="O451" s="31"/>
      <c r="P451" s="8"/>
      <c r="Q451" s="8"/>
      <c r="R451" s="8"/>
      <c r="S451" s="8"/>
      <c r="T451" s="8"/>
      <c r="U451" s="8"/>
      <c r="V451" s="8"/>
      <c r="W451" s="8"/>
      <c r="X451" s="8"/>
      <c r="Y451" s="8"/>
      <c r="Z451" s="8"/>
    </row>
    <row r="452" ht="16.5" customHeight="1">
      <c r="A452" s="8"/>
      <c r="B452" s="27"/>
      <c r="C452" s="27"/>
      <c r="D452" s="27"/>
      <c r="E452" s="28"/>
      <c r="F452" s="31"/>
      <c r="G452" s="28"/>
      <c r="H452" s="157"/>
      <c r="I452" s="158"/>
      <c r="J452" s="27"/>
      <c r="K452" s="28"/>
      <c r="L452" s="28"/>
      <c r="M452" s="27"/>
      <c r="N452" s="31"/>
      <c r="O452" s="31"/>
      <c r="P452" s="8"/>
      <c r="Q452" s="8"/>
      <c r="R452" s="8"/>
      <c r="S452" s="8"/>
      <c r="T452" s="8"/>
      <c r="U452" s="8"/>
      <c r="V452" s="8"/>
      <c r="W452" s="8"/>
      <c r="X452" s="8"/>
      <c r="Y452" s="8"/>
      <c r="Z452" s="8"/>
    </row>
    <row r="453" ht="16.5" customHeight="1">
      <c r="A453" s="8"/>
      <c r="B453" s="27"/>
      <c r="C453" s="27"/>
      <c r="D453" s="27"/>
      <c r="E453" s="28"/>
      <c r="F453" s="31"/>
      <c r="G453" s="28"/>
      <c r="H453" s="157"/>
      <c r="I453" s="158"/>
      <c r="J453" s="27"/>
      <c r="K453" s="28"/>
      <c r="L453" s="28"/>
      <c r="M453" s="27"/>
      <c r="N453" s="31"/>
      <c r="O453" s="31"/>
      <c r="P453" s="8"/>
      <c r="Q453" s="8"/>
      <c r="R453" s="8"/>
      <c r="S453" s="8"/>
      <c r="T453" s="8"/>
      <c r="U453" s="8"/>
      <c r="V453" s="8"/>
      <c r="W453" s="8"/>
      <c r="X453" s="8"/>
      <c r="Y453" s="8"/>
      <c r="Z453" s="8"/>
    </row>
    <row r="454" ht="16.5" customHeight="1">
      <c r="A454" s="8"/>
      <c r="B454" s="27"/>
      <c r="C454" s="27"/>
      <c r="D454" s="27"/>
      <c r="E454" s="28"/>
      <c r="F454" s="31"/>
      <c r="G454" s="28"/>
      <c r="H454" s="157"/>
      <c r="I454" s="158"/>
      <c r="J454" s="27"/>
      <c r="K454" s="28"/>
      <c r="L454" s="28"/>
      <c r="M454" s="27"/>
      <c r="N454" s="31"/>
      <c r="O454" s="31"/>
      <c r="P454" s="8"/>
      <c r="Q454" s="8"/>
      <c r="R454" s="8"/>
      <c r="S454" s="8"/>
      <c r="T454" s="8"/>
      <c r="U454" s="8"/>
      <c r="V454" s="8"/>
      <c r="W454" s="8"/>
      <c r="X454" s="8"/>
      <c r="Y454" s="8"/>
      <c r="Z454" s="8"/>
    </row>
    <row r="455" ht="16.5" customHeight="1">
      <c r="A455" s="8"/>
      <c r="B455" s="27"/>
      <c r="C455" s="27"/>
      <c r="D455" s="27"/>
      <c r="E455" s="28"/>
      <c r="F455" s="31"/>
      <c r="G455" s="28"/>
      <c r="H455" s="157"/>
      <c r="I455" s="158"/>
      <c r="J455" s="27"/>
      <c r="K455" s="28"/>
      <c r="L455" s="28"/>
      <c r="M455" s="27"/>
      <c r="N455" s="31"/>
      <c r="O455" s="31"/>
      <c r="P455" s="8"/>
      <c r="Q455" s="8"/>
      <c r="R455" s="8"/>
      <c r="S455" s="8"/>
      <c r="T455" s="8"/>
      <c r="U455" s="8"/>
      <c r="V455" s="8"/>
      <c r="W455" s="8"/>
      <c r="X455" s="8"/>
      <c r="Y455" s="8"/>
      <c r="Z455" s="8"/>
    </row>
    <row r="456" ht="16.5" customHeight="1">
      <c r="A456" s="8"/>
      <c r="B456" s="27"/>
      <c r="C456" s="27"/>
      <c r="D456" s="27"/>
      <c r="E456" s="28"/>
      <c r="F456" s="31"/>
      <c r="G456" s="28"/>
      <c r="H456" s="157"/>
      <c r="I456" s="158"/>
      <c r="J456" s="27"/>
      <c r="K456" s="28"/>
      <c r="L456" s="28"/>
      <c r="M456" s="27"/>
      <c r="N456" s="31"/>
      <c r="O456" s="31"/>
      <c r="P456" s="8"/>
      <c r="Q456" s="8"/>
      <c r="R456" s="8"/>
      <c r="S456" s="8"/>
      <c r="T456" s="8"/>
      <c r="U456" s="8"/>
      <c r="V456" s="8"/>
      <c r="W456" s="8"/>
      <c r="X456" s="8"/>
      <c r="Y456" s="8"/>
      <c r="Z456" s="8"/>
    </row>
    <row r="457" ht="16.5" customHeight="1">
      <c r="A457" s="8"/>
      <c r="B457" s="27"/>
      <c r="C457" s="27"/>
      <c r="D457" s="27"/>
      <c r="E457" s="28"/>
      <c r="F457" s="31"/>
      <c r="G457" s="28"/>
      <c r="H457" s="157"/>
      <c r="I457" s="158"/>
      <c r="J457" s="27"/>
      <c r="K457" s="28"/>
      <c r="L457" s="28"/>
      <c r="M457" s="27"/>
      <c r="N457" s="31"/>
      <c r="O457" s="31"/>
      <c r="P457" s="8"/>
      <c r="Q457" s="8"/>
      <c r="R457" s="8"/>
      <c r="S457" s="8"/>
      <c r="T457" s="8"/>
      <c r="U457" s="8"/>
      <c r="V457" s="8"/>
      <c r="W457" s="8"/>
      <c r="X457" s="8"/>
      <c r="Y457" s="8"/>
      <c r="Z457" s="8"/>
    </row>
    <row r="458" ht="16.5" customHeight="1">
      <c r="A458" s="8"/>
      <c r="B458" s="27"/>
      <c r="C458" s="27"/>
      <c r="D458" s="27"/>
      <c r="E458" s="28"/>
      <c r="F458" s="31"/>
      <c r="G458" s="28"/>
      <c r="H458" s="157"/>
      <c r="I458" s="158"/>
      <c r="J458" s="27"/>
      <c r="K458" s="28"/>
      <c r="L458" s="28"/>
      <c r="M458" s="27"/>
      <c r="N458" s="31"/>
      <c r="O458" s="31"/>
      <c r="P458" s="8"/>
      <c r="Q458" s="8"/>
      <c r="R458" s="8"/>
      <c r="S458" s="8"/>
      <c r="T458" s="8"/>
      <c r="U458" s="8"/>
      <c r="V458" s="8"/>
      <c r="W458" s="8"/>
      <c r="X458" s="8"/>
      <c r="Y458" s="8"/>
      <c r="Z458" s="8"/>
    </row>
    <row r="459" ht="16.5" customHeight="1">
      <c r="A459" s="8"/>
      <c r="B459" s="27"/>
      <c r="C459" s="27"/>
      <c r="D459" s="27"/>
      <c r="E459" s="28"/>
      <c r="F459" s="31"/>
      <c r="G459" s="28"/>
      <c r="H459" s="157"/>
      <c r="I459" s="158"/>
      <c r="J459" s="27"/>
      <c r="K459" s="28"/>
      <c r="L459" s="28"/>
      <c r="M459" s="27"/>
      <c r="N459" s="31"/>
      <c r="O459" s="31"/>
      <c r="P459" s="8"/>
      <c r="Q459" s="8"/>
      <c r="R459" s="8"/>
      <c r="S459" s="8"/>
      <c r="T459" s="8"/>
      <c r="U459" s="8"/>
      <c r="V459" s="8"/>
      <c r="W459" s="8"/>
      <c r="X459" s="8"/>
      <c r="Y459" s="8"/>
      <c r="Z459" s="8"/>
    </row>
    <row r="460" ht="16.5" customHeight="1">
      <c r="A460" s="8"/>
      <c r="B460" s="27"/>
      <c r="C460" s="27"/>
      <c r="D460" s="27"/>
      <c r="E460" s="28"/>
      <c r="F460" s="31"/>
      <c r="G460" s="28"/>
      <c r="H460" s="157"/>
      <c r="I460" s="158"/>
      <c r="J460" s="27"/>
      <c r="K460" s="28"/>
      <c r="L460" s="28"/>
      <c r="M460" s="27"/>
      <c r="N460" s="31"/>
      <c r="O460" s="31"/>
      <c r="P460" s="8"/>
      <c r="Q460" s="8"/>
      <c r="R460" s="8"/>
      <c r="S460" s="8"/>
      <c r="T460" s="8"/>
      <c r="U460" s="8"/>
      <c r="V460" s="8"/>
      <c r="W460" s="8"/>
      <c r="X460" s="8"/>
      <c r="Y460" s="8"/>
      <c r="Z460" s="8"/>
    </row>
    <row r="461" ht="16.5" customHeight="1">
      <c r="A461" s="8"/>
      <c r="B461" s="27"/>
      <c r="C461" s="27"/>
      <c r="D461" s="27"/>
      <c r="E461" s="28"/>
      <c r="F461" s="31"/>
      <c r="G461" s="28"/>
      <c r="H461" s="157"/>
      <c r="I461" s="158"/>
      <c r="J461" s="27"/>
      <c r="K461" s="28"/>
      <c r="L461" s="28"/>
      <c r="M461" s="27"/>
      <c r="N461" s="31"/>
      <c r="O461" s="31"/>
      <c r="P461" s="8"/>
      <c r="Q461" s="8"/>
      <c r="R461" s="8"/>
      <c r="S461" s="8"/>
      <c r="T461" s="8"/>
      <c r="U461" s="8"/>
      <c r="V461" s="8"/>
      <c r="W461" s="8"/>
      <c r="X461" s="8"/>
      <c r="Y461" s="8"/>
      <c r="Z461" s="8"/>
    </row>
    <row r="462" ht="16.5" customHeight="1">
      <c r="A462" s="8"/>
      <c r="B462" s="27"/>
      <c r="C462" s="27"/>
      <c r="D462" s="27"/>
      <c r="E462" s="28"/>
      <c r="F462" s="31"/>
      <c r="G462" s="28"/>
      <c r="H462" s="157"/>
      <c r="I462" s="158"/>
      <c r="J462" s="27"/>
      <c r="K462" s="28"/>
      <c r="L462" s="28"/>
      <c r="M462" s="27"/>
      <c r="N462" s="31"/>
      <c r="O462" s="31"/>
      <c r="P462" s="8"/>
      <c r="Q462" s="8"/>
      <c r="R462" s="8"/>
      <c r="S462" s="8"/>
      <c r="T462" s="8"/>
      <c r="U462" s="8"/>
      <c r="V462" s="8"/>
      <c r="W462" s="8"/>
      <c r="X462" s="8"/>
      <c r="Y462" s="8"/>
      <c r="Z462" s="8"/>
    </row>
    <row r="463" ht="16.5" customHeight="1">
      <c r="A463" s="8"/>
      <c r="B463" s="27"/>
      <c r="C463" s="27"/>
      <c r="D463" s="27"/>
      <c r="E463" s="28"/>
      <c r="F463" s="31"/>
      <c r="G463" s="28"/>
      <c r="H463" s="157"/>
      <c r="I463" s="158"/>
      <c r="J463" s="27"/>
      <c r="K463" s="28"/>
      <c r="L463" s="28"/>
      <c r="M463" s="27"/>
      <c r="N463" s="31"/>
      <c r="O463" s="31"/>
      <c r="P463" s="8"/>
      <c r="Q463" s="8"/>
      <c r="R463" s="8"/>
      <c r="S463" s="8"/>
      <c r="T463" s="8"/>
      <c r="U463" s="8"/>
      <c r="V463" s="8"/>
      <c r="W463" s="8"/>
      <c r="X463" s="8"/>
      <c r="Y463" s="8"/>
      <c r="Z463" s="8"/>
    </row>
    <row r="464" ht="16.5" customHeight="1">
      <c r="A464" s="8"/>
      <c r="B464" s="27"/>
      <c r="C464" s="27"/>
      <c r="D464" s="27"/>
      <c r="E464" s="28"/>
      <c r="F464" s="31"/>
      <c r="G464" s="28"/>
      <c r="H464" s="157"/>
      <c r="I464" s="158"/>
      <c r="J464" s="27"/>
      <c r="K464" s="28"/>
      <c r="L464" s="28"/>
      <c r="M464" s="27"/>
      <c r="N464" s="31"/>
      <c r="O464" s="31"/>
      <c r="P464" s="8"/>
      <c r="Q464" s="8"/>
      <c r="R464" s="8"/>
      <c r="S464" s="8"/>
      <c r="T464" s="8"/>
      <c r="U464" s="8"/>
      <c r="V464" s="8"/>
      <c r="W464" s="8"/>
      <c r="X464" s="8"/>
      <c r="Y464" s="8"/>
      <c r="Z464" s="8"/>
    </row>
    <row r="465" ht="16.5" customHeight="1">
      <c r="A465" s="8"/>
      <c r="B465" s="27"/>
      <c r="C465" s="27"/>
      <c r="D465" s="27"/>
      <c r="E465" s="28"/>
      <c r="F465" s="31"/>
      <c r="G465" s="28"/>
      <c r="H465" s="157"/>
      <c r="I465" s="158"/>
      <c r="J465" s="27"/>
      <c r="K465" s="28"/>
      <c r="L465" s="28"/>
      <c r="M465" s="27"/>
      <c r="N465" s="31"/>
      <c r="O465" s="31"/>
      <c r="P465" s="8"/>
      <c r="Q465" s="8"/>
      <c r="R465" s="8"/>
      <c r="S465" s="8"/>
      <c r="T465" s="8"/>
      <c r="U465" s="8"/>
      <c r="V465" s="8"/>
      <c r="W465" s="8"/>
      <c r="X465" s="8"/>
      <c r="Y465" s="8"/>
      <c r="Z465" s="8"/>
    </row>
    <row r="466" ht="16.5" customHeight="1">
      <c r="A466" s="8"/>
      <c r="B466" s="27"/>
      <c r="C466" s="27"/>
      <c r="D466" s="27"/>
      <c r="E466" s="28"/>
      <c r="F466" s="31"/>
      <c r="G466" s="28"/>
      <c r="H466" s="157"/>
      <c r="I466" s="158"/>
      <c r="J466" s="27"/>
      <c r="K466" s="28"/>
      <c r="L466" s="28"/>
      <c r="M466" s="27"/>
      <c r="N466" s="31"/>
      <c r="O466" s="31"/>
      <c r="P466" s="8"/>
      <c r="Q466" s="8"/>
      <c r="R466" s="8"/>
      <c r="S466" s="8"/>
      <c r="T466" s="8"/>
      <c r="U466" s="8"/>
      <c r="V466" s="8"/>
      <c r="W466" s="8"/>
      <c r="X466" s="8"/>
      <c r="Y466" s="8"/>
      <c r="Z466" s="8"/>
    </row>
    <row r="467" ht="16.5" customHeight="1">
      <c r="A467" s="8"/>
      <c r="B467" s="27"/>
      <c r="C467" s="27"/>
      <c r="D467" s="27"/>
      <c r="E467" s="28"/>
      <c r="F467" s="31"/>
      <c r="G467" s="28"/>
      <c r="H467" s="157"/>
      <c r="I467" s="158"/>
      <c r="J467" s="27"/>
      <c r="K467" s="28"/>
      <c r="L467" s="28"/>
      <c r="M467" s="27"/>
      <c r="N467" s="31"/>
      <c r="O467" s="31"/>
      <c r="P467" s="8"/>
      <c r="Q467" s="8"/>
      <c r="R467" s="8"/>
      <c r="S467" s="8"/>
      <c r="T467" s="8"/>
      <c r="U467" s="8"/>
      <c r="V467" s="8"/>
      <c r="W467" s="8"/>
      <c r="X467" s="8"/>
      <c r="Y467" s="8"/>
      <c r="Z467" s="8"/>
    </row>
    <row r="468" ht="16.5" customHeight="1">
      <c r="A468" s="8"/>
      <c r="B468" s="27"/>
      <c r="C468" s="27"/>
      <c r="D468" s="27"/>
      <c r="E468" s="28"/>
      <c r="F468" s="31"/>
      <c r="G468" s="28"/>
      <c r="H468" s="157"/>
      <c r="I468" s="158"/>
      <c r="J468" s="27"/>
      <c r="K468" s="28"/>
      <c r="L468" s="28"/>
      <c r="M468" s="27"/>
      <c r="N468" s="31"/>
      <c r="O468" s="31"/>
      <c r="P468" s="8"/>
      <c r="Q468" s="8"/>
      <c r="R468" s="8"/>
      <c r="S468" s="8"/>
      <c r="T468" s="8"/>
      <c r="U468" s="8"/>
      <c r="V468" s="8"/>
      <c r="W468" s="8"/>
      <c r="X468" s="8"/>
      <c r="Y468" s="8"/>
      <c r="Z468" s="8"/>
    </row>
    <row r="469" ht="16.5" customHeight="1">
      <c r="A469" s="8"/>
      <c r="B469" s="27"/>
      <c r="C469" s="27"/>
      <c r="D469" s="27"/>
      <c r="E469" s="28"/>
      <c r="F469" s="31"/>
      <c r="G469" s="28"/>
      <c r="H469" s="157"/>
      <c r="I469" s="158"/>
      <c r="J469" s="27"/>
      <c r="K469" s="28"/>
      <c r="L469" s="28"/>
      <c r="M469" s="27"/>
      <c r="N469" s="31"/>
      <c r="O469" s="31"/>
      <c r="P469" s="8"/>
      <c r="Q469" s="8"/>
      <c r="R469" s="8"/>
      <c r="S469" s="8"/>
      <c r="T469" s="8"/>
      <c r="U469" s="8"/>
      <c r="V469" s="8"/>
      <c r="W469" s="8"/>
      <c r="X469" s="8"/>
      <c r="Y469" s="8"/>
      <c r="Z469" s="8"/>
    </row>
    <row r="470" ht="16.5" customHeight="1">
      <c r="A470" s="8"/>
      <c r="B470" s="27"/>
      <c r="C470" s="27"/>
      <c r="D470" s="27"/>
      <c r="E470" s="28"/>
      <c r="F470" s="31"/>
      <c r="G470" s="28"/>
      <c r="H470" s="157"/>
      <c r="I470" s="158"/>
      <c r="J470" s="27"/>
      <c r="K470" s="28"/>
      <c r="L470" s="28"/>
      <c r="M470" s="27"/>
      <c r="N470" s="31"/>
      <c r="O470" s="31"/>
      <c r="P470" s="8"/>
      <c r="Q470" s="8"/>
      <c r="R470" s="8"/>
      <c r="S470" s="8"/>
      <c r="T470" s="8"/>
      <c r="U470" s="8"/>
      <c r="V470" s="8"/>
      <c r="W470" s="8"/>
      <c r="X470" s="8"/>
      <c r="Y470" s="8"/>
      <c r="Z470" s="8"/>
    </row>
    <row r="471" ht="16.5" customHeight="1">
      <c r="A471" s="8"/>
      <c r="B471" s="27"/>
      <c r="C471" s="27"/>
      <c r="D471" s="27"/>
      <c r="E471" s="28"/>
      <c r="F471" s="31"/>
      <c r="G471" s="28"/>
      <c r="H471" s="157"/>
      <c r="I471" s="158"/>
      <c r="J471" s="27"/>
      <c r="K471" s="28"/>
      <c r="L471" s="28"/>
      <c r="M471" s="27"/>
      <c r="N471" s="31"/>
      <c r="O471" s="31"/>
      <c r="P471" s="8"/>
      <c r="Q471" s="8"/>
      <c r="R471" s="8"/>
      <c r="S471" s="8"/>
      <c r="T471" s="8"/>
      <c r="U471" s="8"/>
      <c r="V471" s="8"/>
      <c r="W471" s="8"/>
      <c r="X471" s="8"/>
      <c r="Y471" s="8"/>
      <c r="Z471" s="8"/>
    </row>
    <row r="472" ht="16.5" customHeight="1">
      <c r="A472" s="8"/>
      <c r="B472" s="27"/>
      <c r="C472" s="27"/>
      <c r="D472" s="27"/>
      <c r="E472" s="28"/>
      <c r="F472" s="31"/>
      <c r="G472" s="28"/>
      <c r="H472" s="157"/>
      <c r="I472" s="158"/>
      <c r="J472" s="27"/>
      <c r="K472" s="28"/>
      <c r="L472" s="28"/>
      <c r="M472" s="27"/>
      <c r="N472" s="31"/>
      <c r="O472" s="31"/>
      <c r="P472" s="8"/>
      <c r="Q472" s="8"/>
      <c r="R472" s="8"/>
      <c r="S472" s="8"/>
      <c r="T472" s="8"/>
      <c r="U472" s="8"/>
      <c r="V472" s="8"/>
      <c r="W472" s="8"/>
      <c r="X472" s="8"/>
      <c r="Y472" s="8"/>
      <c r="Z472" s="8"/>
    </row>
    <row r="473" ht="16.5" customHeight="1">
      <c r="A473" s="8"/>
      <c r="B473" s="27"/>
      <c r="C473" s="27"/>
      <c r="D473" s="27"/>
      <c r="E473" s="28"/>
      <c r="F473" s="31"/>
      <c r="G473" s="28"/>
      <c r="H473" s="157"/>
      <c r="I473" s="158"/>
      <c r="J473" s="27"/>
      <c r="K473" s="28"/>
      <c r="L473" s="28"/>
      <c r="M473" s="27"/>
      <c r="N473" s="31"/>
      <c r="O473" s="31"/>
      <c r="P473" s="8"/>
      <c r="Q473" s="8"/>
      <c r="R473" s="8"/>
      <c r="S473" s="8"/>
      <c r="T473" s="8"/>
      <c r="U473" s="8"/>
      <c r="V473" s="8"/>
      <c r="W473" s="8"/>
      <c r="X473" s="8"/>
      <c r="Y473" s="8"/>
      <c r="Z473" s="8"/>
    </row>
    <row r="474" ht="16.5" customHeight="1">
      <c r="A474" s="8"/>
      <c r="B474" s="27"/>
      <c r="C474" s="27"/>
      <c r="D474" s="27"/>
      <c r="E474" s="28"/>
      <c r="F474" s="31"/>
      <c r="G474" s="28"/>
      <c r="H474" s="157"/>
      <c r="I474" s="158"/>
      <c r="J474" s="27"/>
      <c r="K474" s="28"/>
      <c r="L474" s="28"/>
      <c r="M474" s="27"/>
      <c r="N474" s="31"/>
      <c r="O474" s="31"/>
      <c r="P474" s="8"/>
      <c r="Q474" s="8"/>
      <c r="R474" s="8"/>
      <c r="S474" s="8"/>
      <c r="T474" s="8"/>
      <c r="U474" s="8"/>
      <c r="V474" s="8"/>
      <c r="W474" s="8"/>
      <c r="X474" s="8"/>
      <c r="Y474" s="8"/>
      <c r="Z474" s="8"/>
    </row>
    <row r="475" ht="16.5" customHeight="1">
      <c r="A475" s="8"/>
      <c r="B475" s="27"/>
      <c r="C475" s="27"/>
      <c r="D475" s="27"/>
      <c r="E475" s="28"/>
      <c r="F475" s="31"/>
      <c r="G475" s="28"/>
      <c r="H475" s="157"/>
      <c r="I475" s="158"/>
      <c r="J475" s="27"/>
      <c r="K475" s="28"/>
      <c r="L475" s="28"/>
      <c r="M475" s="27"/>
      <c r="N475" s="31"/>
      <c r="O475" s="31"/>
      <c r="P475" s="8"/>
      <c r="Q475" s="8"/>
      <c r="R475" s="8"/>
      <c r="S475" s="8"/>
      <c r="T475" s="8"/>
      <c r="U475" s="8"/>
      <c r="V475" s="8"/>
      <c r="W475" s="8"/>
      <c r="X475" s="8"/>
      <c r="Y475" s="8"/>
      <c r="Z475" s="8"/>
    </row>
    <row r="476" ht="16.5" customHeight="1">
      <c r="A476" s="8"/>
      <c r="B476" s="27"/>
      <c r="C476" s="27"/>
      <c r="D476" s="27"/>
      <c r="E476" s="28"/>
      <c r="F476" s="31"/>
      <c r="G476" s="28"/>
      <c r="H476" s="157"/>
      <c r="I476" s="158"/>
      <c r="J476" s="27"/>
      <c r="K476" s="28"/>
      <c r="L476" s="28"/>
      <c r="M476" s="27"/>
      <c r="N476" s="31"/>
      <c r="O476" s="31"/>
      <c r="P476" s="8"/>
      <c r="Q476" s="8"/>
      <c r="R476" s="8"/>
      <c r="S476" s="8"/>
      <c r="T476" s="8"/>
      <c r="U476" s="8"/>
      <c r="V476" s="8"/>
      <c r="W476" s="8"/>
      <c r="X476" s="8"/>
      <c r="Y476" s="8"/>
      <c r="Z476" s="8"/>
    </row>
    <row r="477" ht="16.5" customHeight="1">
      <c r="A477" s="8"/>
      <c r="B477" s="27"/>
      <c r="C477" s="27"/>
      <c r="D477" s="27"/>
      <c r="E477" s="28"/>
      <c r="F477" s="31"/>
      <c r="G477" s="28"/>
      <c r="H477" s="157"/>
      <c r="I477" s="158"/>
      <c r="J477" s="27"/>
      <c r="K477" s="28"/>
      <c r="L477" s="28"/>
      <c r="M477" s="27"/>
      <c r="N477" s="31"/>
      <c r="O477" s="31"/>
      <c r="P477" s="8"/>
      <c r="Q477" s="8"/>
      <c r="R477" s="8"/>
      <c r="S477" s="8"/>
      <c r="T477" s="8"/>
      <c r="U477" s="8"/>
      <c r="V477" s="8"/>
      <c r="W477" s="8"/>
      <c r="X477" s="8"/>
      <c r="Y477" s="8"/>
      <c r="Z477" s="8"/>
    </row>
    <row r="478" ht="16.5" customHeight="1">
      <c r="A478" s="8"/>
      <c r="B478" s="27"/>
      <c r="C478" s="27"/>
      <c r="D478" s="27"/>
      <c r="E478" s="28"/>
      <c r="F478" s="31"/>
      <c r="G478" s="28"/>
      <c r="H478" s="157"/>
      <c r="I478" s="158"/>
      <c r="J478" s="27"/>
      <c r="K478" s="28"/>
      <c r="L478" s="28"/>
      <c r="M478" s="27"/>
      <c r="N478" s="31"/>
      <c r="O478" s="31"/>
      <c r="P478" s="8"/>
      <c r="Q478" s="8"/>
      <c r="R478" s="8"/>
      <c r="S478" s="8"/>
      <c r="T478" s="8"/>
      <c r="U478" s="8"/>
      <c r="V478" s="8"/>
      <c r="W478" s="8"/>
      <c r="X478" s="8"/>
      <c r="Y478" s="8"/>
      <c r="Z478" s="8"/>
    </row>
    <row r="479" ht="16.5" customHeight="1">
      <c r="A479" s="8"/>
      <c r="B479" s="27"/>
      <c r="C479" s="27"/>
      <c r="D479" s="27"/>
      <c r="E479" s="28"/>
      <c r="F479" s="31"/>
      <c r="G479" s="28"/>
      <c r="H479" s="157"/>
      <c r="I479" s="158"/>
      <c r="J479" s="27"/>
      <c r="K479" s="28"/>
      <c r="L479" s="28"/>
      <c r="M479" s="27"/>
      <c r="N479" s="31"/>
      <c r="O479" s="31"/>
      <c r="P479" s="8"/>
      <c r="Q479" s="8"/>
      <c r="R479" s="8"/>
      <c r="S479" s="8"/>
      <c r="T479" s="8"/>
      <c r="U479" s="8"/>
      <c r="V479" s="8"/>
      <c r="W479" s="8"/>
      <c r="X479" s="8"/>
      <c r="Y479" s="8"/>
      <c r="Z479" s="8"/>
    </row>
    <row r="480" ht="16.5" customHeight="1">
      <c r="A480" s="8"/>
      <c r="B480" s="27"/>
      <c r="C480" s="27"/>
      <c r="D480" s="27"/>
      <c r="E480" s="28"/>
      <c r="F480" s="31"/>
      <c r="G480" s="28"/>
      <c r="H480" s="157"/>
      <c r="I480" s="158"/>
      <c r="J480" s="27"/>
      <c r="K480" s="28"/>
      <c r="L480" s="28"/>
      <c r="M480" s="27"/>
      <c r="N480" s="31"/>
      <c r="O480" s="31"/>
      <c r="P480" s="8"/>
      <c r="Q480" s="8"/>
      <c r="R480" s="8"/>
      <c r="S480" s="8"/>
      <c r="T480" s="8"/>
      <c r="U480" s="8"/>
      <c r="V480" s="8"/>
      <c r="W480" s="8"/>
      <c r="X480" s="8"/>
      <c r="Y480" s="8"/>
      <c r="Z480" s="8"/>
    </row>
    <row r="481" ht="16.5" customHeight="1">
      <c r="A481" s="8"/>
      <c r="B481" s="27"/>
      <c r="C481" s="27"/>
      <c r="D481" s="27"/>
      <c r="E481" s="28"/>
      <c r="F481" s="31"/>
      <c r="G481" s="28"/>
      <c r="H481" s="157"/>
      <c r="I481" s="158"/>
      <c r="J481" s="27"/>
      <c r="K481" s="28"/>
      <c r="L481" s="28"/>
      <c r="M481" s="27"/>
      <c r="N481" s="31"/>
      <c r="O481" s="31"/>
      <c r="P481" s="8"/>
      <c r="Q481" s="8"/>
      <c r="R481" s="8"/>
      <c r="S481" s="8"/>
      <c r="T481" s="8"/>
      <c r="U481" s="8"/>
      <c r="V481" s="8"/>
      <c r="W481" s="8"/>
      <c r="X481" s="8"/>
      <c r="Y481" s="8"/>
      <c r="Z481" s="8"/>
    </row>
    <row r="482" ht="16.5" customHeight="1">
      <c r="A482" s="8"/>
      <c r="B482" s="27"/>
      <c r="C482" s="27"/>
      <c r="D482" s="27"/>
      <c r="E482" s="28"/>
      <c r="F482" s="31"/>
      <c r="G482" s="28"/>
      <c r="H482" s="157"/>
      <c r="I482" s="158"/>
      <c r="J482" s="27"/>
      <c r="K482" s="28"/>
      <c r="L482" s="28"/>
      <c r="M482" s="27"/>
      <c r="N482" s="31"/>
      <c r="O482" s="31"/>
      <c r="P482" s="8"/>
      <c r="Q482" s="8"/>
      <c r="R482" s="8"/>
      <c r="S482" s="8"/>
      <c r="T482" s="8"/>
      <c r="U482" s="8"/>
      <c r="V482" s="8"/>
      <c r="W482" s="8"/>
      <c r="X482" s="8"/>
      <c r="Y482" s="8"/>
      <c r="Z482" s="8"/>
    </row>
    <row r="483" ht="16.5" customHeight="1">
      <c r="A483" s="8"/>
      <c r="B483" s="27"/>
      <c r="C483" s="27"/>
      <c r="D483" s="27"/>
      <c r="E483" s="28"/>
      <c r="F483" s="31"/>
      <c r="G483" s="28"/>
      <c r="H483" s="157"/>
      <c r="I483" s="158"/>
      <c r="J483" s="27"/>
      <c r="K483" s="28"/>
      <c r="L483" s="28"/>
      <c r="M483" s="27"/>
      <c r="N483" s="31"/>
      <c r="O483" s="31"/>
      <c r="P483" s="8"/>
      <c r="Q483" s="8"/>
      <c r="R483" s="8"/>
      <c r="S483" s="8"/>
      <c r="T483" s="8"/>
      <c r="U483" s="8"/>
      <c r="V483" s="8"/>
      <c r="W483" s="8"/>
      <c r="X483" s="8"/>
      <c r="Y483" s="8"/>
      <c r="Z483" s="8"/>
    </row>
    <row r="484" ht="16.5" customHeight="1">
      <c r="A484" s="8"/>
      <c r="B484" s="27"/>
      <c r="C484" s="27"/>
      <c r="D484" s="27"/>
      <c r="E484" s="28"/>
      <c r="F484" s="31"/>
      <c r="G484" s="28"/>
      <c r="H484" s="157"/>
      <c r="I484" s="158"/>
      <c r="J484" s="27"/>
      <c r="K484" s="28"/>
      <c r="L484" s="28"/>
      <c r="M484" s="27"/>
      <c r="N484" s="31"/>
      <c r="O484" s="31"/>
      <c r="P484" s="8"/>
      <c r="Q484" s="8"/>
      <c r="R484" s="8"/>
      <c r="S484" s="8"/>
      <c r="T484" s="8"/>
      <c r="U484" s="8"/>
      <c r="V484" s="8"/>
      <c r="W484" s="8"/>
      <c r="X484" s="8"/>
      <c r="Y484" s="8"/>
      <c r="Z484" s="8"/>
    </row>
    <row r="485" ht="16.5" customHeight="1">
      <c r="A485" s="8"/>
      <c r="B485" s="27"/>
      <c r="C485" s="27"/>
      <c r="D485" s="27"/>
      <c r="E485" s="28"/>
      <c r="F485" s="31"/>
      <c r="G485" s="28"/>
      <c r="H485" s="157"/>
      <c r="I485" s="158"/>
      <c r="J485" s="27"/>
      <c r="K485" s="28"/>
      <c r="L485" s="28"/>
      <c r="M485" s="27"/>
      <c r="N485" s="31"/>
      <c r="O485" s="31"/>
      <c r="P485" s="8"/>
      <c r="Q485" s="8"/>
      <c r="R485" s="8"/>
      <c r="S485" s="8"/>
      <c r="T485" s="8"/>
      <c r="U485" s="8"/>
      <c r="V485" s="8"/>
      <c r="W485" s="8"/>
      <c r="X485" s="8"/>
      <c r="Y485" s="8"/>
      <c r="Z485" s="8"/>
    </row>
    <row r="486" ht="16.5" customHeight="1">
      <c r="A486" s="8"/>
      <c r="B486" s="27"/>
      <c r="C486" s="27"/>
      <c r="D486" s="27"/>
      <c r="E486" s="28"/>
      <c r="F486" s="31"/>
      <c r="G486" s="28"/>
      <c r="H486" s="157"/>
      <c r="I486" s="158"/>
      <c r="J486" s="27"/>
      <c r="K486" s="28"/>
      <c r="L486" s="28"/>
      <c r="M486" s="27"/>
      <c r="N486" s="31"/>
      <c r="O486" s="31"/>
      <c r="P486" s="8"/>
      <c r="Q486" s="8"/>
      <c r="R486" s="8"/>
      <c r="S486" s="8"/>
      <c r="T486" s="8"/>
      <c r="U486" s="8"/>
      <c r="V486" s="8"/>
      <c r="W486" s="8"/>
      <c r="X486" s="8"/>
      <c r="Y486" s="8"/>
      <c r="Z486" s="8"/>
    </row>
    <row r="487" ht="16.5" customHeight="1">
      <c r="A487" s="8"/>
      <c r="B487" s="27"/>
      <c r="C487" s="27"/>
      <c r="D487" s="27"/>
      <c r="E487" s="28"/>
      <c r="F487" s="31"/>
      <c r="G487" s="28"/>
      <c r="H487" s="157"/>
      <c r="I487" s="158"/>
      <c r="J487" s="27"/>
      <c r="K487" s="28"/>
      <c r="L487" s="28"/>
      <c r="M487" s="27"/>
      <c r="N487" s="31"/>
      <c r="O487" s="31"/>
      <c r="P487" s="8"/>
      <c r="Q487" s="8"/>
      <c r="R487" s="8"/>
      <c r="S487" s="8"/>
      <c r="T487" s="8"/>
      <c r="U487" s="8"/>
      <c r="V487" s="8"/>
      <c r="W487" s="8"/>
      <c r="X487" s="8"/>
      <c r="Y487" s="8"/>
      <c r="Z487" s="8"/>
    </row>
    <row r="488" ht="16.5" customHeight="1">
      <c r="A488" s="8"/>
      <c r="B488" s="27"/>
      <c r="C488" s="27"/>
      <c r="D488" s="27"/>
      <c r="E488" s="28"/>
      <c r="F488" s="31"/>
      <c r="G488" s="28"/>
      <c r="H488" s="157"/>
      <c r="I488" s="158"/>
      <c r="J488" s="27"/>
      <c r="K488" s="28"/>
      <c r="L488" s="28"/>
      <c r="M488" s="27"/>
      <c r="N488" s="31"/>
      <c r="O488" s="31"/>
      <c r="P488" s="8"/>
      <c r="Q488" s="8"/>
      <c r="R488" s="8"/>
      <c r="S488" s="8"/>
      <c r="T488" s="8"/>
      <c r="U488" s="8"/>
      <c r="V488" s="8"/>
      <c r="W488" s="8"/>
      <c r="X488" s="8"/>
      <c r="Y488" s="8"/>
      <c r="Z488" s="8"/>
    </row>
    <row r="489" ht="16.5" customHeight="1">
      <c r="A489" s="8"/>
      <c r="B489" s="27"/>
      <c r="C489" s="27"/>
      <c r="D489" s="27"/>
      <c r="E489" s="28"/>
      <c r="F489" s="31"/>
      <c r="G489" s="28"/>
      <c r="H489" s="157"/>
      <c r="I489" s="158"/>
      <c r="J489" s="27"/>
      <c r="K489" s="28"/>
      <c r="L489" s="28"/>
      <c r="M489" s="27"/>
      <c r="N489" s="31"/>
      <c r="O489" s="31"/>
      <c r="P489" s="8"/>
      <c r="Q489" s="8"/>
      <c r="R489" s="8"/>
      <c r="S489" s="8"/>
      <c r="T489" s="8"/>
      <c r="U489" s="8"/>
      <c r="V489" s="8"/>
      <c r="W489" s="8"/>
      <c r="X489" s="8"/>
      <c r="Y489" s="8"/>
      <c r="Z489" s="8"/>
    </row>
    <row r="490" ht="16.5" customHeight="1">
      <c r="A490" s="8"/>
      <c r="B490" s="27"/>
      <c r="C490" s="27"/>
      <c r="D490" s="27"/>
      <c r="E490" s="28"/>
      <c r="F490" s="31"/>
      <c r="G490" s="28"/>
      <c r="H490" s="157"/>
      <c r="I490" s="158"/>
      <c r="J490" s="27"/>
      <c r="K490" s="28"/>
      <c r="L490" s="28"/>
      <c r="M490" s="27"/>
      <c r="N490" s="31"/>
      <c r="O490" s="31"/>
      <c r="P490" s="8"/>
      <c r="Q490" s="8"/>
      <c r="R490" s="8"/>
      <c r="S490" s="8"/>
      <c r="T490" s="8"/>
      <c r="U490" s="8"/>
      <c r="V490" s="8"/>
      <c r="W490" s="8"/>
      <c r="X490" s="8"/>
      <c r="Y490" s="8"/>
      <c r="Z490" s="8"/>
    </row>
    <row r="491" ht="16.5" customHeight="1">
      <c r="A491" s="8"/>
      <c r="B491" s="27"/>
      <c r="C491" s="27"/>
      <c r="D491" s="27"/>
      <c r="E491" s="28"/>
      <c r="F491" s="31"/>
      <c r="G491" s="28"/>
      <c r="H491" s="157"/>
      <c r="I491" s="158"/>
      <c r="J491" s="27"/>
      <c r="K491" s="28"/>
      <c r="L491" s="28"/>
      <c r="M491" s="27"/>
      <c r="N491" s="31"/>
      <c r="O491" s="31"/>
      <c r="P491" s="8"/>
      <c r="Q491" s="8"/>
      <c r="R491" s="8"/>
      <c r="S491" s="8"/>
      <c r="T491" s="8"/>
      <c r="U491" s="8"/>
      <c r="V491" s="8"/>
      <c r="W491" s="8"/>
      <c r="X491" s="8"/>
      <c r="Y491" s="8"/>
      <c r="Z491" s="8"/>
    </row>
    <row r="492" ht="16.5" customHeight="1">
      <c r="A492" s="8"/>
      <c r="B492" s="27"/>
      <c r="C492" s="27"/>
      <c r="D492" s="27"/>
      <c r="E492" s="28"/>
      <c r="F492" s="31"/>
      <c r="G492" s="28"/>
      <c r="H492" s="157"/>
      <c r="I492" s="158"/>
      <c r="J492" s="27"/>
      <c r="K492" s="28"/>
      <c r="L492" s="28"/>
      <c r="M492" s="27"/>
      <c r="N492" s="31"/>
      <c r="O492" s="31"/>
      <c r="P492" s="8"/>
      <c r="Q492" s="8"/>
      <c r="R492" s="8"/>
      <c r="S492" s="8"/>
      <c r="T492" s="8"/>
      <c r="U492" s="8"/>
      <c r="V492" s="8"/>
      <c r="W492" s="8"/>
      <c r="X492" s="8"/>
      <c r="Y492" s="8"/>
      <c r="Z492" s="8"/>
    </row>
    <row r="493" ht="16.5" customHeight="1">
      <c r="A493" s="8"/>
      <c r="B493" s="27"/>
      <c r="C493" s="27"/>
      <c r="D493" s="27"/>
      <c r="E493" s="28"/>
      <c r="F493" s="31"/>
      <c r="G493" s="28"/>
      <c r="H493" s="157"/>
      <c r="I493" s="158"/>
      <c r="J493" s="27"/>
      <c r="K493" s="28"/>
      <c r="L493" s="28"/>
      <c r="M493" s="27"/>
      <c r="N493" s="31"/>
      <c r="O493" s="31"/>
      <c r="P493" s="8"/>
      <c r="Q493" s="8"/>
      <c r="R493" s="8"/>
      <c r="S493" s="8"/>
      <c r="T493" s="8"/>
      <c r="U493" s="8"/>
      <c r="V493" s="8"/>
      <c r="W493" s="8"/>
      <c r="X493" s="8"/>
      <c r="Y493" s="8"/>
      <c r="Z493" s="8"/>
    </row>
    <row r="494" ht="16.5" customHeight="1">
      <c r="A494" s="8"/>
      <c r="B494" s="27"/>
      <c r="C494" s="27"/>
      <c r="D494" s="27"/>
      <c r="E494" s="28"/>
      <c r="F494" s="31"/>
      <c r="G494" s="28"/>
      <c r="H494" s="157"/>
      <c r="I494" s="158"/>
      <c r="J494" s="27"/>
      <c r="K494" s="28"/>
      <c r="L494" s="28"/>
      <c r="M494" s="27"/>
      <c r="N494" s="31"/>
      <c r="O494" s="31"/>
      <c r="P494" s="8"/>
      <c r="Q494" s="8"/>
      <c r="R494" s="8"/>
      <c r="S494" s="8"/>
      <c r="T494" s="8"/>
      <c r="U494" s="8"/>
      <c r="V494" s="8"/>
      <c r="W494" s="8"/>
      <c r="X494" s="8"/>
      <c r="Y494" s="8"/>
      <c r="Z494" s="8"/>
    </row>
    <row r="495" ht="16.5" customHeight="1">
      <c r="A495" s="8"/>
      <c r="B495" s="27"/>
      <c r="C495" s="27"/>
      <c r="D495" s="27"/>
      <c r="E495" s="28"/>
      <c r="F495" s="31"/>
      <c r="G495" s="28"/>
      <c r="H495" s="157"/>
      <c r="I495" s="158"/>
      <c r="J495" s="27"/>
      <c r="K495" s="28"/>
      <c r="L495" s="28"/>
      <c r="M495" s="27"/>
      <c r="N495" s="31"/>
      <c r="O495" s="31"/>
      <c r="P495" s="8"/>
      <c r="Q495" s="8"/>
      <c r="R495" s="8"/>
      <c r="S495" s="8"/>
      <c r="T495" s="8"/>
      <c r="U495" s="8"/>
      <c r="V495" s="8"/>
      <c r="W495" s="8"/>
      <c r="X495" s="8"/>
      <c r="Y495" s="8"/>
      <c r="Z495" s="8"/>
    </row>
    <row r="496" ht="16.5" customHeight="1">
      <c r="A496" s="8"/>
      <c r="B496" s="27"/>
      <c r="C496" s="27"/>
      <c r="D496" s="27"/>
      <c r="E496" s="28"/>
      <c r="F496" s="31"/>
      <c r="G496" s="28"/>
      <c r="H496" s="157"/>
      <c r="I496" s="158"/>
      <c r="J496" s="27"/>
      <c r="K496" s="28"/>
      <c r="L496" s="28"/>
      <c r="M496" s="27"/>
      <c r="N496" s="31"/>
      <c r="O496" s="31"/>
      <c r="P496" s="8"/>
      <c r="Q496" s="8"/>
      <c r="R496" s="8"/>
      <c r="S496" s="8"/>
      <c r="T496" s="8"/>
      <c r="U496" s="8"/>
      <c r="V496" s="8"/>
      <c r="W496" s="8"/>
      <c r="X496" s="8"/>
      <c r="Y496" s="8"/>
      <c r="Z496" s="8"/>
    </row>
    <row r="497" ht="16.5" customHeight="1">
      <c r="A497" s="8"/>
      <c r="B497" s="27"/>
      <c r="C497" s="27"/>
      <c r="D497" s="27"/>
      <c r="E497" s="28"/>
      <c r="F497" s="31"/>
      <c r="G497" s="28"/>
      <c r="H497" s="157"/>
      <c r="I497" s="158"/>
      <c r="J497" s="27"/>
      <c r="K497" s="28"/>
      <c r="L497" s="28"/>
      <c r="M497" s="27"/>
      <c r="N497" s="31"/>
      <c r="O497" s="31"/>
      <c r="P497" s="8"/>
      <c r="Q497" s="8"/>
      <c r="R497" s="8"/>
      <c r="S497" s="8"/>
      <c r="T497" s="8"/>
      <c r="U497" s="8"/>
      <c r="V497" s="8"/>
      <c r="W497" s="8"/>
      <c r="X497" s="8"/>
      <c r="Y497" s="8"/>
      <c r="Z497" s="8"/>
    </row>
    <row r="498" ht="16.5" customHeight="1">
      <c r="A498" s="8"/>
      <c r="B498" s="27"/>
      <c r="C498" s="27"/>
      <c r="D498" s="27"/>
      <c r="E498" s="28"/>
      <c r="F498" s="31"/>
      <c r="G498" s="28"/>
      <c r="H498" s="157"/>
      <c r="I498" s="158"/>
      <c r="J498" s="27"/>
      <c r="K498" s="28"/>
      <c r="L498" s="28"/>
      <c r="M498" s="27"/>
      <c r="N498" s="31"/>
      <c r="O498" s="31"/>
      <c r="P498" s="8"/>
      <c r="Q498" s="8"/>
      <c r="R498" s="8"/>
      <c r="S498" s="8"/>
      <c r="T498" s="8"/>
      <c r="U498" s="8"/>
      <c r="V498" s="8"/>
      <c r="W498" s="8"/>
      <c r="X498" s="8"/>
      <c r="Y498" s="8"/>
      <c r="Z498" s="8"/>
    </row>
    <row r="499" ht="16.5" customHeight="1">
      <c r="A499" s="8"/>
      <c r="B499" s="27"/>
      <c r="C499" s="27"/>
      <c r="D499" s="27"/>
      <c r="E499" s="28"/>
      <c r="F499" s="31"/>
      <c r="G499" s="28"/>
      <c r="H499" s="157"/>
      <c r="I499" s="158"/>
      <c r="J499" s="27"/>
      <c r="K499" s="28"/>
      <c r="L499" s="28"/>
      <c r="M499" s="27"/>
      <c r="N499" s="31"/>
      <c r="O499" s="31"/>
      <c r="P499" s="8"/>
      <c r="Q499" s="8"/>
      <c r="R499" s="8"/>
      <c r="S499" s="8"/>
      <c r="T499" s="8"/>
      <c r="U499" s="8"/>
      <c r="V499" s="8"/>
      <c r="W499" s="8"/>
      <c r="X499" s="8"/>
      <c r="Y499" s="8"/>
      <c r="Z499" s="8"/>
    </row>
    <row r="500" ht="16.5" customHeight="1">
      <c r="A500" s="8"/>
      <c r="B500" s="27"/>
      <c r="C500" s="27"/>
      <c r="D500" s="27"/>
      <c r="E500" s="28"/>
      <c r="F500" s="31"/>
      <c r="G500" s="28"/>
      <c r="H500" s="157"/>
      <c r="I500" s="158"/>
      <c r="J500" s="27"/>
      <c r="K500" s="28"/>
      <c r="L500" s="28"/>
      <c r="M500" s="27"/>
      <c r="N500" s="31"/>
      <c r="O500" s="31"/>
      <c r="P500" s="8"/>
      <c r="Q500" s="8"/>
      <c r="R500" s="8"/>
      <c r="S500" s="8"/>
      <c r="T500" s="8"/>
      <c r="U500" s="8"/>
      <c r="V500" s="8"/>
      <c r="W500" s="8"/>
      <c r="X500" s="8"/>
      <c r="Y500" s="8"/>
      <c r="Z500" s="8"/>
    </row>
    <row r="501" ht="16.5" customHeight="1">
      <c r="A501" s="8"/>
      <c r="B501" s="27"/>
      <c r="C501" s="27"/>
      <c r="D501" s="27"/>
      <c r="E501" s="28"/>
      <c r="F501" s="31"/>
      <c r="G501" s="28"/>
      <c r="H501" s="157"/>
      <c r="I501" s="158"/>
      <c r="J501" s="27"/>
      <c r="K501" s="28"/>
      <c r="L501" s="28"/>
      <c r="M501" s="27"/>
      <c r="N501" s="31"/>
      <c r="O501" s="31"/>
      <c r="P501" s="8"/>
      <c r="Q501" s="8"/>
      <c r="R501" s="8"/>
      <c r="S501" s="8"/>
      <c r="T501" s="8"/>
      <c r="U501" s="8"/>
      <c r="V501" s="8"/>
      <c r="W501" s="8"/>
      <c r="X501" s="8"/>
      <c r="Y501" s="8"/>
      <c r="Z501" s="8"/>
    </row>
    <row r="502" ht="16.5" customHeight="1">
      <c r="A502" s="8"/>
      <c r="B502" s="27"/>
      <c r="C502" s="27"/>
      <c r="D502" s="27"/>
      <c r="E502" s="28"/>
      <c r="F502" s="31"/>
      <c r="G502" s="28"/>
      <c r="H502" s="157"/>
      <c r="I502" s="158"/>
      <c r="J502" s="27"/>
      <c r="K502" s="28"/>
      <c r="L502" s="28"/>
      <c r="M502" s="27"/>
      <c r="N502" s="31"/>
      <c r="O502" s="31"/>
      <c r="P502" s="8"/>
      <c r="Q502" s="8"/>
      <c r="R502" s="8"/>
      <c r="S502" s="8"/>
      <c r="T502" s="8"/>
      <c r="U502" s="8"/>
      <c r="V502" s="8"/>
      <c r="W502" s="8"/>
      <c r="X502" s="8"/>
      <c r="Y502" s="8"/>
      <c r="Z502" s="8"/>
    </row>
    <row r="503" ht="16.5" customHeight="1">
      <c r="A503" s="8"/>
      <c r="B503" s="27"/>
      <c r="C503" s="27"/>
      <c r="D503" s="27"/>
      <c r="E503" s="28"/>
      <c r="F503" s="31"/>
      <c r="G503" s="28"/>
      <c r="H503" s="157"/>
      <c r="I503" s="158"/>
      <c r="J503" s="27"/>
      <c r="K503" s="28"/>
      <c r="L503" s="28"/>
      <c r="M503" s="27"/>
      <c r="N503" s="31"/>
      <c r="O503" s="31"/>
      <c r="P503" s="8"/>
      <c r="Q503" s="8"/>
      <c r="R503" s="8"/>
      <c r="S503" s="8"/>
      <c r="T503" s="8"/>
      <c r="U503" s="8"/>
      <c r="V503" s="8"/>
      <c r="W503" s="8"/>
      <c r="X503" s="8"/>
      <c r="Y503" s="8"/>
      <c r="Z503" s="8"/>
    </row>
    <row r="504" ht="16.5" customHeight="1">
      <c r="A504" s="8"/>
      <c r="B504" s="27"/>
      <c r="C504" s="27"/>
      <c r="D504" s="27"/>
      <c r="E504" s="28"/>
      <c r="F504" s="31"/>
      <c r="G504" s="28"/>
      <c r="H504" s="157"/>
      <c r="I504" s="158"/>
      <c r="J504" s="27"/>
      <c r="K504" s="28"/>
      <c r="L504" s="28"/>
      <c r="M504" s="27"/>
      <c r="N504" s="31"/>
      <c r="O504" s="31"/>
      <c r="P504" s="8"/>
      <c r="Q504" s="8"/>
      <c r="R504" s="8"/>
      <c r="S504" s="8"/>
      <c r="T504" s="8"/>
      <c r="U504" s="8"/>
      <c r="V504" s="8"/>
      <c r="W504" s="8"/>
      <c r="X504" s="8"/>
      <c r="Y504" s="8"/>
      <c r="Z504" s="8"/>
    </row>
    <row r="505" ht="16.5" customHeight="1">
      <c r="A505" s="8"/>
      <c r="B505" s="27"/>
      <c r="C505" s="27"/>
      <c r="D505" s="27"/>
      <c r="E505" s="28"/>
      <c r="F505" s="31"/>
      <c r="G505" s="28"/>
      <c r="H505" s="157"/>
      <c r="I505" s="158"/>
      <c r="J505" s="27"/>
      <c r="K505" s="28"/>
      <c r="L505" s="28"/>
      <c r="M505" s="27"/>
      <c r="N505" s="31"/>
      <c r="O505" s="31"/>
      <c r="P505" s="8"/>
      <c r="Q505" s="8"/>
      <c r="R505" s="8"/>
      <c r="S505" s="8"/>
      <c r="T505" s="8"/>
      <c r="U505" s="8"/>
      <c r="V505" s="8"/>
      <c r="W505" s="8"/>
      <c r="X505" s="8"/>
      <c r="Y505" s="8"/>
      <c r="Z505" s="8"/>
    </row>
    <row r="506" ht="16.5" customHeight="1">
      <c r="A506" s="8"/>
      <c r="B506" s="27"/>
      <c r="C506" s="27"/>
      <c r="D506" s="27"/>
      <c r="E506" s="28"/>
      <c r="F506" s="31"/>
      <c r="G506" s="28"/>
      <c r="H506" s="157"/>
      <c r="I506" s="158"/>
      <c r="J506" s="27"/>
      <c r="K506" s="28"/>
      <c r="L506" s="28"/>
      <c r="M506" s="27"/>
      <c r="N506" s="31"/>
      <c r="O506" s="31"/>
      <c r="P506" s="8"/>
      <c r="Q506" s="8"/>
      <c r="R506" s="8"/>
      <c r="S506" s="8"/>
      <c r="T506" s="8"/>
      <c r="U506" s="8"/>
      <c r="V506" s="8"/>
      <c r="W506" s="8"/>
      <c r="X506" s="8"/>
      <c r="Y506" s="8"/>
      <c r="Z506" s="8"/>
    </row>
    <row r="507" ht="16.5" customHeight="1">
      <c r="A507" s="8"/>
      <c r="B507" s="27"/>
      <c r="C507" s="27"/>
      <c r="D507" s="27"/>
      <c r="E507" s="28"/>
      <c r="F507" s="31"/>
      <c r="G507" s="28"/>
      <c r="H507" s="157"/>
      <c r="I507" s="158"/>
      <c r="J507" s="27"/>
      <c r="K507" s="28"/>
      <c r="L507" s="28"/>
      <c r="M507" s="27"/>
      <c r="N507" s="31"/>
      <c r="O507" s="31"/>
      <c r="P507" s="8"/>
      <c r="Q507" s="8"/>
      <c r="R507" s="8"/>
      <c r="S507" s="8"/>
      <c r="T507" s="8"/>
      <c r="U507" s="8"/>
      <c r="V507" s="8"/>
      <c r="W507" s="8"/>
      <c r="X507" s="8"/>
      <c r="Y507" s="8"/>
      <c r="Z507" s="8"/>
    </row>
    <row r="508" ht="16.5" customHeight="1">
      <c r="A508" s="8"/>
      <c r="B508" s="27"/>
      <c r="C508" s="27"/>
      <c r="D508" s="27"/>
      <c r="E508" s="28"/>
      <c r="F508" s="31"/>
      <c r="G508" s="28"/>
      <c r="H508" s="157"/>
      <c r="I508" s="158"/>
      <c r="J508" s="27"/>
      <c r="K508" s="28"/>
      <c r="L508" s="28"/>
      <c r="M508" s="27"/>
      <c r="N508" s="31"/>
      <c r="O508" s="31"/>
      <c r="P508" s="8"/>
      <c r="Q508" s="8"/>
      <c r="R508" s="8"/>
      <c r="S508" s="8"/>
      <c r="T508" s="8"/>
      <c r="U508" s="8"/>
      <c r="V508" s="8"/>
      <c r="W508" s="8"/>
      <c r="X508" s="8"/>
      <c r="Y508" s="8"/>
      <c r="Z508" s="8"/>
    </row>
    <row r="509" ht="16.5" customHeight="1">
      <c r="A509" s="8"/>
      <c r="B509" s="27"/>
      <c r="C509" s="27"/>
      <c r="D509" s="27"/>
      <c r="E509" s="28"/>
      <c r="F509" s="31"/>
      <c r="G509" s="28"/>
      <c r="H509" s="157"/>
      <c r="I509" s="158"/>
      <c r="J509" s="27"/>
      <c r="K509" s="28"/>
      <c r="L509" s="28"/>
      <c r="M509" s="27"/>
      <c r="N509" s="31"/>
      <c r="O509" s="31"/>
      <c r="P509" s="8"/>
      <c r="Q509" s="8"/>
      <c r="R509" s="8"/>
      <c r="S509" s="8"/>
      <c r="T509" s="8"/>
      <c r="U509" s="8"/>
      <c r="V509" s="8"/>
      <c r="W509" s="8"/>
      <c r="X509" s="8"/>
      <c r="Y509" s="8"/>
      <c r="Z509" s="8"/>
    </row>
    <row r="510" ht="16.5" customHeight="1">
      <c r="A510" s="8"/>
      <c r="B510" s="27"/>
      <c r="C510" s="27"/>
      <c r="D510" s="27"/>
      <c r="E510" s="28"/>
      <c r="F510" s="31"/>
      <c r="G510" s="28"/>
      <c r="H510" s="157"/>
      <c r="I510" s="158"/>
      <c r="J510" s="27"/>
      <c r="K510" s="28"/>
      <c r="L510" s="28"/>
      <c r="M510" s="27"/>
      <c r="N510" s="31"/>
      <c r="O510" s="31"/>
      <c r="P510" s="8"/>
      <c r="Q510" s="8"/>
      <c r="R510" s="8"/>
      <c r="S510" s="8"/>
      <c r="T510" s="8"/>
      <c r="U510" s="8"/>
      <c r="V510" s="8"/>
      <c r="W510" s="8"/>
      <c r="X510" s="8"/>
      <c r="Y510" s="8"/>
      <c r="Z510" s="8"/>
    </row>
    <row r="511" ht="16.5" customHeight="1">
      <c r="A511" s="8"/>
      <c r="B511" s="27"/>
      <c r="C511" s="27"/>
      <c r="D511" s="27"/>
      <c r="E511" s="28"/>
      <c r="F511" s="31"/>
      <c r="G511" s="28"/>
      <c r="H511" s="157"/>
      <c r="I511" s="158"/>
      <c r="J511" s="27"/>
      <c r="K511" s="28"/>
      <c r="L511" s="28"/>
      <c r="M511" s="27"/>
      <c r="N511" s="31"/>
      <c r="O511" s="31"/>
      <c r="P511" s="8"/>
      <c r="Q511" s="8"/>
      <c r="R511" s="8"/>
      <c r="S511" s="8"/>
      <c r="T511" s="8"/>
      <c r="U511" s="8"/>
      <c r="V511" s="8"/>
      <c r="W511" s="8"/>
      <c r="X511" s="8"/>
      <c r="Y511" s="8"/>
      <c r="Z511" s="8"/>
    </row>
    <row r="512" ht="16.5" customHeight="1">
      <c r="A512" s="8"/>
      <c r="B512" s="27"/>
      <c r="C512" s="27"/>
      <c r="D512" s="27"/>
      <c r="E512" s="28"/>
      <c r="F512" s="31"/>
      <c r="G512" s="28"/>
      <c r="H512" s="157"/>
      <c r="I512" s="158"/>
      <c r="J512" s="27"/>
      <c r="K512" s="28"/>
      <c r="L512" s="28"/>
      <c r="M512" s="27"/>
      <c r="N512" s="31"/>
      <c r="O512" s="31"/>
      <c r="P512" s="8"/>
      <c r="Q512" s="8"/>
      <c r="R512" s="8"/>
      <c r="S512" s="8"/>
      <c r="T512" s="8"/>
      <c r="U512" s="8"/>
      <c r="V512" s="8"/>
      <c r="W512" s="8"/>
      <c r="X512" s="8"/>
      <c r="Y512" s="8"/>
      <c r="Z512" s="8"/>
    </row>
    <row r="513" ht="16.5" customHeight="1">
      <c r="A513" s="8"/>
      <c r="B513" s="27"/>
      <c r="C513" s="27"/>
      <c r="D513" s="27"/>
      <c r="E513" s="28"/>
      <c r="F513" s="31"/>
      <c r="G513" s="28"/>
      <c r="H513" s="157"/>
      <c r="I513" s="158"/>
      <c r="J513" s="27"/>
      <c r="K513" s="28"/>
      <c r="L513" s="28"/>
      <c r="M513" s="27"/>
      <c r="N513" s="31"/>
      <c r="O513" s="31"/>
      <c r="P513" s="8"/>
      <c r="Q513" s="8"/>
      <c r="R513" s="8"/>
      <c r="S513" s="8"/>
      <c r="T513" s="8"/>
      <c r="U513" s="8"/>
      <c r="V513" s="8"/>
      <c r="W513" s="8"/>
      <c r="X513" s="8"/>
      <c r="Y513" s="8"/>
      <c r="Z513" s="8"/>
    </row>
    <row r="514" ht="16.5" customHeight="1">
      <c r="A514" s="8"/>
      <c r="B514" s="27"/>
      <c r="C514" s="27"/>
      <c r="D514" s="27"/>
      <c r="E514" s="28"/>
      <c r="F514" s="31"/>
      <c r="G514" s="28"/>
      <c r="H514" s="157"/>
      <c r="I514" s="158"/>
      <c r="J514" s="27"/>
      <c r="K514" s="28"/>
      <c r="L514" s="28"/>
      <c r="M514" s="27"/>
      <c r="N514" s="31"/>
      <c r="O514" s="31"/>
      <c r="P514" s="8"/>
      <c r="Q514" s="8"/>
      <c r="R514" s="8"/>
      <c r="S514" s="8"/>
      <c r="T514" s="8"/>
      <c r="U514" s="8"/>
      <c r="V514" s="8"/>
      <c r="W514" s="8"/>
      <c r="X514" s="8"/>
      <c r="Y514" s="8"/>
      <c r="Z514" s="8"/>
    </row>
    <row r="515" ht="16.5" customHeight="1">
      <c r="A515" s="8"/>
      <c r="B515" s="27"/>
      <c r="C515" s="27"/>
      <c r="D515" s="27"/>
      <c r="E515" s="28"/>
      <c r="F515" s="31"/>
      <c r="G515" s="28"/>
      <c r="H515" s="157"/>
      <c r="I515" s="158"/>
      <c r="J515" s="27"/>
      <c r="K515" s="28"/>
      <c r="L515" s="28"/>
      <c r="M515" s="27"/>
      <c r="N515" s="31"/>
      <c r="O515" s="31"/>
      <c r="P515" s="8"/>
      <c r="Q515" s="8"/>
      <c r="R515" s="8"/>
      <c r="S515" s="8"/>
      <c r="T515" s="8"/>
      <c r="U515" s="8"/>
      <c r="V515" s="8"/>
      <c r="W515" s="8"/>
      <c r="X515" s="8"/>
      <c r="Y515" s="8"/>
      <c r="Z515" s="8"/>
    </row>
    <row r="516" ht="16.5" customHeight="1">
      <c r="A516" s="8"/>
      <c r="B516" s="27"/>
      <c r="C516" s="27"/>
      <c r="D516" s="27"/>
      <c r="E516" s="28"/>
      <c r="F516" s="31"/>
      <c r="G516" s="28"/>
      <c r="H516" s="157"/>
      <c r="I516" s="158"/>
      <c r="J516" s="27"/>
      <c r="K516" s="28"/>
      <c r="L516" s="28"/>
      <c r="M516" s="27"/>
      <c r="N516" s="31"/>
      <c r="O516" s="31"/>
      <c r="P516" s="8"/>
      <c r="Q516" s="8"/>
      <c r="R516" s="8"/>
      <c r="S516" s="8"/>
      <c r="T516" s="8"/>
      <c r="U516" s="8"/>
      <c r="V516" s="8"/>
      <c r="W516" s="8"/>
      <c r="X516" s="8"/>
      <c r="Y516" s="8"/>
      <c r="Z516" s="8"/>
    </row>
    <row r="517" ht="16.5" customHeight="1">
      <c r="A517" s="8"/>
      <c r="B517" s="27"/>
      <c r="C517" s="27"/>
      <c r="D517" s="27"/>
      <c r="E517" s="28"/>
      <c r="F517" s="31"/>
      <c r="G517" s="28"/>
      <c r="H517" s="157"/>
      <c r="I517" s="158"/>
      <c r="J517" s="27"/>
      <c r="K517" s="28"/>
      <c r="L517" s="28"/>
      <c r="M517" s="27"/>
      <c r="N517" s="31"/>
      <c r="O517" s="31"/>
      <c r="P517" s="8"/>
      <c r="Q517" s="8"/>
      <c r="R517" s="8"/>
      <c r="S517" s="8"/>
      <c r="T517" s="8"/>
      <c r="U517" s="8"/>
      <c r="V517" s="8"/>
      <c r="W517" s="8"/>
      <c r="X517" s="8"/>
      <c r="Y517" s="8"/>
      <c r="Z517" s="8"/>
    </row>
    <row r="518" ht="16.5" customHeight="1">
      <c r="A518" s="8"/>
      <c r="B518" s="27"/>
      <c r="C518" s="27"/>
      <c r="D518" s="27"/>
      <c r="E518" s="28"/>
      <c r="F518" s="31"/>
      <c r="G518" s="28"/>
      <c r="H518" s="157"/>
      <c r="I518" s="158"/>
      <c r="J518" s="27"/>
      <c r="K518" s="28"/>
      <c r="L518" s="28"/>
      <c r="M518" s="27"/>
      <c r="N518" s="31"/>
      <c r="O518" s="31"/>
      <c r="P518" s="8"/>
      <c r="Q518" s="8"/>
      <c r="R518" s="8"/>
      <c r="S518" s="8"/>
      <c r="T518" s="8"/>
      <c r="U518" s="8"/>
      <c r="V518" s="8"/>
      <c r="W518" s="8"/>
      <c r="X518" s="8"/>
      <c r="Y518" s="8"/>
      <c r="Z518" s="8"/>
    </row>
    <row r="519" ht="16.5" customHeight="1">
      <c r="A519" s="8"/>
      <c r="B519" s="27"/>
      <c r="C519" s="27"/>
      <c r="D519" s="27"/>
      <c r="E519" s="28"/>
      <c r="F519" s="31"/>
      <c r="G519" s="28"/>
      <c r="H519" s="157"/>
      <c r="I519" s="158"/>
      <c r="J519" s="27"/>
      <c r="K519" s="28"/>
      <c r="L519" s="28"/>
      <c r="M519" s="27"/>
      <c r="N519" s="31"/>
      <c r="O519" s="31"/>
      <c r="P519" s="8"/>
      <c r="Q519" s="8"/>
      <c r="R519" s="8"/>
      <c r="S519" s="8"/>
      <c r="T519" s="8"/>
      <c r="U519" s="8"/>
      <c r="V519" s="8"/>
      <c r="W519" s="8"/>
      <c r="X519" s="8"/>
      <c r="Y519" s="8"/>
      <c r="Z519" s="8"/>
    </row>
    <row r="520" ht="16.5" customHeight="1">
      <c r="A520" s="8"/>
      <c r="B520" s="27"/>
      <c r="C520" s="27"/>
      <c r="D520" s="27"/>
      <c r="E520" s="28"/>
      <c r="F520" s="31"/>
      <c r="G520" s="28"/>
      <c r="H520" s="157"/>
      <c r="I520" s="158"/>
      <c r="J520" s="27"/>
      <c r="K520" s="28"/>
      <c r="L520" s="28"/>
      <c r="M520" s="27"/>
      <c r="N520" s="31"/>
      <c r="O520" s="31"/>
      <c r="P520" s="8"/>
      <c r="Q520" s="8"/>
      <c r="R520" s="8"/>
      <c r="S520" s="8"/>
      <c r="T520" s="8"/>
      <c r="U520" s="8"/>
      <c r="V520" s="8"/>
      <c r="W520" s="8"/>
      <c r="X520" s="8"/>
      <c r="Y520" s="8"/>
      <c r="Z520" s="8"/>
    </row>
    <row r="521" ht="16.5" customHeight="1">
      <c r="A521" s="8"/>
      <c r="B521" s="27"/>
      <c r="C521" s="27"/>
      <c r="D521" s="27"/>
      <c r="E521" s="28"/>
      <c r="F521" s="31"/>
      <c r="G521" s="28"/>
      <c r="H521" s="157"/>
      <c r="I521" s="158"/>
      <c r="J521" s="27"/>
      <c r="K521" s="28"/>
      <c r="L521" s="28"/>
      <c r="M521" s="27"/>
      <c r="N521" s="31"/>
      <c r="O521" s="31"/>
      <c r="P521" s="8"/>
      <c r="Q521" s="8"/>
      <c r="R521" s="8"/>
      <c r="S521" s="8"/>
      <c r="T521" s="8"/>
      <c r="U521" s="8"/>
      <c r="V521" s="8"/>
      <c r="W521" s="8"/>
      <c r="X521" s="8"/>
      <c r="Y521" s="8"/>
      <c r="Z521" s="8"/>
    </row>
    <row r="522" ht="16.5" customHeight="1">
      <c r="A522" s="8"/>
      <c r="B522" s="27"/>
      <c r="C522" s="27"/>
      <c r="D522" s="27"/>
      <c r="E522" s="28"/>
      <c r="F522" s="31"/>
      <c r="G522" s="28"/>
      <c r="H522" s="157"/>
      <c r="I522" s="158"/>
      <c r="J522" s="27"/>
      <c r="K522" s="28"/>
      <c r="L522" s="28"/>
      <c r="M522" s="27"/>
      <c r="N522" s="31"/>
      <c r="O522" s="31"/>
      <c r="P522" s="8"/>
      <c r="Q522" s="8"/>
      <c r="R522" s="8"/>
      <c r="S522" s="8"/>
      <c r="T522" s="8"/>
      <c r="U522" s="8"/>
      <c r="V522" s="8"/>
      <c r="W522" s="8"/>
      <c r="X522" s="8"/>
      <c r="Y522" s="8"/>
      <c r="Z522" s="8"/>
    </row>
    <row r="523" ht="16.5" customHeight="1">
      <c r="A523" s="8"/>
      <c r="B523" s="27"/>
      <c r="C523" s="27"/>
      <c r="D523" s="27"/>
      <c r="E523" s="28"/>
      <c r="F523" s="31"/>
      <c r="G523" s="28"/>
      <c r="H523" s="157"/>
      <c r="I523" s="158"/>
      <c r="J523" s="27"/>
      <c r="K523" s="28"/>
      <c r="L523" s="28"/>
      <c r="M523" s="27"/>
      <c r="N523" s="31"/>
      <c r="O523" s="31"/>
      <c r="P523" s="8"/>
      <c r="Q523" s="8"/>
      <c r="R523" s="8"/>
      <c r="S523" s="8"/>
      <c r="T523" s="8"/>
      <c r="U523" s="8"/>
      <c r="V523" s="8"/>
      <c r="W523" s="8"/>
      <c r="X523" s="8"/>
      <c r="Y523" s="8"/>
      <c r="Z523" s="8"/>
    </row>
    <row r="524" ht="16.5" customHeight="1">
      <c r="A524" s="8"/>
      <c r="B524" s="27"/>
      <c r="C524" s="27"/>
      <c r="D524" s="27"/>
      <c r="E524" s="28"/>
      <c r="F524" s="31"/>
      <c r="G524" s="28"/>
      <c r="H524" s="157"/>
      <c r="I524" s="158"/>
      <c r="J524" s="27"/>
      <c r="K524" s="28"/>
      <c r="L524" s="28"/>
      <c r="M524" s="27"/>
      <c r="N524" s="31"/>
      <c r="O524" s="31"/>
      <c r="P524" s="8"/>
      <c r="Q524" s="8"/>
      <c r="R524" s="8"/>
      <c r="S524" s="8"/>
      <c r="T524" s="8"/>
      <c r="U524" s="8"/>
      <c r="V524" s="8"/>
      <c r="W524" s="8"/>
      <c r="X524" s="8"/>
      <c r="Y524" s="8"/>
      <c r="Z524" s="8"/>
    </row>
    <row r="525" ht="16.5" customHeight="1">
      <c r="A525" s="8"/>
      <c r="B525" s="27"/>
      <c r="C525" s="27"/>
      <c r="D525" s="27"/>
      <c r="E525" s="28"/>
      <c r="F525" s="31"/>
      <c r="G525" s="28"/>
      <c r="H525" s="157"/>
      <c r="I525" s="158"/>
      <c r="J525" s="27"/>
      <c r="K525" s="28"/>
      <c r="L525" s="28"/>
      <c r="M525" s="27"/>
      <c r="N525" s="31"/>
      <c r="O525" s="31"/>
      <c r="P525" s="8"/>
      <c r="Q525" s="8"/>
      <c r="R525" s="8"/>
      <c r="S525" s="8"/>
      <c r="T525" s="8"/>
      <c r="U525" s="8"/>
      <c r="V525" s="8"/>
      <c r="W525" s="8"/>
      <c r="X525" s="8"/>
      <c r="Y525" s="8"/>
      <c r="Z525" s="8"/>
    </row>
    <row r="526" ht="16.5" customHeight="1">
      <c r="A526" s="8"/>
      <c r="B526" s="27"/>
      <c r="C526" s="27"/>
      <c r="D526" s="27"/>
      <c r="E526" s="28"/>
      <c r="F526" s="31"/>
      <c r="G526" s="28"/>
      <c r="H526" s="157"/>
      <c r="I526" s="158"/>
      <c r="J526" s="27"/>
      <c r="K526" s="28"/>
      <c r="L526" s="28"/>
      <c r="M526" s="27"/>
      <c r="N526" s="31"/>
      <c r="O526" s="31"/>
      <c r="P526" s="8"/>
      <c r="Q526" s="8"/>
      <c r="R526" s="8"/>
      <c r="S526" s="8"/>
      <c r="T526" s="8"/>
      <c r="U526" s="8"/>
      <c r="V526" s="8"/>
      <c r="W526" s="8"/>
      <c r="X526" s="8"/>
      <c r="Y526" s="8"/>
      <c r="Z526" s="8"/>
    </row>
    <row r="527" ht="16.5" customHeight="1">
      <c r="A527" s="8"/>
      <c r="B527" s="27"/>
      <c r="C527" s="27"/>
      <c r="D527" s="27"/>
      <c r="E527" s="28"/>
      <c r="F527" s="31"/>
      <c r="G527" s="28"/>
      <c r="H527" s="157"/>
      <c r="I527" s="158"/>
      <c r="J527" s="27"/>
      <c r="K527" s="28"/>
      <c r="L527" s="28"/>
      <c r="M527" s="27"/>
      <c r="N527" s="31"/>
      <c r="O527" s="31"/>
      <c r="P527" s="8"/>
      <c r="Q527" s="8"/>
      <c r="R527" s="8"/>
      <c r="S527" s="8"/>
      <c r="T527" s="8"/>
      <c r="U527" s="8"/>
      <c r="V527" s="8"/>
      <c r="W527" s="8"/>
      <c r="X527" s="8"/>
      <c r="Y527" s="8"/>
      <c r="Z527" s="8"/>
    </row>
    <row r="528" ht="16.5" customHeight="1">
      <c r="A528" s="8"/>
      <c r="B528" s="27"/>
      <c r="C528" s="27"/>
      <c r="D528" s="27"/>
      <c r="E528" s="28"/>
      <c r="F528" s="31"/>
      <c r="G528" s="28"/>
      <c r="H528" s="157"/>
      <c r="I528" s="158"/>
      <c r="J528" s="27"/>
      <c r="K528" s="28"/>
      <c r="L528" s="28"/>
      <c r="M528" s="27"/>
      <c r="N528" s="31"/>
      <c r="O528" s="31"/>
      <c r="P528" s="8"/>
      <c r="Q528" s="8"/>
      <c r="R528" s="8"/>
      <c r="S528" s="8"/>
      <c r="T528" s="8"/>
      <c r="U528" s="8"/>
      <c r="V528" s="8"/>
      <c r="W528" s="8"/>
      <c r="X528" s="8"/>
      <c r="Y528" s="8"/>
      <c r="Z528" s="8"/>
    </row>
    <row r="529" ht="16.5" customHeight="1">
      <c r="A529" s="8"/>
      <c r="B529" s="27"/>
      <c r="C529" s="27"/>
      <c r="D529" s="27"/>
      <c r="E529" s="28"/>
      <c r="F529" s="31"/>
      <c r="G529" s="28"/>
      <c r="H529" s="157"/>
      <c r="I529" s="158"/>
      <c r="J529" s="27"/>
      <c r="K529" s="28"/>
      <c r="L529" s="28"/>
      <c r="M529" s="27"/>
      <c r="N529" s="31"/>
      <c r="O529" s="31"/>
      <c r="P529" s="8"/>
      <c r="Q529" s="8"/>
      <c r="R529" s="8"/>
      <c r="S529" s="8"/>
      <c r="T529" s="8"/>
      <c r="U529" s="8"/>
      <c r="V529" s="8"/>
      <c r="W529" s="8"/>
      <c r="X529" s="8"/>
      <c r="Y529" s="8"/>
      <c r="Z529" s="8"/>
    </row>
    <row r="530" ht="16.5" customHeight="1">
      <c r="A530" s="8"/>
      <c r="B530" s="27"/>
      <c r="C530" s="27"/>
      <c r="D530" s="27"/>
      <c r="E530" s="28"/>
      <c r="F530" s="31"/>
      <c r="G530" s="28"/>
      <c r="H530" s="157"/>
      <c r="I530" s="158"/>
      <c r="J530" s="27"/>
      <c r="K530" s="28"/>
      <c r="L530" s="28"/>
      <c r="M530" s="27"/>
      <c r="N530" s="31"/>
      <c r="O530" s="31"/>
      <c r="P530" s="8"/>
      <c r="Q530" s="8"/>
      <c r="R530" s="8"/>
      <c r="S530" s="8"/>
      <c r="T530" s="8"/>
      <c r="U530" s="8"/>
      <c r="V530" s="8"/>
      <c r="W530" s="8"/>
      <c r="X530" s="8"/>
      <c r="Y530" s="8"/>
      <c r="Z530" s="8"/>
    </row>
    <row r="531" ht="16.5" customHeight="1">
      <c r="A531" s="8"/>
      <c r="B531" s="27"/>
      <c r="C531" s="27"/>
      <c r="D531" s="27"/>
      <c r="E531" s="28"/>
      <c r="F531" s="31"/>
      <c r="G531" s="28"/>
      <c r="H531" s="157"/>
      <c r="I531" s="158"/>
      <c r="J531" s="27"/>
      <c r="K531" s="28"/>
      <c r="L531" s="28"/>
      <c r="M531" s="27"/>
      <c r="N531" s="31"/>
      <c r="O531" s="31"/>
      <c r="P531" s="8"/>
      <c r="Q531" s="8"/>
      <c r="R531" s="8"/>
      <c r="S531" s="8"/>
      <c r="T531" s="8"/>
      <c r="U531" s="8"/>
      <c r="V531" s="8"/>
      <c r="W531" s="8"/>
      <c r="X531" s="8"/>
      <c r="Y531" s="8"/>
      <c r="Z531" s="8"/>
    </row>
    <row r="532" ht="16.5" customHeight="1">
      <c r="A532" s="8"/>
      <c r="B532" s="27"/>
      <c r="C532" s="27"/>
      <c r="D532" s="27"/>
      <c r="E532" s="28"/>
      <c r="F532" s="31"/>
      <c r="G532" s="28"/>
      <c r="H532" s="157"/>
      <c r="I532" s="158"/>
      <c r="J532" s="27"/>
      <c r="K532" s="28"/>
      <c r="L532" s="28"/>
      <c r="M532" s="27"/>
      <c r="N532" s="31"/>
      <c r="O532" s="31"/>
      <c r="P532" s="8"/>
      <c r="Q532" s="8"/>
      <c r="R532" s="8"/>
      <c r="S532" s="8"/>
      <c r="T532" s="8"/>
      <c r="U532" s="8"/>
      <c r="V532" s="8"/>
      <c r="W532" s="8"/>
      <c r="X532" s="8"/>
      <c r="Y532" s="8"/>
      <c r="Z532" s="8"/>
    </row>
    <row r="533" ht="16.5" customHeight="1">
      <c r="A533" s="8"/>
      <c r="B533" s="27"/>
      <c r="C533" s="27"/>
      <c r="D533" s="27"/>
      <c r="E533" s="28"/>
      <c r="F533" s="31"/>
      <c r="G533" s="28"/>
      <c r="H533" s="157"/>
      <c r="I533" s="158"/>
      <c r="J533" s="27"/>
      <c r="K533" s="28"/>
      <c r="L533" s="28"/>
      <c r="M533" s="27"/>
      <c r="N533" s="31"/>
      <c r="O533" s="31"/>
      <c r="P533" s="8"/>
      <c r="Q533" s="8"/>
      <c r="R533" s="8"/>
      <c r="S533" s="8"/>
      <c r="T533" s="8"/>
      <c r="U533" s="8"/>
      <c r="V533" s="8"/>
      <c r="W533" s="8"/>
      <c r="X533" s="8"/>
      <c r="Y533" s="8"/>
      <c r="Z533" s="8"/>
    </row>
    <row r="534" ht="16.5" customHeight="1">
      <c r="A534" s="8"/>
      <c r="B534" s="27"/>
      <c r="C534" s="27"/>
      <c r="D534" s="27"/>
      <c r="E534" s="28"/>
      <c r="F534" s="31"/>
      <c r="G534" s="28"/>
      <c r="H534" s="157"/>
      <c r="I534" s="158"/>
      <c r="J534" s="27"/>
      <c r="K534" s="28"/>
      <c r="L534" s="28"/>
      <c r="M534" s="27"/>
      <c r="N534" s="31"/>
      <c r="O534" s="31"/>
      <c r="P534" s="8"/>
      <c r="Q534" s="8"/>
      <c r="R534" s="8"/>
      <c r="S534" s="8"/>
      <c r="T534" s="8"/>
      <c r="U534" s="8"/>
      <c r="V534" s="8"/>
      <c r="W534" s="8"/>
      <c r="X534" s="8"/>
      <c r="Y534" s="8"/>
      <c r="Z534" s="8"/>
    </row>
    <row r="535" ht="16.5" customHeight="1">
      <c r="A535" s="8"/>
      <c r="B535" s="27"/>
      <c r="C535" s="27"/>
      <c r="D535" s="27"/>
      <c r="E535" s="28"/>
      <c r="F535" s="31"/>
      <c r="G535" s="28"/>
      <c r="H535" s="157"/>
      <c r="I535" s="158"/>
      <c r="J535" s="27"/>
      <c r="K535" s="28"/>
      <c r="L535" s="28"/>
      <c r="M535" s="27"/>
      <c r="N535" s="31"/>
      <c r="O535" s="31"/>
      <c r="P535" s="8"/>
      <c r="Q535" s="8"/>
      <c r="R535" s="8"/>
      <c r="S535" s="8"/>
      <c r="T535" s="8"/>
      <c r="U535" s="8"/>
      <c r="V535" s="8"/>
      <c r="W535" s="8"/>
      <c r="X535" s="8"/>
      <c r="Y535" s="8"/>
      <c r="Z535" s="8"/>
    </row>
    <row r="536" ht="16.5" customHeight="1">
      <c r="A536" s="8"/>
      <c r="B536" s="27"/>
      <c r="C536" s="27"/>
      <c r="D536" s="27"/>
      <c r="E536" s="28"/>
      <c r="F536" s="31"/>
      <c r="G536" s="28"/>
      <c r="H536" s="157"/>
      <c r="I536" s="158"/>
      <c r="J536" s="27"/>
      <c r="K536" s="28"/>
      <c r="L536" s="28"/>
      <c r="M536" s="27"/>
      <c r="N536" s="31"/>
      <c r="O536" s="31"/>
      <c r="P536" s="8"/>
      <c r="Q536" s="8"/>
      <c r="R536" s="8"/>
      <c r="S536" s="8"/>
      <c r="T536" s="8"/>
      <c r="U536" s="8"/>
      <c r="V536" s="8"/>
      <c r="W536" s="8"/>
      <c r="X536" s="8"/>
      <c r="Y536" s="8"/>
      <c r="Z536" s="8"/>
    </row>
    <row r="537" ht="16.5" customHeight="1">
      <c r="A537" s="8"/>
      <c r="B537" s="27"/>
      <c r="C537" s="27"/>
      <c r="D537" s="27"/>
      <c r="E537" s="28"/>
      <c r="F537" s="31"/>
      <c r="G537" s="28"/>
      <c r="H537" s="157"/>
      <c r="I537" s="158"/>
      <c r="J537" s="27"/>
      <c r="K537" s="28"/>
      <c r="L537" s="28"/>
      <c r="M537" s="27"/>
      <c r="N537" s="31"/>
      <c r="O537" s="31"/>
      <c r="P537" s="8"/>
      <c r="Q537" s="8"/>
      <c r="R537" s="8"/>
      <c r="S537" s="8"/>
      <c r="T537" s="8"/>
      <c r="U537" s="8"/>
      <c r="V537" s="8"/>
      <c r="W537" s="8"/>
      <c r="X537" s="8"/>
      <c r="Y537" s="8"/>
      <c r="Z537" s="8"/>
    </row>
    <row r="538" ht="16.5" customHeight="1">
      <c r="A538" s="8"/>
      <c r="B538" s="27"/>
      <c r="C538" s="27"/>
      <c r="D538" s="27"/>
      <c r="E538" s="28"/>
      <c r="F538" s="31"/>
      <c r="G538" s="28"/>
      <c r="H538" s="157"/>
      <c r="I538" s="158"/>
      <c r="J538" s="27"/>
      <c r="K538" s="28"/>
      <c r="L538" s="28"/>
      <c r="M538" s="27"/>
      <c r="N538" s="31"/>
      <c r="O538" s="31"/>
      <c r="P538" s="8"/>
      <c r="Q538" s="8"/>
      <c r="R538" s="8"/>
      <c r="S538" s="8"/>
      <c r="T538" s="8"/>
      <c r="U538" s="8"/>
      <c r="V538" s="8"/>
      <c r="W538" s="8"/>
      <c r="X538" s="8"/>
      <c r="Y538" s="8"/>
      <c r="Z538" s="8"/>
    </row>
    <row r="539" ht="16.5" customHeight="1">
      <c r="A539" s="8"/>
      <c r="B539" s="27"/>
      <c r="C539" s="27"/>
      <c r="D539" s="27"/>
      <c r="E539" s="28"/>
      <c r="F539" s="31"/>
      <c r="G539" s="28"/>
      <c r="H539" s="157"/>
      <c r="I539" s="158"/>
      <c r="J539" s="27"/>
      <c r="K539" s="28"/>
      <c r="L539" s="28"/>
      <c r="M539" s="27"/>
      <c r="N539" s="31"/>
      <c r="O539" s="31"/>
      <c r="P539" s="8"/>
      <c r="Q539" s="8"/>
      <c r="R539" s="8"/>
      <c r="S539" s="8"/>
      <c r="T539" s="8"/>
      <c r="U539" s="8"/>
      <c r="V539" s="8"/>
      <c r="W539" s="8"/>
      <c r="X539" s="8"/>
      <c r="Y539" s="8"/>
      <c r="Z539" s="8"/>
    </row>
    <row r="540" ht="16.5" customHeight="1">
      <c r="A540" s="8"/>
      <c r="B540" s="27"/>
      <c r="C540" s="27"/>
      <c r="D540" s="27"/>
      <c r="E540" s="28"/>
      <c r="F540" s="31"/>
      <c r="G540" s="28"/>
      <c r="H540" s="157"/>
      <c r="I540" s="158"/>
      <c r="J540" s="27"/>
      <c r="K540" s="28"/>
      <c r="L540" s="28"/>
      <c r="M540" s="27"/>
      <c r="N540" s="31"/>
      <c r="O540" s="31"/>
      <c r="P540" s="8"/>
      <c r="Q540" s="8"/>
      <c r="R540" s="8"/>
      <c r="S540" s="8"/>
      <c r="T540" s="8"/>
      <c r="U540" s="8"/>
      <c r="V540" s="8"/>
      <c r="W540" s="8"/>
      <c r="X540" s="8"/>
      <c r="Y540" s="8"/>
      <c r="Z540" s="8"/>
    </row>
    <row r="541" ht="16.5" customHeight="1">
      <c r="A541" s="8"/>
      <c r="B541" s="27"/>
      <c r="C541" s="27"/>
      <c r="D541" s="27"/>
      <c r="E541" s="28"/>
      <c r="F541" s="31"/>
      <c r="G541" s="28"/>
      <c r="H541" s="157"/>
      <c r="I541" s="158"/>
      <c r="J541" s="27"/>
      <c r="K541" s="28"/>
      <c r="L541" s="28"/>
      <c r="M541" s="27"/>
      <c r="N541" s="31"/>
      <c r="O541" s="31"/>
      <c r="P541" s="8"/>
      <c r="Q541" s="8"/>
      <c r="R541" s="8"/>
      <c r="S541" s="8"/>
      <c r="T541" s="8"/>
      <c r="U541" s="8"/>
      <c r="V541" s="8"/>
      <c r="W541" s="8"/>
      <c r="X541" s="8"/>
      <c r="Y541" s="8"/>
      <c r="Z541" s="8"/>
    </row>
    <row r="542" ht="16.5" customHeight="1">
      <c r="A542" s="8"/>
      <c r="B542" s="27"/>
      <c r="C542" s="27"/>
      <c r="D542" s="27"/>
      <c r="E542" s="28"/>
      <c r="F542" s="31"/>
      <c r="G542" s="28"/>
      <c r="H542" s="157"/>
      <c r="I542" s="158"/>
      <c r="J542" s="27"/>
      <c r="K542" s="28"/>
      <c r="L542" s="28"/>
      <c r="M542" s="27"/>
      <c r="N542" s="31"/>
      <c r="O542" s="31"/>
      <c r="P542" s="8"/>
      <c r="Q542" s="8"/>
      <c r="R542" s="8"/>
      <c r="S542" s="8"/>
      <c r="T542" s="8"/>
      <c r="U542" s="8"/>
      <c r="V542" s="8"/>
      <c r="W542" s="8"/>
      <c r="X542" s="8"/>
      <c r="Y542" s="8"/>
      <c r="Z542" s="8"/>
    </row>
    <row r="543" ht="16.5" customHeight="1">
      <c r="A543" s="8"/>
      <c r="B543" s="27"/>
      <c r="C543" s="27"/>
      <c r="D543" s="27"/>
      <c r="E543" s="28"/>
      <c r="F543" s="31"/>
      <c r="G543" s="28"/>
      <c r="H543" s="157"/>
      <c r="I543" s="158"/>
      <c r="J543" s="27"/>
      <c r="K543" s="28"/>
      <c r="L543" s="28"/>
      <c r="M543" s="27"/>
      <c r="N543" s="31"/>
      <c r="O543" s="31"/>
      <c r="P543" s="8"/>
      <c r="Q543" s="8"/>
      <c r="R543" s="8"/>
      <c r="S543" s="8"/>
      <c r="T543" s="8"/>
      <c r="U543" s="8"/>
      <c r="V543" s="8"/>
      <c r="W543" s="8"/>
      <c r="X543" s="8"/>
      <c r="Y543" s="8"/>
      <c r="Z543" s="8"/>
    </row>
    <row r="544" ht="16.5" customHeight="1">
      <c r="A544" s="8"/>
      <c r="B544" s="27"/>
      <c r="C544" s="27"/>
      <c r="D544" s="27"/>
      <c r="E544" s="28"/>
      <c r="F544" s="31"/>
      <c r="G544" s="28"/>
      <c r="H544" s="157"/>
      <c r="I544" s="158"/>
      <c r="J544" s="27"/>
      <c r="K544" s="28"/>
      <c r="L544" s="28"/>
      <c r="M544" s="27"/>
      <c r="N544" s="31"/>
      <c r="O544" s="31"/>
      <c r="P544" s="8"/>
      <c r="Q544" s="8"/>
      <c r="R544" s="8"/>
      <c r="S544" s="8"/>
      <c r="T544" s="8"/>
      <c r="U544" s="8"/>
      <c r="V544" s="8"/>
      <c r="W544" s="8"/>
      <c r="X544" s="8"/>
      <c r="Y544" s="8"/>
      <c r="Z544" s="8"/>
    </row>
    <row r="545" ht="16.5" customHeight="1">
      <c r="A545" s="8"/>
      <c r="B545" s="27"/>
      <c r="C545" s="27"/>
      <c r="D545" s="27"/>
      <c r="E545" s="28"/>
      <c r="F545" s="31"/>
      <c r="G545" s="28"/>
      <c r="H545" s="157"/>
      <c r="I545" s="158"/>
      <c r="J545" s="27"/>
      <c r="K545" s="28"/>
      <c r="L545" s="28"/>
      <c r="M545" s="27"/>
      <c r="N545" s="31"/>
      <c r="O545" s="31"/>
      <c r="P545" s="8"/>
      <c r="Q545" s="8"/>
      <c r="R545" s="8"/>
      <c r="S545" s="8"/>
      <c r="T545" s="8"/>
      <c r="U545" s="8"/>
      <c r="V545" s="8"/>
      <c r="W545" s="8"/>
      <c r="X545" s="8"/>
      <c r="Y545" s="8"/>
      <c r="Z545" s="8"/>
    </row>
    <row r="546" ht="16.5" customHeight="1">
      <c r="A546" s="8"/>
      <c r="B546" s="27"/>
      <c r="C546" s="27"/>
      <c r="D546" s="27"/>
      <c r="E546" s="28"/>
      <c r="F546" s="31"/>
      <c r="G546" s="28"/>
      <c r="H546" s="157"/>
      <c r="I546" s="158"/>
      <c r="J546" s="27"/>
      <c r="K546" s="28"/>
      <c r="L546" s="28"/>
      <c r="M546" s="27"/>
      <c r="N546" s="31"/>
      <c r="O546" s="31"/>
      <c r="P546" s="8"/>
      <c r="Q546" s="8"/>
      <c r="R546" s="8"/>
      <c r="S546" s="8"/>
      <c r="T546" s="8"/>
      <c r="U546" s="8"/>
      <c r="V546" s="8"/>
      <c r="W546" s="8"/>
      <c r="X546" s="8"/>
      <c r="Y546" s="8"/>
      <c r="Z546" s="8"/>
    </row>
    <row r="547" ht="16.5" customHeight="1">
      <c r="A547" s="8"/>
      <c r="B547" s="27"/>
      <c r="C547" s="27"/>
      <c r="D547" s="27"/>
      <c r="E547" s="28"/>
      <c r="F547" s="31"/>
      <c r="G547" s="28"/>
      <c r="H547" s="157"/>
      <c r="I547" s="158"/>
      <c r="J547" s="27"/>
      <c r="K547" s="28"/>
      <c r="L547" s="28"/>
      <c r="M547" s="27"/>
      <c r="N547" s="31"/>
      <c r="O547" s="31"/>
      <c r="P547" s="8"/>
      <c r="Q547" s="8"/>
      <c r="R547" s="8"/>
      <c r="S547" s="8"/>
      <c r="T547" s="8"/>
      <c r="U547" s="8"/>
      <c r="V547" s="8"/>
      <c r="W547" s="8"/>
      <c r="X547" s="8"/>
      <c r="Y547" s="8"/>
      <c r="Z547" s="8"/>
    </row>
    <row r="548" ht="16.5" customHeight="1">
      <c r="A548" s="8"/>
      <c r="B548" s="27"/>
      <c r="C548" s="27"/>
      <c r="D548" s="27"/>
      <c r="E548" s="28"/>
      <c r="F548" s="31"/>
      <c r="G548" s="28"/>
      <c r="H548" s="157"/>
      <c r="I548" s="158"/>
      <c r="J548" s="27"/>
      <c r="K548" s="28"/>
      <c r="L548" s="28"/>
      <c r="M548" s="27"/>
      <c r="N548" s="31"/>
      <c r="O548" s="31"/>
      <c r="P548" s="8"/>
      <c r="Q548" s="8"/>
      <c r="R548" s="8"/>
      <c r="S548" s="8"/>
      <c r="T548" s="8"/>
      <c r="U548" s="8"/>
      <c r="V548" s="8"/>
      <c r="W548" s="8"/>
      <c r="X548" s="8"/>
      <c r="Y548" s="8"/>
      <c r="Z548" s="8"/>
    </row>
    <row r="549" ht="16.5" customHeight="1">
      <c r="A549" s="8"/>
      <c r="B549" s="27"/>
      <c r="C549" s="27"/>
      <c r="D549" s="27"/>
      <c r="E549" s="28"/>
      <c r="F549" s="31"/>
      <c r="G549" s="28"/>
      <c r="H549" s="157"/>
      <c r="I549" s="158"/>
      <c r="J549" s="27"/>
      <c r="K549" s="28"/>
      <c r="L549" s="28"/>
      <c r="M549" s="27"/>
      <c r="N549" s="31"/>
      <c r="O549" s="31"/>
      <c r="P549" s="8"/>
      <c r="Q549" s="8"/>
      <c r="R549" s="8"/>
      <c r="S549" s="8"/>
      <c r="T549" s="8"/>
      <c r="U549" s="8"/>
      <c r="V549" s="8"/>
      <c r="W549" s="8"/>
      <c r="X549" s="8"/>
      <c r="Y549" s="8"/>
      <c r="Z549" s="8"/>
    </row>
    <row r="550" ht="16.5" customHeight="1">
      <c r="A550" s="8"/>
      <c r="B550" s="27"/>
      <c r="C550" s="27"/>
      <c r="D550" s="27"/>
      <c r="E550" s="28"/>
      <c r="F550" s="31"/>
      <c r="G550" s="28"/>
      <c r="H550" s="157"/>
      <c r="I550" s="158"/>
      <c r="J550" s="27"/>
      <c r="K550" s="28"/>
      <c r="L550" s="28"/>
      <c r="M550" s="27"/>
      <c r="N550" s="31"/>
      <c r="O550" s="31"/>
      <c r="P550" s="8"/>
      <c r="Q550" s="8"/>
      <c r="R550" s="8"/>
      <c r="S550" s="8"/>
      <c r="T550" s="8"/>
      <c r="U550" s="8"/>
      <c r="V550" s="8"/>
      <c r="W550" s="8"/>
      <c r="X550" s="8"/>
      <c r="Y550" s="8"/>
      <c r="Z550" s="8"/>
    </row>
    <row r="551" ht="16.5" customHeight="1">
      <c r="A551" s="8"/>
      <c r="B551" s="27"/>
      <c r="C551" s="27"/>
      <c r="D551" s="27"/>
      <c r="E551" s="28"/>
      <c r="F551" s="31"/>
      <c r="G551" s="28"/>
      <c r="H551" s="157"/>
      <c r="I551" s="158"/>
      <c r="J551" s="27"/>
      <c r="K551" s="28"/>
      <c r="L551" s="28"/>
      <c r="M551" s="27"/>
      <c r="N551" s="31"/>
      <c r="O551" s="31"/>
      <c r="P551" s="8"/>
      <c r="Q551" s="8"/>
      <c r="R551" s="8"/>
      <c r="S551" s="8"/>
      <c r="T551" s="8"/>
      <c r="U551" s="8"/>
      <c r="V551" s="8"/>
      <c r="W551" s="8"/>
      <c r="X551" s="8"/>
      <c r="Y551" s="8"/>
      <c r="Z551" s="8"/>
    </row>
    <row r="552" ht="16.5" customHeight="1">
      <c r="A552" s="8"/>
      <c r="B552" s="27"/>
      <c r="C552" s="27"/>
      <c r="D552" s="27"/>
      <c r="E552" s="28"/>
      <c r="F552" s="31"/>
      <c r="G552" s="28"/>
      <c r="H552" s="157"/>
      <c r="I552" s="158"/>
      <c r="J552" s="27"/>
      <c r="K552" s="28"/>
      <c r="L552" s="28"/>
      <c r="M552" s="27"/>
      <c r="N552" s="31"/>
      <c r="O552" s="31"/>
      <c r="P552" s="8"/>
      <c r="Q552" s="8"/>
      <c r="R552" s="8"/>
      <c r="S552" s="8"/>
      <c r="T552" s="8"/>
      <c r="U552" s="8"/>
      <c r="V552" s="8"/>
      <c r="W552" s="8"/>
      <c r="X552" s="8"/>
      <c r="Y552" s="8"/>
      <c r="Z552" s="8"/>
    </row>
    <row r="553" ht="16.5" customHeight="1">
      <c r="A553" s="8"/>
      <c r="B553" s="27"/>
      <c r="C553" s="27"/>
      <c r="D553" s="27"/>
      <c r="E553" s="28"/>
      <c r="F553" s="31"/>
      <c r="G553" s="28"/>
      <c r="H553" s="157"/>
      <c r="I553" s="158"/>
      <c r="J553" s="27"/>
      <c r="K553" s="28"/>
      <c r="L553" s="28"/>
      <c r="M553" s="27"/>
      <c r="N553" s="31"/>
      <c r="O553" s="31"/>
      <c r="P553" s="8"/>
      <c r="Q553" s="8"/>
      <c r="R553" s="8"/>
      <c r="S553" s="8"/>
      <c r="T553" s="8"/>
      <c r="U553" s="8"/>
      <c r="V553" s="8"/>
      <c r="W553" s="8"/>
      <c r="X553" s="8"/>
      <c r="Y553" s="8"/>
      <c r="Z553" s="8"/>
    </row>
    <row r="554" ht="16.5" customHeight="1">
      <c r="A554" s="8"/>
      <c r="B554" s="27"/>
      <c r="C554" s="27"/>
      <c r="D554" s="27"/>
      <c r="E554" s="28"/>
      <c r="F554" s="31"/>
      <c r="G554" s="28"/>
      <c r="H554" s="157"/>
      <c r="I554" s="158"/>
      <c r="J554" s="27"/>
      <c r="K554" s="28"/>
      <c r="L554" s="28"/>
      <c r="M554" s="27"/>
      <c r="N554" s="31"/>
      <c r="O554" s="31"/>
      <c r="P554" s="8"/>
      <c r="Q554" s="8"/>
      <c r="R554" s="8"/>
      <c r="S554" s="8"/>
      <c r="T554" s="8"/>
      <c r="U554" s="8"/>
      <c r="V554" s="8"/>
      <c r="W554" s="8"/>
      <c r="X554" s="8"/>
      <c r="Y554" s="8"/>
      <c r="Z554" s="8"/>
    </row>
    <row r="555" ht="16.5" customHeight="1">
      <c r="A555" s="8"/>
      <c r="B555" s="27"/>
      <c r="C555" s="27"/>
      <c r="D555" s="27"/>
      <c r="E555" s="28"/>
      <c r="F555" s="31"/>
      <c r="G555" s="28"/>
      <c r="H555" s="157"/>
      <c r="I555" s="158"/>
      <c r="J555" s="27"/>
      <c r="K555" s="28"/>
      <c r="L555" s="28"/>
      <c r="M555" s="27"/>
      <c r="N555" s="31"/>
      <c r="O555" s="31"/>
      <c r="P555" s="8"/>
      <c r="Q555" s="8"/>
      <c r="R555" s="8"/>
      <c r="S555" s="8"/>
      <c r="T555" s="8"/>
      <c r="U555" s="8"/>
      <c r="V555" s="8"/>
      <c r="W555" s="8"/>
      <c r="X555" s="8"/>
      <c r="Y555" s="8"/>
      <c r="Z555" s="8"/>
    </row>
    <row r="556" ht="16.5" customHeight="1">
      <c r="A556" s="8"/>
      <c r="B556" s="27"/>
      <c r="C556" s="27"/>
      <c r="D556" s="27"/>
      <c r="E556" s="28"/>
      <c r="F556" s="31"/>
      <c r="G556" s="28"/>
      <c r="H556" s="157"/>
      <c r="I556" s="158"/>
      <c r="J556" s="27"/>
      <c r="K556" s="28"/>
      <c r="L556" s="28"/>
      <c r="M556" s="27"/>
      <c r="N556" s="31"/>
      <c r="O556" s="31"/>
      <c r="P556" s="8"/>
      <c r="Q556" s="8"/>
      <c r="R556" s="8"/>
      <c r="S556" s="8"/>
      <c r="T556" s="8"/>
      <c r="U556" s="8"/>
      <c r="V556" s="8"/>
      <c r="W556" s="8"/>
      <c r="X556" s="8"/>
      <c r="Y556" s="8"/>
      <c r="Z556" s="8"/>
    </row>
    <row r="557" ht="16.5" customHeight="1">
      <c r="A557" s="8"/>
      <c r="B557" s="27"/>
      <c r="C557" s="27"/>
      <c r="D557" s="27"/>
      <c r="E557" s="28"/>
      <c r="F557" s="31"/>
      <c r="G557" s="28"/>
      <c r="H557" s="157"/>
      <c r="I557" s="158"/>
      <c r="J557" s="27"/>
      <c r="K557" s="28"/>
      <c r="L557" s="28"/>
      <c r="M557" s="27"/>
      <c r="N557" s="31"/>
      <c r="O557" s="31"/>
      <c r="P557" s="8"/>
      <c r="Q557" s="8"/>
      <c r="R557" s="8"/>
      <c r="S557" s="8"/>
      <c r="T557" s="8"/>
      <c r="U557" s="8"/>
      <c r="V557" s="8"/>
      <c r="W557" s="8"/>
      <c r="X557" s="8"/>
      <c r="Y557" s="8"/>
      <c r="Z557" s="8"/>
    </row>
    <row r="558" ht="16.5" customHeight="1">
      <c r="A558" s="8"/>
      <c r="B558" s="27"/>
      <c r="C558" s="27"/>
      <c r="D558" s="27"/>
      <c r="E558" s="28"/>
      <c r="F558" s="31"/>
      <c r="G558" s="28"/>
      <c r="H558" s="157"/>
      <c r="I558" s="158"/>
      <c r="J558" s="27"/>
      <c r="K558" s="28"/>
      <c r="L558" s="28"/>
      <c r="M558" s="27"/>
      <c r="N558" s="31"/>
      <c r="O558" s="31"/>
      <c r="P558" s="8"/>
      <c r="Q558" s="8"/>
      <c r="R558" s="8"/>
      <c r="S558" s="8"/>
      <c r="T558" s="8"/>
      <c r="U558" s="8"/>
      <c r="V558" s="8"/>
      <c r="W558" s="8"/>
      <c r="X558" s="8"/>
      <c r="Y558" s="8"/>
      <c r="Z558" s="8"/>
    </row>
    <row r="559" ht="16.5" customHeight="1">
      <c r="A559" s="8"/>
      <c r="B559" s="27"/>
      <c r="C559" s="27"/>
      <c r="D559" s="27"/>
      <c r="E559" s="28"/>
      <c r="F559" s="31"/>
      <c r="G559" s="28"/>
      <c r="H559" s="157"/>
      <c r="I559" s="158"/>
      <c r="J559" s="27"/>
      <c r="K559" s="28"/>
      <c r="L559" s="28"/>
      <c r="M559" s="27"/>
      <c r="N559" s="31"/>
      <c r="O559" s="31"/>
      <c r="P559" s="8"/>
      <c r="Q559" s="8"/>
      <c r="R559" s="8"/>
      <c r="S559" s="8"/>
      <c r="T559" s="8"/>
      <c r="U559" s="8"/>
      <c r="V559" s="8"/>
      <c r="W559" s="8"/>
      <c r="X559" s="8"/>
      <c r="Y559" s="8"/>
      <c r="Z559" s="8"/>
    </row>
    <row r="560" ht="16.5" customHeight="1">
      <c r="A560" s="8"/>
      <c r="B560" s="27"/>
      <c r="C560" s="27"/>
      <c r="D560" s="27"/>
      <c r="E560" s="28"/>
      <c r="F560" s="31"/>
      <c r="G560" s="28"/>
      <c r="H560" s="157"/>
      <c r="I560" s="158"/>
      <c r="J560" s="27"/>
      <c r="K560" s="28"/>
      <c r="L560" s="28"/>
      <c r="M560" s="27"/>
      <c r="N560" s="31"/>
      <c r="O560" s="31"/>
      <c r="P560" s="8"/>
      <c r="Q560" s="8"/>
      <c r="R560" s="8"/>
      <c r="S560" s="8"/>
      <c r="T560" s="8"/>
      <c r="U560" s="8"/>
      <c r="V560" s="8"/>
      <c r="W560" s="8"/>
      <c r="X560" s="8"/>
      <c r="Y560" s="8"/>
      <c r="Z560" s="8"/>
    </row>
    <row r="561" ht="16.5" customHeight="1">
      <c r="A561" s="8"/>
      <c r="B561" s="27"/>
      <c r="C561" s="27"/>
      <c r="D561" s="27"/>
      <c r="E561" s="28"/>
      <c r="F561" s="31"/>
      <c r="G561" s="28"/>
      <c r="H561" s="157"/>
      <c r="I561" s="158"/>
      <c r="J561" s="27"/>
      <c r="K561" s="28"/>
      <c r="L561" s="28"/>
      <c r="M561" s="27"/>
      <c r="N561" s="31"/>
      <c r="O561" s="31"/>
      <c r="P561" s="8"/>
      <c r="Q561" s="8"/>
      <c r="R561" s="8"/>
      <c r="S561" s="8"/>
      <c r="T561" s="8"/>
      <c r="U561" s="8"/>
      <c r="V561" s="8"/>
      <c r="W561" s="8"/>
      <c r="X561" s="8"/>
      <c r="Y561" s="8"/>
      <c r="Z561" s="8"/>
    </row>
    <row r="562" ht="16.5" customHeight="1">
      <c r="A562" s="8"/>
      <c r="B562" s="27"/>
      <c r="C562" s="27"/>
      <c r="D562" s="27"/>
      <c r="E562" s="28"/>
      <c r="F562" s="31"/>
      <c r="G562" s="28"/>
      <c r="H562" s="157"/>
      <c r="I562" s="158"/>
      <c r="J562" s="27"/>
      <c r="K562" s="28"/>
      <c r="L562" s="28"/>
      <c r="M562" s="27"/>
      <c r="N562" s="31"/>
      <c r="O562" s="31"/>
      <c r="P562" s="8"/>
      <c r="Q562" s="8"/>
      <c r="R562" s="8"/>
      <c r="S562" s="8"/>
      <c r="T562" s="8"/>
      <c r="U562" s="8"/>
      <c r="V562" s="8"/>
      <c r="W562" s="8"/>
      <c r="X562" s="8"/>
      <c r="Y562" s="8"/>
      <c r="Z562" s="8"/>
    </row>
    <row r="563" ht="16.5" customHeight="1">
      <c r="A563" s="8"/>
      <c r="B563" s="27"/>
      <c r="C563" s="27"/>
      <c r="D563" s="27"/>
      <c r="E563" s="28"/>
      <c r="F563" s="31"/>
      <c r="G563" s="28"/>
      <c r="H563" s="157"/>
      <c r="I563" s="158"/>
      <c r="J563" s="27"/>
      <c r="K563" s="28"/>
      <c r="L563" s="28"/>
      <c r="M563" s="27"/>
      <c r="N563" s="31"/>
      <c r="O563" s="31"/>
      <c r="P563" s="8"/>
      <c r="Q563" s="8"/>
      <c r="R563" s="8"/>
      <c r="S563" s="8"/>
      <c r="T563" s="8"/>
      <c r="U563" s="8"/>
      <c r="V563" s="8"/>
      <c r="W563" s="8"/>
      <c r="X563" s="8"/>
      <c r="Y563" s="8"/>
      <c r="Z563" s="8"/>
    </row>
    <row r="564" ht="16.5" customHeight="1">
      <c r="A564" s="8"/>
      <c r="B564" s="27"/>
      <c r="C564" s="27"/>
      <c r="D564" s="27"/>
      <c r="E564" s="28"/>
      <c r="F564" s="31"/>
      <c r="G564" s="28"/>
      <c r="H564" s="157"/>
      <c r="I564" s="158"/>
      <c r="J564" s="27"/>
      <c r="K564" s="28"/>
      <c r="L564" s="28"/>
      <c r="M564" s="27"/>
      <c r="N564" s="31"/>
      <c r="O564" s="31"/>
      <c r="P564" s="8"/>
      <c r="Q564" s="8"/>
      <c r="R564" s="8"/>
      <c r="S564" s="8"/>
      <c r="T564" s="8"/>
      <c r="U564" s="8"/>
      <c r="V564" s="8"/>
      <c r="W564" s="8"/>
      <c r="X564" s="8"/>
      <c r="Y564" s="8"/>
      <c r="Z564" s="8"/>
    </row>
    <row r="565" ht="16.5" customHeight="1">
      <c r="A565" s="8"/>
      <c r="B565" s="27"/>
      <c r="C565" s="27"/>
      <c r="D565" s="27"/>
      <c r="E565" s="28"/>
      <c r="F565" s="31"/>
      <c r="G565" s="28"/>
      <c r="H565" s="157"/>
      <c r="I565" s="158"/>
      <c r="J565" s="27"/>
      <c r="K565" s="28"/>
      <c r="L565" s="28"/>
      <c r="M565" s="27"/>
      <c r="N565" s="31"/>
      <c r="O565" s="31"/>
      <c r="P565" s="8"/>
      <c r="Q565" s="8"/>
      <c r="R565" s="8"/>
      <c r="S565" s="8"/>
      <c r="T565" s="8"/>
      <c r="U565" s="8"/>
      <c r="V565" s="8"/>
      <c r="W565" s="8"/>
      <c r="X565" s="8"/>
      <c r="Y565" s="8"/>
      <c r="Z565" s="8"/>
    </row>
    <row r="566" ht="16.5" customHeight="1">
      <c r="A566" s="8"/>
      <c r="B566" s="27"/>
      <c r="C566" s="27"/>
      <c r="D566" s="27"/>
      <c r="E566" s="28"/>
      <c r="F566" s="31"/>
      <c r="G566" s="28"/>
      <c r="H566" s="157"/>
      <c r="I566" s="158"/>
      <c r="J566" s="27"/>
      <c r="K566" s="28"/>
      <c r="L566" s="28"/>
      <c r="M566" s="27"/>
      <c r="N566" s="31"/>
      <c r="O566" s="31"/>
      <c r="P566" s="8"/>
      <c r="Q566" s="8"/>
      <c r="R566" s="8"/>
      <c r="S566" s="8"/>
      <c r="T566" s="8"/>
      <c r="U566" s="8"/>
      <c r="V566" s="8"/>
      <c r="W566" s="8"/>
      <c r="X566" s="8"/>
      <c r="Y566" s="8"/>
      <c r="Z566" s="8"/>
    </row>
    <row r="567" ht="16.5" customHeight="1">
      <c r="A567" s="8"/>
      <c r="B567" s="27"/>
      <c r="C567" s="27"/>
      <c r="D567" s="27"/>
      <c r="E567" s="28"/>
      <c r="F567" s="31"/>
      <c r="G567" s="28"/>
      <c r="H567" s="157"/>
      <c r="I567" s="158"/>
      <c r="J567" s="27"/>
      <c r="K567" s="28"/>
      <c r="L567" s="28"/>
      <c r="M567" s="27"/>
      <c r="N567" s="31"/>
      <c r="O567" s="31"/>
      <c r="P567" s="8"/>
      <c r="Q567" s="8"/>
      <c r="R567" s="8"/>
      <c r="S567" s="8"/>
      <c r="T567" s="8"/>
      <c r="U567" s="8"/>
      <c r="V567" s="8"/>
      <c r="W567" s="8"/>
      <c r="X567" s="8"/>
      <c r="Y567" s="8"/>
      <c r="Z567" s="8"/>
    </row>
    <row r="568" ht="16.5" customHeight="1">
      <c r="A568" s="8"/>
      <c r="B568" s="27"/>
      <c r="C568" s="27"/>
      <c r="D568" s="27"/>
      <c r="E568" s="28"/>
      <c r="F568" s="31"/>
      <c r="G568" s="28"/>
      <c r="H568" s="157"/>
      <c r="I568" s="158"/>
      <c r="J568" s="27"/>
      <c r="K568" s="28"/>
      <c r="L568" s="28"/>
      <c r="M568" s="27"/>
      <c r="N568" s="31"/>
      <c r="O568" s="31"/>
      <c r="P568" s="8"/>
      <c r="Q568" s="8"/>
      <c r="R568" s="8"/>
      <c r="S568" s="8"/>
      <c r="T568" s="8"/>
      <c r="U568" s="8"/>
      <c r="V568" s="8"/>
      <c r="W568" s="8"/>
      <c r="X568" s="8"/>
      <c r="Y568" s="8"/>
      <c r="Z568" s="8"/>
    </row>
    <row r="569" ht="16.5" customHeight="1">
      <c r="A569" s="8"/>
      <c r="B569" s="27"/>
      <c r="C569" s="27"/>
      <c r="D569" s="27"/>
      <c r="E569" s="28"/>
      <c r="F569" s="31"/>
      <c r="G569" s="28"/>
      <c r="H569" s="157"/>
      <c r="I569" s="158"/>
      <c r="J569" s="27"/>
      <c r="K569" s="28"/>
      <c r="L569" s="28"/>
      <c r="M569" s="27"/>
      <c r="N569" s="31"/>
      <c r="O569" s="31"/>
      <c r="P569" s="8"/>
      <c r="Q569" s="8"/>
      <c r="R569" s="8"/>
      <c r="S569" s="8"/>
      <c r="T569" s="8"/>
      <c r="U569" s="8"/>
      <c r="V569" s="8"/>
      <c r="W569" s="8"/>
      <c r="X569" s="8"/>
      <c r="Y569" s="8"/>
      <c r="Z569" s="8"/>
    </row>
    <row r="570" ht="16.5" customHeight="1">
      <c r="A570" s="8"/>
      <c r="B570" s="27"/>
      <c r="C570" s="27"/>
      <c r="D570" s="27"/>
      <c r="E570" s="28"/>
      <c r="F570" s="31"/>
      <c r="G570" s="28"/>
      <c r="H570" s="157"/>
      <c r="I570" s="158"/>
      <c r="J570" s="27"/>
      <c r="K570" s="28"/>
      <c r="L570" s="28"/>
      <c r="M570" s="27"/>
      <c r="N570" s="31"/>
      <c r="O570" s="31"/>
      <c r="P570" s="8"/>
      <c r="Q570" s="8"/>
      <c r="R570" s="8"/>
      <c r="S570" s="8"/>
      <c r="T570" s="8"/>
      <c r="U570" s="8"/>
      <c r="V570" s="8"/>
      <c r="W570" s="8"/>
      <c r="X570" s="8"/>
      <c r="Y570" s="8"/>
      <c r="Z570" s="8"/>
    </row>
    <row r="571" ht="16.5" customHeight="1">
      <c r="A571" s="8"/>
      <c r="B571" s="27"/>
      <c r="C571" s="27"/>
      <c r="D571" s="27"/>
      <c r="E571" s="28"/>
      <c r="F571" s="31"/>
      <c r="G571" s="28"/>
      <c r="H571" s="157"/>
      <c r="I571" s="158"/>
      <c r="J571" s="27"/>
      <c r="K571" s="28"/>
      <c r="L571" s="28"/>
      <c r="M571" s="27"/>
      <c r="N571" s="31"/>
      <c r="O571" s="31"/>
      <c r="P571" s="8"/>
      <c r="Q571" s="8"/>
      <c r="R571" s="8"/>
      <c r="S571" s="8"/>
      <c r="T571" s="8"/>
      <c r="U571" s="8"/>
      <c r="V571" s="8"/>
      <c r="W571" s="8"/>
      <c r="X571" s="8"/>
      <c r="Y571" s="8"/>
      <c r="Z571" s="8"/>
    </row>
    <row r="572" ht="16.5" customHeight="1">
      <c r="A572" s="8"/>
      <c r="B572" s="27"/>
      <c r="C572" s="27"/>
      <c r="D572" s="27"/>
      <c r="E572" s="28"/>
      <c r="F572" s="31"/>
      <c r="G572" s="28"/>
      <c r="H572" s="157"/>
      <c r="I572" s="158"/>
      <c r="J572" s="27"/>
      <c r="K572" s="28"/>
      <c r="L572" s="28"/>
      <c r="M572" s="27"/>
      <c r="N572" s="31"/>
      <c r="O572" s="31"/>
      <c r="P572" s="8"/>
      <c r="Q572" s="8"/>
      <c r="R572" s="8"/>
      <c r="S572" s="8"/>
      <c r="T572" s="8"/>
      <c r="U572" s="8"/>
      <c r="V572" s="8"/>
      <c r="W572" s="8"/>
      <c r="X572" s="8"/>
      <c r="Y572" s="8"/>
      <c r="Z572" s="8"/>
    </row>
    <row r="573" ht="16.5" customHeight="1">
      <c r="A573" s="8"/>
      <c r="B573" s="27"/>
      <c r="C573" s="27"/>
      <c r="D573" s="27"/>
      <c r="E573" s="28"/>
      <c r="F573" s="31"/>
      <c r="G573" s="28"/>
      <c r="H573" s="157"/>
      <c r="I573" s="158"/>
      <c r="J573" s="27"/>
      <c r="K573" s="28"/>
      <c r="L573" s="28"/>
      <c r="M573" s="27"/>
      <c r="N573" s="31"/>
      <c r="O573" s="31"/>
      <c r="P573" s="8"/>
      <c r="Q573" s="8"/>
      <c r="R573" s="8"/>
      <c r="S573" s="8"/>
      <c r="T573" s="8"/>
      <c r="U573" s="8"/>
      <c r="V573" s="8"/>
      <c r="W573" s="8"/>
      <c r="X573" s="8"/>
      <c r="Y573" s="8"/>
      <c r="Z573" s="8"/>
    </row>
    <row r="574" ht="16.5" customHeight="1">
      <c r="A574" s="8"/>
      <c r="B574" s="27"/>
      <c r="C574" s="27"/>
      <c r="D574" s="27"/>
      <c r="E574" s="28"/>
      <c r="F574" s="31"/>
      <c r="G574" s="28"/>
      <c r="H574" s="157"/>
      <c r="I574" s="158"/>
      <c r="J574" s="27"/>
      <c r="K574" s="28"/>
      <c r="L574" s="28"/>
      <c r="M574" s="27"/>
      <c r="N574" s="31"/>
      <c r="O574" s="31"/>
      <c r="P574" s="8"/>
      <c r="Q574" s="8"/>
      <c r="R574" s="8"/>
      <c r="S574" s="8"/>
      <c r="T574" s="8"/>
      <c r="U574" s="8"/>
      <c r="V574" s="8"/>
      <c r="W574" s="8"/>
      <c r="X574" s="8"/>
      <c r="Y574" s="8"/>
      <c r="Z574" s="8"/>
    </row>
    <row r="575" ht="16.5" customHeight="1">
      <c r="A575" s="8"/>
      <c r="B575" s="27"/>
      <c r="C575" s="27"/>
      <c r="D575" s="27"/>
      <c r="E575" s="28"/>
      <c r="F575" s="31"/>
      <c r="G575" s="28"/>
      <c r="H575" s="157"/>
      <c r="I575" s="158"/>
      <c r="J575" s="27"/>
      <c r="K575" s="28"/>
      <c r="L575" s="28"/>
      <c r="M575" s="27"/>
      <c r="N575" s="31"/>
      <c r="O575" s="31"/>
      <c r="P575" s="8"/>
      <c r="Q575" s="8"/>
      <c r="R575" s="8"/>
      <c r="S575" s="8"/>
      <c r="T575" s="8"/>
      <c r="U575" s="8"/>
      <c r="V575" s="8"/>
      <c r="W575" s="8"/>
      <c r="X575" s="8"/>
      <c r="Y575" s="8"/>
      <c r="Z575" s="8"/>
    </row>
    <row r="576" ht="16.5" customHeight="1">
      <c r="A576" s="8"/>
      <c r="B576" s="27"/>
      <c r="C576" s="27"/>
      <c r="D576" s="27"/>
      <c r="E576" s="28"/>
      <c r="F576" s="31"/>
      <c r="G576" s="28"/>
      <c r="H576" s="157"/>
      <c r="I576" s="158"/>
      <c r="J576" s="27"/>
      <c r="K576" s="28"/>
      <c r="L576" s="28"/>
      <c r="M576" s="27"/>
      <c r="N576" s="31"/>
      <c r="O576" s="31"/>
      <c r="P576" s="8"/>
      <c r="Q576" s="8"/>
      <c r="R576" s="8"/>
      <c r="S576" s="8"/>
      <c r="T576" s="8"/>
      <c r="U576" s="8"/>
      <c r="V576" s="8"/>
      <c r="W576" s="8"/>
      <c r="X576" s="8"/>
      <c r="Y576" s="8"/>
      <c r="Z576" s="8"/>
    </row>
    <row r="577" ht="16.5" customHeight="1">
      <c r="A577" s="8"/>
      <c r="B577" s="27"/>
      <c r="C577" s="27"/>
      <c r="D577" s="27"/>
      <c r="E577" s="28"/>
      <c r="F577" s="31"/>
      <c r="G577" s="28"/>
      <c r="H577" s="157"/>
      <c r="I577" s="158"/>
      <c r="J577" s="27"/>
      <c r="K577" s="28"/>
      <c r="L577" s="28"/>
      <c r="M577" s="27"/>
      <c r="N577" s="31"/>
      <c r="O577" s="31"/>
      <c r="P577" s="8"/>
      <c r="Q577" s="8"/>
      <c r="R577" s="8"/>
      <c r="S577" s="8"/>
      <c r="T577" s="8"/>
      <c r="U577" s="8"/>
      <c r="V577" s="8"/>
      <c r="W577" s="8"/>
      <c r="X577" s="8"/>
      <c r="Y577" s="8"/>
      <c r="Z577" s="8"/>
    </row>
    <row r="578" ht="16.5" customHeight="1">
      <c r="A578" s="8"/>
      <c r="B578" s="27"/>
      <c r="C578" s="27"/>
      <c r="D578" s="27"/>
      <c r="E578" s="28"/>
      <c r="F578" s="31"/>
      <c r="G578" s="28"/>
      <c r="H578" s="157"/>
      <c r="I578" s="158"/>
      <c r="J578" s="27"/>
      <c r="K578" s="28"/>
      <c r="L578" s="28"/>
      <c r="M578" s="27"/>
      <c r="N578" s="31"/>
      <c r="O578" s="31"/>
      <c r="P578" s="8"/>
      <c r="Q578" s="8"/>
      <c r="R578" s="8"/>
      <c r="S578" s="8"/>
      <c r="T578" s="8"/>
      <c r="U578" s="8"/>
      <c r="V578" s="8"/>
      <c r="W578" s="8"/>
      <c r="X578" s="8"/>
      <c r="Y578" s="8"/>
      <c r="Z578" s="8"/>
    </row>
    <row r="579" ht="16.5" customHeight="1">
      <c r="A579" s="8"/>
      <c r="B579" s="27"/>
      <c r="C579" s="27"/>
      <c r="D579" s="27"/>
      <c r="E579" s="28"/>
      <c r="F579" s="31"/>
      <c r="G579" s="28"/>
      <c r="H579" s="157"/>
      <c r="I579" s="158"/>
      <c r="J579" s="27"/>
      <c r="K579" s="28"/>
      <c r="L579" s="28"/>
      <c r="M579" s="27"/>
      <c r="N579" s="31"/>
      <c r="O579" s="31"/>
      <c r="P579" s="8"/>
      <c r="Q579" s="8"/>
      <c r="R579" s="8"/>
      <c r="S579" s="8"/>
      <c r="T579" s="8"/>
      <c r="U579" s="8"/>
      <c r="V579" s="8"/>
      <c r="W579" s="8"/>
      <c r="X579" s="8"/>
      <c r="Y579" s="8"/>
      <c r="Z579" s="8"/>
    </row>
    <row r="580" ht="16.5" customHeight="1">
      <c r="A580" s="8"/>
      <c r="B580" s="27"/>
      <c r="C580" s="27"/>
      <c r="D580" s="27"/>
      <c r="E580" s="28"/>
      <c r="F580" s="31"/>
      <c r="G580" s="28"/>
      <c r="H580" s="157"/>
      <c r="I580" s="158"/>
      <c r="J580" s="27"/>
      <c r="K580" s="28"/>
      <c r="L580" s="28"/>
      <c r="M580" s="27"/>
      <c r="N580" s="31"/>
      <c r="O580" s="31"/>
      <c r="P580" s="8"/>
      <c r="Q580" s="8"/>
      <c r="R580" s="8"/>
      <c r="S580" s="8"/>
      <c r="T580" s="8"/>
      <c r="U580" s="8"/>
      <c r="V580" s="8"/>
      <c r="W580" s="8"/>
      <c r="X580" s="8"/>
      <c r="Y580" s="8"/>
      <c r="Z580" s="8"/>
    </row>
    <row r="581" ht="16.5" customHeight="1">
      <c r="A581" s="8"/>
      <c r="B581" s="27"/>
      <c r="C581" s="27"/>
      <c r="D581" s="27"/>
      <c r="E581" s="28"/>
      <c r="F581" s="31"/>
      <c r="G581" s="28"/>
      <c r="H581" s="157"/>
      <c r="I581" s="158"/>
      <c r="J581" s="27"/>
      <c r="K581" s="28"/>
      <c r="L581" s="28"/>
      <c r="M581" s="27"/>
      <c r="N581" s="31"/>
      <c r="O581" s="31"/>
      <c r="P581" s="8"/>
      <c r="Q581" s="8"/>
      <c r="R581" s="8"/>
      <c r="S581" s="8"/>
      <c r="T581" s="8"/>
      <c r="U581" s="8"/>
      <c r="V581" s="8"/>
      <c r="W581" s="8"/>
      <c r="X581" s="8"/>
      <c r="Y581" s="8"/>
      <c r="Z581" s="8"/>
    </row>
    <row r="582" ht="16.5" customHeight="1">
      <c r="A582" s="8"/>
      <c r="B582" s="27"/>
      <c r="C582" s="27"/>
      <c r="D582" s="27"/>
      <c r="E582" s="28"/>
      <c r="F582" s="31"/>
      <c r="G582" s="28"/>
      <c r="H582" s="157"/>
      <c r="I582" s="158"/>
      <c r="J582" s="27"/>
      <c r="K582" s="28"/>
      <c r="L582" s="28"/>
      <c r="M582" s="27"/>
      <c r="N582" s="31"/>
      <c r="O582" s="31"/>
      <c r="P582" s="8"/>
      <c r="Q582" s="8"/>
      <c r="R582" s="8"/>
      <c r="S582" s="8"/>
      <c r="T582" s="8"/>
      <c r="U582" s="8"/>
      <c r="V582" s="8"/>
      <c r="W582" s="8"/>
      <c r="X582" s="8"/>
      <c r="Y582" s="8"/>
      <c r="Z582" s="8"/>
    </row>
    <row r="583" ht="16.5" customHeight="1">
      <c r="A583" s="8"/>
      <c r="B583" s="27"/>
      <c r="C583" s="27"/>
      <c r="D583" s="27"/>
      <c r="E583" s="28"/>
      <c r="F583" s="31"/>
      <c r="G583" s="28"/>
      <c r="H583" s="157"/>
      <c r="I583" s="158"/>
      <c r="J583" s="27"/>
      <c r="K583" s="28"/>
      <c r="L583" s="28"/>
      <c r="M583" s="27"/>
      <c r="N583" s="31"/>
      <c r="O583" s="31"/>
      <c r="P583" s="8"/>
      <c r="Q583" s="8"/>
      <c r="R583" s="8"/>
      <c r="S583" s="8"/>
      <c r="T583" s="8"/>
      <c r="U583" s="8"/>
      <c r="V583" s="8"/>
      <c r="W583" s="8"/>
      <c r="X583" s="8"/>
      <c r="Y583" s="8"/>
      <c r="Z583" s="8"/>
    </row>
    <row r="584" ht="16.5" customHeight="1">
      <c r="A584" s="8"/>
      <c r="B584" s="27"/>
      <c r="C584" s="27"/>
      <c r="D584" s="27"/>
      <c r="E584" s="28"/>
      <c r="F584" s="31"/>
      <c r="G584" s="28"/>
      <c r="H584" s="157"/>
      <c r="I584" s="158"/>
      <c r="J584" s="27"/>
      <c r="K584" s="28"/>
      <c r="L584" s="28"/>
      <c r="M584" s="27"/>
      <c r="N584" s="31"/>
      <c r="O584" s="31"/>
      <c r="P584" s="8"/>
      <c r="Q584" s="8"/>
      <c r="R584" s="8"/>
      <c r="S584" s="8"/>
      <c r="T584" s="8"/>
      <c r="U584" s="8"/>
      <c r="V584" s="8"/>
      <c r="W584" s="8"/>
      <c r="X584" s="8"/>
      <c r="Y584" s="8"/>
      <c r="Z584" s="8"/>
    </row>
    <row r="585" ht="16.5" customHeight="1">
      <c r="A585" s="8"/>
      <c r="B585" s="27"/>
      <c r="C585" s="27"/>
      <c r="D585" s="27"/>
      <c r="E585" s="28"/>
      <c r="F585" s="31"/>
      <c r="G585" s="28"/>
      <c r="H585" s="157"/>
      <c r="I585" s="158"/>
      <c r="J585" s="27"/>
      <c r="K585" s="28"/>
      <c r="L585" s="28"/>
      <c r="M585" s="27"/>
      <c r="N585" s="31"/>
      <c r="O585" s="31"/>
      <c r="P585" s="8"/>
      <c r="Q585" s="8"/>
      <c r="R585" s="8"/>
      <c r="S585" s="8"/>
      <c r="T585" s="8"/>
      <c r="U585" s="8"/>
      <c r="V585" s="8"/>
      <c r="W585" s="8"/>
      <c r="X585" s="8"/>
      <c r="Y585" s="8"/>
      <c r="Z585" s="8"/>
    </row>
    <row r="586" ht="16.5" customHeight="1">
      <c r="A586" s="8"/>
      <c r="B586" s="27"/>
      <c r="C586" s="27"/>
      <c r="D586" s="27"/>
      <c r="E586" s="28"/>
      <c r="F586" s="31"/>
      <c r="G586" s="28"/>
      <c r="H586" s="157"/>
      <c r="I586" s="158"/>
      <c r="J586" s="27"/>
      <c r="K586" s="28"/>
      <c r="L586" s="28"/>
      <c r="M586" s="27"/>
      <c r="N586" s="31"/>
      <c r="O586" s="31"/>
      <c r="P586" s="8"/>
      <c r="Q586" s="8"/>
      <c r="R586" s="8"/>
      <c r="S586" s="8"/>
      <c r="T586" s="8"/>
      <c r="U586" s="8"/>
      <c r="V586" s="8"/>
      <c r="W586" s="8"/>
      <c r="X586" s="8"/>
      <c r="Y586" s="8"/>
      <c r="Z586" s="8"/>
    </row>
    <row r="587" ht="16.5" customHeight="1">
      <c r="A587" s="8"/>
      <c r="B587" s="27"/>
      <c r="C587" s="27"/>
      <c r="D587" s="27"/>
      <c r="E587" s="28"/>
      <c r="F587" s="31"/>
      <c r="G587" s="28"/>
      <c r="H587" s="157"/>
      <c r="I587" s="158"/>
      <c r="J587" s="27"/>
      <c r="K587" s="28"/>
      <c r="L587" s="28"/>
      <c r="M587" s="27"/>
      <c r="N587" s="31"/>
      <c r="O587" s="31"/>
      <c r="P587" s="8"/>
      <c r="Q587" s="8"/>
      <c r="R587" s="8"/>
      <c r="S587" s="8"/>
      <c r="T587" s="8"/>
      <c r="U587" s="8"/>
      <c r="V587" s="8"/>
      <c r="W587" s="8"/>
      <c r="X587" s="8"/>
      <c r="Y587" s="8"/>
      <c r="Z587" s="8"/>
    </row>
    <row r="588" ht="16.5" customHeight="1">
      <c r="A588" s="8"/>
      <c r="B588" s="27"/>
      <c r="C588" s="27"/>
      <c r="D588" s="27"/>
      <c r="E588" s="28"/>
      <c r="F588" s="31"/>
      <c r="G588" s="28"/>
      <c r="H588" s="157"/>
      <c r="I588" s="158"/>
      <c r="J588" s="27"/>
      <c r="K588" s="28"/>
      <c r="L588" s="28"/>
      <c r="M588" s="27"/>
      <c r="N588" s="31"/>
      <c r="O588" s="31"/>
      <c r="P588" s="8"/>
      <c r="Q588" s="8"/>
      <c r="R588" s="8"/>
      <c r="S588" s="8"/>
      <c r="T588" s="8"/>
      <c r="U588" s="8"/>
      <c r="V588" s="8"/>
      <c r="W588" s="8"/>
      <c r="X588" s="8"/>
      <c r="Y588" s="8"/>
      <c r="Z588" s="8"/>
    </row>
    <row r="589" ht="16.5" customHeight="1">
      <c r="A589" s="8"/>
      <c r="B589" s="27"/>
      <c r="C589" s="27"/>
      <c r="D589" s="27"/>
      <c r="E589" s="28"/>
      <c r="F589" s="31"/>
      <c r="G589" s="28"/>
      <c r="H589" s="157"/>
      <c r="I589" s="158"/>
      <c r="J589" s="27"/>
      <c r="K589" s="28"/>
      <c r="L589" s="28"/>
      <c r="M589" s="27"/>
      <c r="N589" s="31"/>
      <c r="O589" s="31"/>
      <c r="P589" s="8"/>
      <c r="Q589" s="8"/>
      <c r="R589" s="8"/>
      <c r="S589" s="8"/>
      <c r="T589" s="8"/>
      <c r="U589" s="8"/>
      <c r="V589" s="8"/>
      <c r="W589" s="8"/>
      <c r="X589" s="8"/>
      <c r="Y589" s="8"/>
      <c r="Z589" s="8"/>
    </row>
    <row r="590" ht="16.5" customHeight="1">
      <c r="A590" s="8"/>
      <c r="B590" s="27"/>
      <c r="C590" s="27"/>
      <c r="D590" s="27"/>
      <c r="E590" s="28"/>
      <c r="F590" s="31"/>
      <c r="G590" s="28"/>
      <c r="H590" s="157"/>
      <c r="I590" s="158"/>
      <c r="J590" s="27"/>
      <c r="K590" s="28"/>
      <c r="L590" s="28"/>
      <c r="M590" s="27"/>
      <c r="N590" s="31"/>
      <c r="O590" s="31"/>
      <c r="P590" s="8"/>
      <c r="Q590" s="8"/>
      <c r="R590" s="8"/>
      <c r="S590" s="8"/>
      <c r="T590" s="8"/>
      <c r="U590" s="8"/>
      <c r="V590" s="8"/>
      <c r="W590" s="8"/>
      <c r="X590" s="8"/>
      <c r="Y590" s="8"/>
      <c r="Z590" s="8"/>
    </row>
    <row r="591" ht="16.5" customHeight="1">
      <c r="A591" s="8"/>
      <c r="B591" s="27"/>
      <c r="C591" s="27"/>
      <c r="D591" s="27"/>
      <c r="E591" s="28"/>
      <c r="F591" s="31"/>
      <c r="G591" s="28"/>
      <c r="H591" s="157"/>
      <c r="I591" s="158"/>
      <c r="J591" s="27"/>
      <c r="K591" s="28"/>
      <c r="L591" s="28"/>
      <c r="M591" s="27"/>
      <c r="N591" s="31"/>
      <c r="O591" s="31"/>
      <c r="P591" s="8"/>
      <c r="Q591" s="8"/>
      <c r="R591" s="8"/>
      <c r="S591" s="8"/>
      <c r="T591" s="8"/>
      <c r="U591" s="8"/>
      <c r="V591" s="8"/>
      <c r="W591" s="8"/>
      <c r="X591" s="8"/>
      <c r="Y591" s="8"/>
      <c r="Z591" s="8"/>
    </row>
    <row r="592" ht="16.5" customHeight="1">
      <c r="A592" s="8"/>
      <c r="B592" s="27"/>
      <c r="C592" s="27"/>
      <c r="D592" s="27"/>
      <c r="E592" s="28"/>
      <c r="F592" s="31"/>
      <c r="G592" s="28"/>
      <c r="H592" s="157"/>
      <c r="I592" s="158"/>
      <c r="J592" s="27"/>
      <c r="K592" s="28"/>
      <c r="L592" s="28"/>
      <c r="M592" s="27"/>
      <c r="N592" s="31"/>
      <c r="O592" s="31"/>
      <c r="P592" s="8"/>
      <c r="Q592" s="8"/>
      <c r="R592" s="8"/>
      <c r="S592" s="8"/>
      <c r="T592" s="8"/>
      <c r="U592" s="8"/>
      <c r="V592" s="8"/>
      <c r="W592" s="8"/>
      <c r="X592" s="8"/>
      <c r="Y592" s="8"/>
      <c r="Z592" s="8"/>
    </row>
    <row r="593" ht="16.5" customHeight="1">
      <c r="A593" s="8"/>
      <c r="B593" s="27"/>
      <c r="C593" s="27"/>
      <c r="D593" s="27"/>
      <c r="E593" s="28"/>
      <c r="F593" s="31"/>
      <c r="G593" s="28"/>
      <c r="H593" s="157"/>
      <c r="I593" s="158"/>
      <c r="J593" s="27"/>
      <c r="K593" s="28"/>
      <c r="L593" s="28"/>
      <c r="M593" s="27"/>
      <c r="N593" s="31"/>
      <c r="O593" s="31"/>
      <c r="P593" s="8"/>
      <c r="Q593" s="8"/>
      <c r="R593" s="8"/>
      <c r="S593" s="8"/>
      <c r="T593" s="8"/>
      <c r="U593" s="8"/>
      <c r="V593" s="8"/>
      <c r="W593" s="8"/>
      <c r="X593" s="8"/>
      <c r="Y593" s="8"/>
      <c r="Z593" s="8"/>
    </row>
    <row r="594" ht="16.5" customHeight="1">
      <c r="A594" s="8"/>
      <c r="B594" s="27"/>
      <c r="C594" s="27"/>
      <c r="D594" s="27"/>
      <c r="E594" s="28"/>
      <c r="F594" s="31"/>
      <c r="G594" s="28"/>
      <c r="H594" s="157"/>
      <c r="I594" s="158"/>
      <c r="J594" s="27"/>
      <c r="K594" s="28"/>
      <c r="L594" s="28"/>
      <c r="M594" s="27"/>
      <c r="N594" s="31"/>
      <c r="O594" s="31"/>
      <c r="P594" s="8"/>
      <c r="Q594" s="8"/>
      <c r="R594" s="8"/>
      <c r="S594" s="8"/>
      <c r="T594" s="8"/>
      <c r="U594" s="8"/>
      <c r="V594" s="8"/>
      <c r="W594" s="8"/>
      <c r="X594" s="8"/>
      <c r="Y594" s="8"/>
      <c r="Z594" s="8"/>
    </row>
    <row r="595" ht="16.5" customHeight="1">
      <c r="A595" s="8"/>
      <c r="B595" s="27"/>
      <c r="C595" s="27"/>
      <c r="D595" s="27"/>
      <c r="E595" s="28"/>
      <c r="F595" s="31"/>
      <c r="G595" s="28"/>
      <c r="H595" s="157"/>
      <c r="I595" s="158"/>
      <c r="J595" s="27"/>
      <c r="K595" s="28"/>
      <c r="L595" s="28"/>
      <c r="M595" s="27"/>
      <c r="N595" s="31"/>
      <c r="O595" s="31"/>
      <c r="P595" s="8"/>
      <c r="Q595" s="8"/>
      <c r="R595" s="8"/>
      <c r="S595" s="8"/>
      <c r="T595" s="8"/>
      <c r="U595" s="8"/>
      <c r="V595" s="8"/>
      <c r="W595" s="8"/>
      <c r="X595" s="8"/>
      <c r="Y595" s="8"/>
      <c r="Z595" s="8"/>
    </row>
    <row r="596" ht="16.5" customHeight="1">
      <c r="A596" s="8"/>
      <c r="B596" s="27"/>
      <c r="C596" s="27"/>
      <c r="D596" s="27"/>
      <c r="E596" s="28"/>
      <c r="F596" s="31"/>
      <c r="G596" s="28"/>
      <c r="H596" s="157"/>
      <c r="I596" s="158"/>
      <c r="J596" s="27"/>
      <c r="K596" s="28"/>
      <c r="L596" s="28"/>
      <c r="M596" s="27"/>
      <c r="N596" s="31"/>
      <c r="O596" s="31"/>
      <c r="P596" s="8"/>
      <c r="Q596" s="8"/>
      <c r="R596" s="8"/>
      <c r="S596" s="8"/>
      <c r="T596" s="8"/>
      <c r="U596" s="8"/>
      <c r="V596" s="8"/>
      <c r="W596" s="8"/>
      <c r="X596" s="8"/>
      <c r="Y596" s="8"/>
      <c r="Z596" s="8"/>
    </row>
    <row r="597" ht="16.5" customHeight="1">
      <c r="A597" s="8"/>
      <c r="B597" s="27"/>
      <c r="C597" s="27"/>
      <c r="D597" s="27"/>
      <c r="E597" s="28"/>
      <c r="F597" s="31"/>
      <c r="G597" s="28"/>
      <c r="H597" s="157"/>
      <c r="I597" s="158"/>
      <c r="J597" s="27"/>
      <c r="K597" s="28"/>
      <c r="L597" s="28"/>
      <c r="M597" s="27"/>
      <c r="N597" s="31"/>
      <c r="O597" s="31"/>
      <c r="P597" s="8"/>
      <c r="Q597" s="8"/>
      <c r="R597" s="8"/>
      <c r="S597" s="8"/>
      <c r="T597" s="8"/>
      <c r="U597" s="8"/>
      <c r="V597" s="8"/>
      <c r="W597" s="8"/>
      <c r="X597" s="8"/>
      <c r="Y597" s="8"/>
      <c r="Z597" s="8"/>
    </row>
    <row r="598" ht="16.5" customHeight="1">
      <c r="A598" s="8"/>
      <c r="B598" s="27"/>
      <c r="C598" s="27"/>
      <c r="D598" s="27"/>
      <c r="E598" s="28"/>
      <c r="F598" s="31"/>
      <c r="G598" s="28"/>
      <c r="H598" s="157"/>
      <c r="I598" s="158"/>
      <c r="J598" s="27"/>
      <c r="K598" s="28"/>
      <c r="L598" s="28"/>
      <c r="M598" s="27"/>
      <c r="N598" s="31"/>
      <c r="O598" s="31"/>
      <c r="P598" s="8"/>
      <c r="Q598" s="8"/>
      <c r="R598" s="8"/>
      <c r="S598" s="8"/>
      <c r="T598" s="8"/>
      <c r="U598" s="8"/>
      <c r="V598" s="8"/>
      <c r="W598" s="8"/>
      <c r="X598" s="8"/>
      <c r="Y598" s="8"/>
      <c r="Z598" s="8"/>
    </row>
    <row r="599" ht="16.5" customHeight="1">
      <c r="A599" s="8"/>
      <c r="B599" s="27"/>
      <c r="C599" s="27"/>
      <c r="D599" s="27"/>
      <c r="E599" s="28"/>
      <c r="F599" s="31"/>
      <c r="G599" s="28"/>
      <c r="H599" s="157"/>
      <c r="I599" s="158"/>
      <c r="J599" s="27"/>
      <c r="K599" s="28"/>
      <c r="L599" s="28"/>
      <c r="M599" s="27"/>
      <c r="N599" s="31"/>
      <c r="O599" s="31"/>
      <c r="P599" s="8"/>
      <c r="Q599" s="8"/>
      <c r="R599" s="8"/>
      <c r="S599" s="8"/>
      <c r="T599" s="8"/>
      <c r="U599" s="8"/>
      <c r="V599" s="8"/>
      <c r="W599" s="8"/>
      <c r="X599" s="8"/>
      <c r="Y599" s="8"/>
      <c r="Z599" s="8"/>
    </row>
    <row r="600" ht="16.5" customHeight="1">
      <c r="A600" s="8"/>
      <c r="B600" s="27"/>
      <c r="C600" s="27"/>
      <c r="D600" s="27"/>
      <c r="E600" s="28"/>
      <c r="F600" s="31"/>
      <c r="G600" s="28"/>
      <c r="H600" s="157"/>
      <c r="I600" s="158"/>
      <c r="J600" s="27"/>
      <c r="K600" s="28"/>
      <c r="L600" s="28"/>
      <c r="M600" s="27"/>
      <c r="N600" s="31"/>
      <c r="O600" s="31"/>
      <c r="P600" s="8"/>
      <c r="Q600" s="8"/>
      <c r="R600" s="8"/>
      <c r="S600" s="8"/>
      <c r="T600" s="8"/>
      <c r="U600" s="8"/>
      <c r="V600" s="8"/>
      <c r="W600" s="8"/>
      <c r="X600" s="8"/>
      <c r="Y600" s="8"/>
      <c r="Z600" s="8"/>
    </row>
    <row r="601" ht="16.5" customHeight="1">
      <c r="A601" s="8"/>
      <c r="B601" s="27"/>
      <c r="C601" s="27"/>
      <c r="D601" s="27"/>
      <c r="E601" s="28"/>
      <c r="F601" s="31"/>
      <c r="G601" s="28"/>
      <c r="H601" s="157"/>
      <c r="I601" s="158"/>
      <c r="J601" s="27"/>
      <c r="K601" s="28"/>
      <c r="L601" s="28"/>
      <c r="M601" s="27"/>
      <c r="N601" s="31"/>
      <c r="O601" s="31"/>
      <c r="P601" s="8"/>
      <c r="Q601" s="8"/>
      <c r="R601" s="8"/>
      <c r="S601" s="8"/>
      <c r="T601" s="8"/>
      <c r="U601" s="8"/>
      <c r="V601" s="8"/>
      <c r="W601" s="8"/>
      <c r="X601" s="8"/>
      <c r="Y601" s="8"/>
      <c r="Z601" s="8"/>
    </row>
    <row r="602" ht="16.5" customHeight="1">
      <c r="A602" s="8"/>
      <c r="B602" s="27"/>
      <c r="C602" s="27"/>
      <c r="D602" s="27"/>
      <c r="E602" s="28"/>
      <c r="F602" s="31"/>
      <c r="G602" s="28"/>
      <c r="H602" s="157"/>
      <c r="I602" s="158"/>
      <c r="J602" s="27"/>
      <c r="K602" s="28"/>
      <c r="L602" s="28"/>
      <c r="M602" s="27"/>
      <c r="N602" s="31"/>
      <c r="O602" s="31"/>
      <c r="P602" s="8"/>
      <c r="Q602" s="8"/>
      <c r="R602" s="8"/>
      <c r="S602" s="8"/>
      <c r="T602" s="8"/>
      <c r="U602" s="8"/>
      <c r="V602" s="8"/>
      <c r="W602" s="8"/>
      <c r="X602" s="8"/>
      <c r="Y602" s="8"/>
      <c r="Z602" s="8"/>
    </row>
    <row r="603" ht="16.5" customHeight="1">
      <c r="A603" s="8"/>
      <c r="B603" s="27"/>
      <c r="C603" s="27"/>
      <c r="D603" s="27"/>
      <c r="E603" s="28"/>
      <c r="F603" s="31"/>
      <c r="G603" s="28"/>
      <c r="H603" s="157"/>
      <c r="I603" s="158"/>
      <c r="J603" s="27"/>
      <c r="K603" s="28"/>
      <c r="L603" s="28"/>
      <c r="M603" s="27"/>
      <c r="N603" s="31"/>
      <c r="O603" s="31"/>
      <c r="P603" s="8"/>
      <c r="Q603" s="8"/>
      <c r="R603" s="8"/>
      <c r="S603" s="8"/>
      <c r="T603" s="8"/>
      <c r="U603" s="8"/>
      <c r="V603" s="8"/>
      <c r="W603" s="8"/>
      <c r="X603" s="8"/>
      <c r="Y603" s="8"/>
      <c r="Z603" s="8"/>
    </row>
    <row r="604" ht="16.5" customHeight="1">
      <c r="A604" s="8"/>
      <c r="B604" s="27"/>
      <c r="C604" s="27"/>
      <c r="D604" s="27"/>
      <c r="E604" s="28"/>
      <c r="F604" s="31"/>
      <c r="G604" s="28"/>
      <c r="H604" s="157"/>
      <c r="I604" s="158"/>
      <c r="J604" s="27"/>
      <c r="K604" s="28"/>
      <c r="L604" s="28"/>
      <c r="M604" s="27"/>
      <c r="N604" s="31"/>
      <c r="O604" s="31"/>
      <c r="P604" s="8"/>
      <c r="Q604" s="8"/>
      <c r="R604" s="8"/>
      <c r="S604" s="8"/>
      <c r="T604" s="8"/>
      <c r="U604" s="8"/>
      <c r="V604" s="8"/>
      <c r="W604" s="8"/>
      <c r="X604" s="8"/>
      <c r="Y604" s="8"/>
      <c r="Z604" s="8"/>
    </row>
    <row r="605" ht="16.5" customHeight="1">
      <c r="A605" s="8"/>
      <c r="B605" s="27"/>
      <c r="C605" s="27"/>
      <c r="D605" s="27"/>
      <c r="E605" s="28"/>
      <c r="F605" s="31"/>
      <c r="G605" s="28"/>
      <c r="H605" s="157"/>
      <c r="I605" s="158"/>
      <c r="J605" s="27"/>
      <c r="K605" s="28"/>
      <c r="L605" s="28"/>
      <c r="M605" s="27"/>
      <c r="N605" s="31"/>
      <c r="O605" s="31"/>
      <c r="P605" s="8"/>
      <c r="Q605" s="8"/>
      <c r="R605" s="8"/>
      <c r="S605" s="8"/>
      <c r="T605" s="8"/>
      <c r="U605" s="8"/>
      <c r="V605" s="8"/>
      <c r="W605" s="8"/>
      <c r="X605" s="8"/>
      <c r="Y605" s="8"/>
      <c r="Z605" s="8"/>
    </row>
    <row r="606" ht="16.5" customHeight="1">
      <c r="A606" s="8"/>
      <c r="B606" s="27"/>
      <c r="C606" s="27"/>
      <c r="D606" s="27"/>
      <c r="E606" s="28"/>
      <c r="F606" s="31"/>
      <c r="G606" s="28"/>
      <c r="H606" s="157"/>
      <c r="I606" s="158"/>
      <c r="J606" s="27"/>
      <c r="K606" s="28"/>
      <c r="L606" s="28"/>
      <c r="M606" s="27"/>
      <c r="N606" s="31"/>
      <c r="O606" s="31"/>
      <c r="P606" s="8"/>
      <c r="Q606" s="8"/>
      <c r="R606" s="8"/>
      <c r="S606" s="8"/>
      <c r="T606" s="8"/>
      <c r="U606" s="8"/>
      <c r="V606" s="8"/>
      <c r="W606" s="8"/>
      <c r="X606" s="8"/>
      <c r="Y606" s="8"/>
      <c r="Z606" s="8"/>
    </row>
    <row r="607" ht="16.5" customHeight="1">
      <c r="A607" s="8"/>
      <c r="B607" s="27"/>
      <c r="C607" s="27"/>
      <c r="D607" s="27"/>
      <c r="E607" s="28"/>
      <c r="F607" s="31"/>
      <c r="G607" s="28"/>
      <c r="H607" s="157"/>
      <c r="I607" s="158"/>
      <c r="J607" s="27"/>
      <c r="K607" s="28"/>
      <c r="L607" s="28"/>
      <c r="M607" s="27"/>
      <c r="N607" s="31"/>
      <c r="O607" s="31"/>
      <c r="P607" s="8"/>
      <c r="Q607" s="8"/>
      <c r="R607" s="8"/>
      <c r="S607" s="8"/>
      <c r="T607" s="8"/>
      <c r="U607" s="8"/>
      <c r="V607" s="8"/>
      <c r="W607" s="8"/>
      <c r="X607" s="8"/>
      <c r="Y607" s="8"/>
      <c r="Z607" s="8"/>
    </row>
    <row r="608" ht="16.5" customHeight="1">
      <c r="A608" s="8"/>
      <c r="B608" s="27"/>
      <c r="C608" s="27"/>
      <c r="D608" s="27"/>
      <c r="E608" s="28"/>
      <c r="F608" s="31"/>
      <c r="G608" s="28"/>
      <c r="H608" s="157"/>
      <c r="I608" s="158"/>
      <c r="J608" s="27"/>
      <c r="K608" s="28"/>
      <c r="L608" s="28"/>
      <c r="M608" s="27"/>
      <c r="N608" s="31"/>
      <c r="O608" s="31"/>
      <c r="P608" s="8"/>
      <c r="Q608" s="8"/>
      <c r="R608" s="8"/>
      <c r="S608" s="8"/>
      <c r="T608" s="8"/>
      <c r="U608" s="8"/>
      <c r="V608" s="8"/>
      <c r="W608" s="8"/>
      <c r="X608" s="8"/>
      <c r="Y608" s="8"/>
      <c r="Z608" s="8"/>
    </row>
    <row r="609" ht="16.5" customHeight="1">
      <c r="A609" s="8"/>
      <c r="B609" s="27"/>
      <c r="C609" s="27"/>
      <c r="D609" s="27"/>
      <c r="E609" s="28"/>
      <c r="F609" s="31"/>
      <c r="G609" s="28"/>
      <c r="H609" s="157"/>
      <c r="I609" s="158"/>
      <c r="J609" s="27"/>
      <c r="K609" s="28"/>
      <c r="L609" s="28"/>
      <c r="M609" s="27"/>
      <c r="N609" s="31"/>
      <c r="O609" s="31"/>
      <c r="P609" s="8"/>
      <c r="Q609" s="8"/>
      <c r="R609" s="8"/>
      <c r="S609" s="8"/>
      <c r="T609" s="8"/>
      <c r="U609" s="8"/>
      <c r="V609" s="8"/>
      <c r="W609" s="8"/>
      <c r="X609" s="8"/>
      <c r="Y609" s="8"/>
      <c r="Z609" s="8"/>
    </row>
    <row r="610" ht="16.5" customHeight="1">
      <c r="A610" s="8"/>
      <c r="B610" s="27"/>
      <c r="C610" s="27"/>
      <c r="D610" s="27"/>
      <c r="E610" s="28"/>
      <c r="F610" s="31"/>
      <c r="G610" s="28"/>
      <c r="H610" s="157"/>
      <c r="I610" s="158"/>
      <c r="J610" s="27"/>
      <c r="K610" s="28"/>
      <c r="L610" s="28"/>
      <c r="M610" s="27"/>
      <c r="N610" s="31"/>
      <c r="O610" s="31"/>
      <c r="P610" s="8"/>
      <c r="Q610" s="8"/>
      <c r="R610" s="8"/>
      <c r="S610" s="8"/>
      <c r="T610" s="8"/>
      <c r="U610" s="8"/>
      <c r="V610" s="8"/>
      <c r="W610" s="8"/>
      <c r="X610" s="8"/>
      <c r="Y610" s="8"/>
      <c r="Z610" s="8"/>
    </row>
    <row r="611" ht="16.5" customHeight="1">
      <c r="A611" s="8"/>
      <c r="B611" s="27"/>
      <c r="C611" s="27"/>
      <c r="D611" s="27"/>
      <c r="E611" s="28"/>
      <c r="F611" s="31"/>
      <c r="G611" s="28"/>
      <c r="H611" s="157"/>
      <c r="I611" s="158"/>
      <c r="J611" s="27"/>
      <c r="K611" s="28"/>
      <c r="L611" s="28"/>
      <c r="M611" s="27"/>
      <c r="N611" s="31"/>
      <c r="O611" s="31"/>
      <c r="P611" s="8"/>
      <c r="Q611" s="8"/>
      <c r="R611" s="8"/>
      <c r="S611" s="8"/>
      <c r="T611" s="8"/>
      <c r="U611" s="8"/>
      <c r="V611" s="8"/>
      <c r="W611" s="8"/>
      <c r="X611" s="8"/>
      <c r="Y611" s="8"/>
      <c r="Z611" s="8"/>
    </row>
    <row r="612" ht="16.5" customHeight="1">
      <c r="A612" s="8"/>
      <c r="B612" s="27"/>
      <c r="C612" s="27"/>
      <c r="D612" s="27"/>
      <c r="E612" s="28"/>
      <c r="F612" s="31"/>
      <c r="G612" s="28"/>
      <c r="H612" s="157"/>
      <c r="I612" s="158"/>
      <c r="J612" s="27"/>
      <c r="K612" s="28"/>
      <c r="L612" s="28"/>
      <c r="M612" s="27"/>
      <c r="N612" s="31"/>
      <c r="O612" s="31"/>
      <c r="P612" s="8"/>
      <c r="Q612" s="8"/>
      <c r="R612" s="8"/>
      <c r="S612" s="8"/>
      <c r="T612" s="8"/>
      <c r="U612" s="8"/>
      <c r="V612" s="8"/>
      <c r="W612" s="8"/>
      <c r="X612" s="8"/>
      <c r="Y612" s="8"/>
      <c r="Z612" s="8"/>
    </row>
    <row r="613" ht="16.5" customHeight="1">
      <c r="A613" s="8"/>
      <c r="B613" s="27"/>
      <c r="C613" s="27"/>
      <c r="D613" s="27"/>
      <c r="E613" s="28"/>
      <c r="F613" s="31"/>
      <c r="G613" s="28"/>
      <c r="H613" s="157"/>
      <c r="I613" s="158"/>
      <c r="J613" s="27"/>
      <c r="K613" s="28"/>
      <c r="L613" s="28"/>
      <c r="M613" s="27"/>
      <c r="N613" s="31"/>
      <c r="O613" s="31"/>
      <c r="P613" s="8"/>
      <c r="Q613" s="8"/>
      <c r="R613" s="8"/>
      <c r="S613" s="8"/>
      <c r="T613" s="8"/>
      <c r="U613" s="8"/>
      <c r="V613" s="8"/>
      <c r="W613" s="8"/>
      <c r="X613" s="8"/>
      <c r="Y613" s="8"/>
      <c r="Z613" s="8"/>
    </row>
    <row r="614" ht="16.5" customHeight="1">
      <c r="A614" s="8"/>
      <c r="B614" s="27"/>
      <c r="C614" s="27"/>
      <c r="D614" s="27"/>
      <c r="E614" s="28"/>
      <c r="F614" s="31"/>
      <c r="G614" s="28"/>
      <c r="H614" s="157"/>
      <c r="I614" s="158"/>
      <c r="J614" s="27"/>
      <c r="K614" s="28"/>
      <c r="L614" s="28"/>
      <c r="M614" s="27"/>
      <c r="N614" s="31"/>
      <c r="O614" s="31"/>
      <c r="P614" s="8"/>
      <c r="Q614" s="8"/>
      <c r="R614" s="8"/>
      <c r="S614" s="8"/>
      <c r="T614" s="8"/>
      <c r="U614" s="8"/>
      <c r="V614" s="8"/>
      <c r="W614" s="8"/>
      <c r="X614" s="8"/>
      <c r="Y614" s="8"/>
      <c r="Z614" s="8"/>
    </row>
    <row r="615" ht="16.5" customHeight="1">
      <c r="A615" s="8"/>
      <c r="B615" s="27"/>
      <c r="C615" s="27"/>
      <c r="D615" s="27"/>
      <c r="E615" s="28"/>
      <c r="F615" s="31"/>
      <c r="G615" s="28"/>
      <c r="H615" s="157"/>
      <c r="I615" s="158"/>
      <c r="J615" s="27"/>
      <c r="K615" s="28"/>
      <c r="L615" s="28"/>
      <c r="M615" s="27"/>
      <c r="N615" s="31"/>
      <c r="O615" s="31"/>
      <c r="P615" s="8"/>
      <c r="Q615" s="8"/>
      <c r="R615" s="8"/>
      <c r="S615" s="8"/>
      <c r="T615" s="8"/>
      <c r="U615" s="8"/>
      <c r="V615" s="8"/>
      <c r="W615" s="8"/>
      <c r="X615" s="8"/>
      <c r="Y615" s="8"/>
      <c r="Z615" s="8"/>
    </row>
    <row r="616" ht="16.5" customHeight="1">
      <c r="A616" s="8"/>
      <c r="B616" s="27"/>
      <c r="C616" s="27"/>
      <c r="D616" s="27"/>
      <c r="E616" s="28"/>
      <c r="F616" s="31"/>
      <c r="G616" s="28"/>
      <c r="H616" s="157"/>
      <c r="I616" s="158"/>
      <c r="J616" s="27"/>
      <c r="K616" s="28"/>
      <c r="L616" s="28"/>
      <c r="M616" s="27"/>
      <c r="N616" s="31"/>
      <c r="O616" s="31"/>
      <c r="P616" s="8"/>
      <c r="Q616" s="8"/>
      <c r="R616" s="8"/>
      <c r="S616" s="8"/>
      <c r="T616" s="8"/>
      <c r="U616" s="8"/>
      <c r="V616" s="8"/>
      <c r="W616" s="8"/>
      <c r="X616" s="8"/>
      <c r="Y616" s="8"/>
      <c r="Z616" s="8"/>
    </row>
    <row r="617" ht="16.5" customHeight="1">
      <c r="A617" s="8"/>
      <c r="B617" s="27"/>
      <c r="C617" s="27"/>
      <c r="D617" s="27"/>
      <c r="E617" s="28"/>
      <c r="F617" s="31"/>
      <c r="G617" s="28"/>
      <c r="H617" s="157"/>
      <c r="I617" s="158"/>
      <c r="J617" s="27"/>
      <c r="K617" s="28"/>
      <c r="L617" s="28"/>
      <c r="M617" s="27"/>
      <c r="N617" s="31"/>
      <c r="O617" s="31"/>
      <c r="P617" s="8"/>
      <c r="Q617" s="8"/>
      <c r="R617" s="8"/>
      <c r="S617" s="8"/>
      <c r="T617" s="8"/>
      <c r="U617" s="8"/>
      <c r="V617" s="8"/>
      <c r="W617" s="8"/>
      <c r="X617" s="8"/>
      <c r="Y617" s="8"/>
      <c r="Z617" s="8"/>
    </row>
    <row r="618" ht="16.5" customHeight="1">
      <c r="A618" s="8"/>
      <c r="B618" s="27"/>
      <c r="C618" s="27"/>
      <c r="D618" s="27"/>
      <c r="E618" s="28"/>
      <c r="F618" s="31"/>
      <c r="G618" s="28"/>
      <c r="H618" s="157"/>
      <c r="I618" s="158"/>
      <c r="J618" s="27"/>
      <c r="K618" s="28"/>
      <c r="L618" s="28"/>
      <c r="M618" s="27"/>
      <c r="N618" s="31"/>
      <c r="O618" s="31"/>
      <c r="P618" s="8"/>
      <c r="Q618" s="8"/>
      <c r="R618" s="8"/>
      <c r="S618" s="8"/>
      <c r="T618" s="8"/>
      <c r="U618" s="8"/>
      <c r="V618" s="8"/>
      <c r="W618" s="8"/>
      <c r="X618" s="8"/>
      <c r="Y618" s="8"/>
      <c r="Z618" s="8"/>
    </row>
    <row r="619" ht="16.5" customHeight="1">
      <c r="A619" s="8"/>
      <c r="B619" s="27"/>
      <c r="C619" s="27"/>
      <c r="D619" s="27"/>
      <c r="E619" s="28"/>
      <c r="F619" s="31"/>
      <c r="G619" s="28"/>
      <c r="H619" s="157"/>
      <c r="I619" s="158"/>
      <c r="J619" s="27"/>
      <c r="K619" s="28"/>
      <c r="L619" s="28"/>
      <c r="M619" s="27"/>
      <c r="N619" s="31"/>
      <c r="O619" s="31"/>
      <c r="P619" s="8"/>
      <c r="Q619" s="8"/>
      <c r="R619" s="8"/>
      <c r="S619" s="8"/>
      <c r="T619" s="8"/>
      <c r="U619" s="8"/>
      <c r="V619" s="8"/>
      <c r="W619" s="8"/>
      <c r="X619" s="8"/>
      <c r="Y619" s="8"/>
      <c r="Z619" s="8"/>
    </row>
    <row r="620" ht="16.5" customHeight="1">
      <c r="A620" s="8"/>
      <c r="B620" s="27"/>
      <c r="C620" s="27"/>
      <c r="D620" s="27"/>
      <c r="E620" s="28"/>
      <c r="F620" s="31"/>
      <c r="G620" s="28"/>
      <c r="H620" s="157"/>
      <c r="I620" s="158"/>
      <c r="J620" s="27"/>
      <c r="K620" s="28"/>
      <c r="L620" s="28"/>
      <c r="M620" s="27"/>
      <c r="N620" s="31"/>
      <c r="O620" s="31"/>
      <c r="P620" s="8"/>
      <c r="Q620" s="8"/>
      <c r="R620" s="8"/>
      <c r="S620" s="8"/>
      <c r="T620" s="8"/>
      <c r="U620" s="8"/>
      <c r="V620" s="8"/>
      <c r="W620" s="8"/>
      <c r="X620" s="8"/>
      <c r="Y620" s="8"/>
      <c r="Z620" s="8"/>
    </row>
    <row r="621" ht="16.5" customHeight="1">
      <c r="A621" s="8"/>
      <c r="B621" s="27"/>
      <c r="C621" s="27"/>
      <c r="D621" s="27"/>
      <c r="E621" s="28"/>
      <c r="F621" s="31"/>
      <c r="G621" s="28"/>
      <c r="H621" s="157"/>
      <c r="I621" s="158"/>
      <c r="J621" s="27"/>
      <c r="K621" s="28"/>
      <c r="L621" s="28"/>
      <c r="M621" s="27"/>
      <c r="N621" s="31"/>
      <c r="O621" s="31"/>
      <c r="P621" s="8"/>
      <c r="Q621" s="8"/>
      <c r="R621" s="8"/>
      <c r="S621" s="8"/>
      <c r="T621" s="8"/>
      <c r="U621" s="8"/>
      <c r="V621" s="8"/>
      <c r="W621" s="8"/>
      <c r="X621" s="8"/>
      <c r="Y621" s="8"/>
      <c r="Z621" s="8"/>
    </row>
    <row r="622" ht="16.5" customHeight="1">
      <c r="A622" s="8"/>
      <c r="B622" s="27"/>
      <c r="C622" s="27"/>
      <c r="D622" s="27"/>
      <c r="E622" s="28"/>
      <c r="F622" s="31"/>
      <c r="G622" s="28"/>
      <c r="H622" s="157"/>
      <c r="I622" s="158"/>
      <c r="J622" s="27"/>
      <c r="K622" s="28"/>
      <c r="L622" s="28"/>
      <c r="M622" s="27"/>
      <c r="N622" s="31"/>
      <c r="O622" s="31"/>
      <c r="P622" s="8"/>
      <c r="Q622" s="8"/>
      <c r="R622" s="8"/>
      <c r="S622" s="8"/>
      <c r="T622" s="8"/>
      <c r="U622" s="8"/>
      <c r="V622" s="8"/>
      <c r="W622" s="8"/>
      <c r="X622" s="8"/>
      <c r="Y622" s="8"/>
      <c r="Z622" s="8"/>
    </row>
    <row r="623" ht="16.5" customHeight="1">
      <c r="A623" s="8"/>
      <c r="B623" s="27"/>
      <c r="C623" s="27"/>
      <c r="D623" s="27"/>
      <c r="E623" s="28"/>
      <c r="F623" s="31"/>
      <c r="G623" s="28"/>
      <c r="H623" s="157"/>
      <c r="I623" s="158"/>
      <c r="J623" s="27"/>
      <c r="K623" s="28"/>
      <c r="L623" s="28"/>
      <c r="M623" s="27"/>
      <c r="N623" s="31"/>
      <c r="O623" s="31"/>
      <c r="P623" s="8"/>
      <c r="Q623" s="8"/>
      <c r="R623" s="8"/>
      <c r="S623" s="8"/>
      <c r="T623" s="8"/>
      <c r="U623" s="8"/>
      <c r="V623" s="8"/>
      <c r="W623" s="8"/>
      <c r="X623" s="8"/>
      <c r="Y623" s="8"/>
      <c r="Z623" s="8"/>
    </row>
    <row r="624" ht="16.5" customHeight="1">
      <c r="A624" s="8"/>
      <c r="B624" s="27"/>
      <c r="C624" s="27"/>
      <c r="D624" s="27"/>
      <c r="E624" s="28"/>
      <c r="F624" s="31"/>
      <c r="G624" s="28"/>
      <c r="H624" s="157"/>
      <c r="I624" s="158"/>
      <c r="J624" s="27"/>
      <c r="K624" s="28"/>
      <c r="L624" s="28"/>
      <c r="M624" s="27"/>
      <c r="N624" s="31"/>
      <c r="O624" s="31"/>
      <c r="P624" s="8"/>
      <c r="Q624" s="8"/>
      <c r="R624" s="8"/>
      <c r="S624" s="8"/>
      <c r="T624" s="8"/>
      <c r="U624" s="8"/>
      <c r="V624" s="8"/>
      <c r="W624" s="8"/>
      <c r="X624" s="8"/>
      <c r="Y624" s="8"/>
      <c r="Z624" s="8"/>
    </row>
    <row r="625" ht="16.5" customHeight="1">
      <c r="A625" s="8"/>
      <c r="B625" s="27"/>
      <c r="C625" s="27"/>
      <c r="D625" s="27"/>
      <c r="E625" s="28"/>
      <c r="F625" s="31"/>
      <c r="G625" s="28"/>
      <c r="H625" s="157"/>
      <c r="I625" s="158"/>
      <c r="J625" s="27"/>
      <c r="K625" s="28"/>
      <c r="L625" s="28"/>
      <c r="M625" s="27"/>
      <c r="N625" s="31"/>
      <c r="O625" s="31"/>
      <c r="P625" s="8"/>
      <c r="Q625" s="8"/>
      <c r="R625" s="8"/>
      <c r="S625" s="8"/>
      <c r="T625" s="8"/>
      <c r="U625" s="8"/>
      <c r="V625" s="8"/>
      <c r="W625" s="8"/>
      <c r="X625" s="8"/>
      <c r="Y625" s="8"/>
      <c r="Z625" s="8"/>
    </row>
    <row r="626" ht="16.5" customHeight="1">
      <c r="A626" s="8"/>
      <c r="B626" s="27"/>
      <c r="C626" s="27"/>
      <c r="D626" s="27"/>
      <c r="E626" s="28"/>
      <c r="F626" s="31"/>
      <c r="G626" s="28"/>
      <c r="H626" s="157"/>
      <c r="I626" s="158"/>
      <c r="J626" s="27"/>
      <c r="K626" s="28"/>
      <c r="L626" s="28"/>
      <c r="M626" s="27"/>
      <c r="N626" s="31"/>
      <c r="O626" s="31"/>
      <c r="P626" s="8"/>
      <c r="Q626" s="8"/>
      <c r="R626" s="8"/>
      <c r="S626" s="8"/>
      <c r="T626" s="8"/>
      <c r="U626" s="8"/>
      <c r="V626" s="8"/>
      <c r="W626" s="8"/>
      <c r="X626" s="8"/>
      <c r="Y626" s="8"/>
      <c r="Z626" s="8"/>
    </row>
    <row r="627" ht="16.5" customHeight="1">
      <c r="A627" s="8"/>
      <c r="B627" s="27"/>
      <c r="C627" s="27"/>
      <c r="D627" s="27"/>
      <c r="E627" s="28"/>
      <c r="F627" s="31"/>
      <c r="G627" s="28"/>
      <c r="H627" s="157"/>
      <c r="I627" s="158"/>
      <c r="J627" s="27"/>
      <c r="K627" s="28"/>
      <c r="L627" s="28"/>
      <c r="M627" s="27"/>
      <c r="N627" s="31"/>
      <c r="O627" s="31"/>
      <c r="P627" s="8"/>
      <c r="Q627" s="8"/>
      <c r="R627" s="8"/>
      <c r="S627" s="8"/>
      <c r="T627" s="8"/>
      <c r="U627" s="8"/>
      <c r="V627" s="8"/>
      <c r="W627" s="8"/>
      <c r="X627" s="8"/>
      <c r="Y627" s="8"/>
      <c r="Z627" s="8"/>
    </row>
    <row r="628" ht="16.5" customHeight="1">
      <c r="A628" s="8"/>
      <c r="B628" s="27"/>
      <c r="C628" s="27"/>
      <c r="D628" s="27"/>
      <c r="E628" s="28"/>
      <c r="F628" s="31"/>
      <c r="G628" s="28"/>
      <c r="H628" s="157"/>
      <c r="I628" s="158"/>
      <c r="J628" s="27"/>
      <c r="K628" s="28"/>
      <c r="L628" s="28"/>
      <c r="M628" s="27"/>
      <c r="N628" s="31"/>
      <c r="O628" s="31"/>
      <c r="P628" s="8"/>
      <c r="Q628" s="8"/>
      <c r="R628" s="8"/>
      <c r="S628" s="8"/>
      <c r="T628" s="8"/>
      <c r="U628" s="8"/>
      <c r="V628" s="8"/>
      <c r="W628" s="8"/>
      <c r="X628" s="8"/>
      <c r="Y628" s="8"/>
      <c r="Z628" s="8"/>
    </row>
    <row r="629" ht="16.5" customHeight="1">
      <c r="A629" s="8"/>
      <c r="B629" s="27"/>
      <c r="C629" s="27"/>
      <c r="D629" s="27"/>
      <c r="E629" s="28"/>
      <c r="F629" s="31"/>
      <c r="G629" s="28"/>
      <c r="H629" s="157"/>
      <c r="I629" s="158"/>
      <c r="J629" s="27"/>
      <c r="K629" s="28"/>
      <c r="L629" s="28"/>
      <c r="M629" s="27"/>
      <c r="N629" s="31"/>
      <c r="O629" s="31"/>
      <c r="P629" s="8"/>
      <c r="Q629" s="8"/>
      <c r="R629" s="8"/>
      <c r="S629" s="8"/>
      <c r="T629" s="8"/>
      <c r="U629" s="8"/>
      <c r="V629" s="8"/>
      <c r="W629" s="8"/>
      <c r="X629" s="8"/>
      <c r="Y629" s="8"/>
      <c r="Z629" s="8"/>
    </row>
    <row r="630" ht="16.5" customHeight="1">
      <c r="A630" s="8"/>
      <c r="B630" s="27"/>
      <c r="C630" s="27"/>
      <c r="D630" s="27"/>
      <c r="E630" s="28"/>
      <c r="F630" s="31"/>
      <c r="G630" s="28"/>
      <c r="H630" s="157"/>
      <c r="I630" s="158"/>
      <c r="J630" s="27"/>
      <c r="K630" s="28"/>
      <c r="L630" s="28"/>
      <c r="M630" s="27"/>
      <c r="N630" s="31"/>
      <c r="O630" s="31"/>
      <c r="P630" s="8"/>
      <c r="Q630" s="8"/>
      <c r="R630" s="8"/>
      <c r="S630" s="8"/>
      <c r="T630" s="8"/>
      <c r="U630" s="8"/>
      <c r="V630" s="8"/>
      <c r="W630" s="8"/>
      <c r="X630" s="8"/>
      <c r="Y630" s="8"/>
      <c r="Z630" s="8"/>
    </row>
    <row r="631" ht="16.5" customHeight="1">
      <c r="A631" s="8"/>
      <c r="B631" s="27"/>
      <c r="C631" s="27"/>
      <c r="D631" s="27"/>
      <c r="E631" s="28"/>
      <c r="F631" s="31"/>
      <c r="G631" s="28"/>
      <c r="H631" s="157"/>
      <c r="I631" s="158"/>
      <c r="J631" s="27"/>
      <c r="K631" s="28"/>
      <c r="L631" s="28"/>
      <c r="M631" s="27"/>
      <c r="N631" s="31"/>
      <c r="O631" s="31"/>
      <c r="P631" s="8"/>
      <c r="Q631" s="8"/>
      <c r="R631" s="8"/>
      <c r="S631" s="8"/>
      <c r="T631" s="8"/>
      <c r="U631" s="8"/>
      <c r="V631" s="8"/>
      <c r="W631" s="8"/>
      <c r="X631" s="8"/>
      <c r="Y631" s="8"/>
      <c r="Z631" s="8"/>
    </row>
    <row r="632" ht="16.5" customHeight="1">
      <c r="A632" s="8"/>
      <c r="B632" s="27"/>
      <c r="C632" s="27"/>
      <c r="D632" s="27"/>
      <c r="E632" s="28"/>
      <c r="F632" s="31"/>
      <c r="G632" s="28"/>
      <c r="H632" s="157"/>
      <c r="I632" s="158"/>
      <c r="J632" s="27"/>
      <c r="K632" s="28"/>
      <c r="L632" s="28"/>
      <c r="M632" s="27"/>
      <c r="N632" s="31"/>
      <c r="O632" s="31"/>
      <c r="P632" s="8"/>
      <c r="Q632" s="8"/>
      <c r="R632" s="8"/>
      <c r="S632" s="8"/>
      <c r="T632" s="8"/>
      <c r="U632" s="8"/>
      <c r="V632" s="8"/>
      <c r="W632" s="8"/>
      <c r="X632" s="8"/>
      <c r="Y632" s="8"/>
      <c r="Z632" s="8"/>
    </row>
    <row r="633" ht="16.5" customHeight="1">
      <c r="A633" s="8"/>
      <c r="B633" s="27"/>
      <c r="C633" s="27"/>
      <c r="D633" s="27"/>
      <c r="E633" s="28"/>
      <c r="F633" s="31"/>
      <c r="G633" s="28"/>
      <c r="H633" s="157"/>
      <c r="I633" s="158"/>
      <c r="J633" s="27"/>
      <c r="K633" s="28"/>
      <c r="L633" s="28"/>
      <c r="M633" s="27"/>
      <c r="N633" s="31"/>
      <c r="O633" s="31"/>
      <c r="P633" s="8"/>
      <c r="Q633" s="8"/>
      <c r="R633" s="8"/>
      <c r="S633" s="8"/>
      <c r="T633" s="8"/>
      <c r="U633" s="8"/>
      <c r="V633" s="8"/>
      <c r="W633" s="8"/>
      <c r="X633" s="8"/>
      <c r="Y633" s="8"/>
      <c r="Z633" s="8"/>
    </row>
    <row r="634" ht="16.5" customHeight="1">
      <c r="A634" s="8"/>
      <c r="B634" s="27"/>
      <c r="C634" s="27"/>
      <c r="D634" s="27"/>
      <c r="E634" s="28"/>
      <c r="F634" s="31"/>
      <c r="G634" s="28"/>
      <c r="H634" s="157"/>
      <c r="I634" s="158"/>
      <c r="J634" s="27"/>
      <c r="K634" s="28"/>
      <c r="L634" s="28"/>
      <c r="M634" s="27"/>
      <c r="N634" s="31"/>
      <c r="O634" s="31"/>
      <c r="P634" s="8"/>
      <c r="Q634" s="8"/>
      <c r="R634" s="8"/>
      <c r="S634" s="8"/>
      <c r="T634" s="8"/>
      <c r="U634" s="8"/>
      <c r="V634" s="8"/>
      <c r="W634" s="8"/>
      <c r="X634" s="8"/>
      <c r="Y634" s="8"/>
      <c r="Z634" s="8"/>
    </row>
    <row r="635" ht="16.5" customHeight="1">
      <c r="A635" s="8"/>
      <c r="B635" s="27"/>
      <c r="C635" s="27"/>
      <c r="D635" s="27"/>
      <c r="E635" s="28"/>
      <c r="F635" s="31"/>
      <c r="G635" s="28"/>
      <c r="H635" s="157"/>
      <c r="I635" s="158"/>
      <c r="J635" s="27"/>
      <c r="K635" s="28"/>
      <c r="L635" s="28"/>
      <c r="M635" s="27"/>
      <c r="N635" s="31"/>
      <c r="O635" s="31"/>
      <c r="P635" s="8"/>
      <c r="Q635" s="8"/>
      <c r="R635" s="8"/>
      <c r="S635" s="8"/>
      <c r="T635" s="8"/>
      <c r="U635" s="8"/>
      <c r="V635" s="8"/>
      <c r="W635" s="8"/>
      <c r="X635" s="8"/>
      <c r="Y635" s="8"/>
      <c r="Z635" s="8"/>
    </row>
    <row r="636" ht="16.5" customHeight="1">
      <c r="A636" s="8"/>
      <c r="B636" s="27"/>
      <c r="C636" s="27"/>
      <c r="D636" s="27"/>
      <c r="E636" s="28"/>
      <c r="F636" s="31"/>
      <c r="G636" s="28"/>
      <c r="H636" s="157"/>
      <c r="I636" s="158"/>
      <c r="J636" s="27"/>
      <c r="K636" s="28"/>
      <c r="L636" s="28"/>
      <c r="M636" s="27"/>
      <c r="N636" s="31"/>
      <c r="O636" s="31"/>
      <c r="P636" s="8"/>
      <c r="Q636" s="8"/>
      <c r="R636" s="8"/>
      <c r="S636" s="8"/>
      <c r="T636" s="8"/>
      <c r="U636" s="8"/>
      <c r="V636" s="8"/>
      <c r="W636" s="8"/>
      <c r="X636" s="8"/>
      <c r="Y636" s="8"/>
      <c r="Z636" s="8"/>
    </row>
    <row r="637" ht="16.5" customHeight="1">
      <c r="A637" s="8"/>
      <c r="B637" s="27"/>
      <c r="C637" s="27"/>
      <c r="D637" s="27"/>
      <c r="E637" s="28"/>
      <c r="F637" s="31"/>
      <c r="G637" s="28"/>
      <c r="H637" s="157"/>
      <c r="I637" s="158"/>
      <c r="J637" s="27"/>
      <c r="K637" s="28"/>
      <c r="L637" s="28"/>
      <c r="M637" s="27"/>
      <c r="N637" s="31"/>
      <c r="O637" s="31"/>
      <c r="P637" s="8"/>
      <c r="Q637" s="8"/>
      <c r="R637" s="8"/>
      <c r="S637" s="8"/>
      <c r="T637" s="8"/>
      <c r="U637" s="8"/>
      <c r="V637" s="8"/>
      <c r="W637" s="8"/>
      <c r="X637" s="8"/>
      <c r="Y637" s="8"/>
      <c r="Z637" s="8"/>
    </row>
    <row r="638" ht="16.5" customHeight="1">
      <c r="A638" s="8"/>
      <c r="B638" s="27"/>
      <c r="C638" s="27"/>
      <c r="D638" s="27"/>
      <c r="E638" s="28"/>
      <c r="F638" s="31"/>
      <c r="G638" s="28"/>
      <c r="H638" s="157"/>
      <c r="I638" s="158"/>
      <c r="J638" s="27"/>
      <c r="K638" s="28"/>
      <c r="L638" s="28"/>
      <c r="M638" s="27"/>
      <c r="N638" s="31"/>
      <c r="O638" s="31"/>
      <c r="P638" s="8"/>
      <c r="Q638" s="8"/>
      <c r="R638" s="8"/>
      <c r="S638" s="8"/>
      <c r="T638" s="8"/>
      <c r="U638" s="8"/>
      <c r="V638" s="8"/>
      <c r="W638" s="8"/>
      <c r="X638" s="8"/>
      <c r="Y638" s="8"/>
      <c r="Z638" s="8"/>
    </row>
    <row r="639" ht="16.5" customHeight="1">
      <c r="A639" s="8"/>
      <c r="B639" s="27"/>
      <c r="C639" s="27"/>
      <c r="D639" s="27"/>
      <c r="E639" s="28"/>
      <c r="F639" s="31"/>
      <c r="G639" s="28"/>
      <c r="H639" s="157"/>
      <c r="I639" s="158"/>
      <c r="J639" s="27"/>
      <c r="K639" s="28"/>
      <c r="L639" s="28"/>
      <c r="M639" s="27"/>
      <c r="N639" s="31"/>
      <c r="O639" s="31"/>
      <c r="P639" s="8"/>
      <c r="Q639" s="8"/>
      <c r="R639" s="8"/>
      <c r="S639" s="8"/>
      <c r="T639" s="8"/>
      <c r="U639" s="8"/>
      <c r="V639" s="8"/>
      <c r="W639" s="8"/>
      <c r="X639" s="8"/>
      <c r="Y639" s="8"/>
      <c r="Z639" s="8"/>
    </row>
    <row r="640" ht="16.5" customHeight="1">
      <c r="A640" s="8"/>
      <c r="B640" s="27"/>
      <c r="C640" s="27"/>
      <c r="D640" s="27"/>
      <c r="E640" s="28"/>
      <c r="F640" s="31"/>
      <c r="G640" s="28"/>
      <c r="H640" s="157"/>
      <c r="I640" s="158"/>
      <c r="J640" s="27"/>
      <c r="K640" s="28"/>
      <c r="L640" s="28"/>
      <c r="M640" s="27"/>
      <c r="N640" s="31"/>
      <c r="O640" s="31"/>
      <c r="P640" s="8"/>
      <c r="Q640" s="8"/>
      <c r="R640" s="8"/>
      <c r="S640" s="8"/>
      <c r="T640" s="8"/>
      <c r="U640" s="8"/>
      <c r="V640" s="8"/>
      <c r="W640" s="8"/>
      <c r="X640" s="8"/>
      <c r="Y640" s="8"/>
      <c r="Z640" s="8"/>
    </row>
    <row r="641" ht="16.5" customHeight="1">
      <c r="A641" s="8"/>
      <c r="B641" s="27"/>
      <c r="C641" s="27"/>
      <c r="D641" s="27"/>
      <c r="E641" s="28"/>
      <c r="F641" s="31"/>
      <c r="G641" s="28"/>
      <c r="H641" s="157"/>
      <c r="I641" s="158"/>
      <c r="J641" s="27"/>
      <c r="K641" s="28"/>
      <c r="L641" s="28"/>
      <c r="M641" s="27"/>
      <c r="N641" s="31"/>
      <c r="O641" s="31"/>
      <c r="P641" s="8"/>
      <c r="Q641" s="8"/>
      <c r="R641" s="8"/>
      <c r="S641" s="8"/>
      <c r="T641" s="8"/>
      <c r="U641" s="8"/>
      <c r="V641" s="8"/>
      <c r="W641" s="8"/>
      <c r="X641" s="8"/>
      <c r="Y641" s="8"/>
      <c r="Z641" s="8"/>
    </row>
    <row r="642" ht="16.5" customHeight="1">
      <c r="A642" s="8"/>
      <c r="B642" s="27"/>
      <c r="C642" s="27"/>
      <c r="D642" s="27"/>
      <c r="E642" s="28"/>
      <c r="F642" s="31"/>
      <c r="G642" s="28"/>
      <c r="H642" s="157"/>
      <c r="I642" s="158"/>
      <c r="J642" s="27"/>
      <c r="K642" s="28"/>
      <c r="L642" s="28"/>
      <c r="M642" s="27"/>
      <c r="N642" s="31"/>
      <c r="O642" s="31"/>
      <c r="P642" s="8"/>
      <c r="Q642" s="8"/>
      <c r="R642" s="8"/>
      <c r="S642" s="8"/>
      <c r="T642" s="8"/>
      <c r="U642" s="8"/>
      <c r="V642" s="8"/>
      <c r="W642" s="8"/>
      <c r="X642" s="8"/>
      <c r="Y642" s="8"/>
      <c r="Z642" s="8"/>
    </row>
    <row r="643" ht="16.5" customHeight="1">
      <c r="A643" s="8"/>
      <c r="B643" s="27"/>
      <c r="C643" s="27"/>
      <c r="D643" s="27"/>
      <c r="E643" s="28"/>
      <c r="F643" s="31"/>
      <c r="G643" s="28"/>
      <c r="H643" s="157"/>
      <c r="I643" s="158"/>
      <c r="J643" s="27"/>
      <c r="K643" s="28"/>
      <c r="L643" s="28"/>
      <c r="M643" s="27"/>
      <c r="N643" s="31"/>
      <c r="O643" s="31"/>
      <c r="P643" s="8"/>
      <c r="Q643" s="8"/>
      <c r="R643" s="8"/>
      <c r="S643" s="8"/>
      <c r="T643" s="8"/>
      <c r="U643" s="8"/>
      <c r="V643" s="8"/>
      <c r="W643" s="8"/>
      <c r="X643" s="8"/>
      <c r="Y643" s="8"/>
      <c r="Z643" s="8"/>
    </row>
    <row r="644" ht="16.5" customHeight="1">
      <c r="A644" s="8"/>
      <c r="B644" s="27"/>
      <c r="C644" s="27"/>
      <c r="D644" s="27"/>
      <c r="E644" s="28"/>
      <c r="F644" s="31"/>
      <c r="G644" s="28"/>
      <c r="H644" s="157"/>
      <c r="I644" s="158"/>
      <c r="J644" s="27"/>
      <c r="K644" s="28"/>
      <c r="L644" s="28"/>
      <c r="M644" s="27"/>
      <c r="N644" s="31"/>
      <c r="O644" s="31"/>
      <c r="P644" s="8"/>
      <c r="Q644" s="8"/>
      <c r="R644" s="8"/>
      <c r="S644" s="8"/>
      <c r="T644" s="8"/>
      <c r="U644" s="8"/>
      <c r="V644" s="8"/>
      <c r="W644" s="8"/>
      <c r="X644" s="8"/>
      <c r="Y644" s="8"/>
      <c r="Z644" s="8"/>
    </row>
    <row r="645" ht="16.5" customHeight="1">
      <c r="A645" s="8"/>
      <c r="B645" s="27"/>
      <c r="C645" s="27"/>
      <c r="D645" s="27"/>
      <c r="E645" s="28"/>
      <c r="F645" s="31"/>
      <c r="G645" s="28"/>
      <c r="H645" s="157"/>
      <c r="I645" s="158"/>
      <c r="J645" s="27"/>
      <c r="K645" s="28"/>
      <c r="L645" s="28"/>
      <c r="M645" s="27"/>
      <c r="N645" s="31"/>
      <c r="O645" s="31"/>
      <c r="P645" s="8"/>
      <c r="Q645" s="8"/>
      <c r="R645" s="8"/>
      <c r="S645" s="8"/>
      <c r="T645" s="8"/>
      <c r="U645" s="8"/>
      <c r="V645" s="8"/>
      <c r="W645" s="8"/>
      <c r="X645" s="8"/>
      <c r="Y645" s="8"/>
      <c r="Z645" s="8"/>
    </row>
    <row r="646" ht="16.5" customHeight="1">
      <c r="A646" s="8"/>
      <c r="B646" s="27"/>
      <c r="C646" s="27"/>
      <c r="D646" s="27"/>
      <c r="E646" s="28"/>
      <c r="F646" s="31"/>
      <c r="G646" s="28"/>
      <c r="H646" s="157"/>
      <c r="I646" s="158"/>
      <c r="J646" s="27"/>
      <c r="K646" s="28"/>
      <c r="L646" s="28"/>
      <c r="M646" s="27"/>
      <c r="N646" s="31"/>
      <c r="O646" s="31"/>
      <c r="P646" s="8"/>
      <c r="Q646" s="8"/>
      <c r="R646" s="8"/>
      <c r="S646" s="8"/>
      <c r="T646" s="8"/>
      <c r="U646" s="8"/>
      <c r="V646" s="8"/>
      <c r="W646" s="8"/>
      <c r="X646" s="8"/>
      <c r="Y646" s="8"/>
      <c r="Z646" s="8"/>
    </row>
    <row r="647" ht="16.5" customHeight="1">
      <c r="A647" s="8"/>
      <c r="B647" s="27"/>
      <c r="C647" s="27"/>
      <c r="D647" s="27"/>
      <c r="E647" s="28"/>
      <c r="F647" s="31"/>
      <c r="G647" s="28"/>
      <c r="H647" s="157"/>
      <c r="I647" s="158"/>
      <c r="J647" s="27"/>
      <c r="K647" s="28"/>
      <c r="L647" s="28"/>
      <c r="M647" s="27"/>
      <c r="N647" s="31"/>
      <c r="O647" s="31"/>
      <c r="P647" s="8"/>
      <c r="Q647" s="8"/>
      <c r="R647" s="8"/>
      <c r="S647" s="8"/>
      <c r="T647" s="8"/>
      <c r="U647" s="8"/>
      <c r="V647" s="8"/>
      <c r="W647" s="8"/>
      <c r="X647" s="8"/>
      <c r="Y647" s="8"/>
      <c r="Z647" s="8"/>
    </row>
    <row r="648" ht="16.5" customHeight="1">
      <c r="A648" s="8"/>
      <c r="B648" s="27"/>
      <c r="C648" s="27"/>
      <c r="D648" s="27"/>
      <c r="E648" s="28"/>
      <c r="F648" s="31"/>
      <c r="G648" s="28"/>
      <c r="H648" s="157"/>
      <c r="I648" s="158"/>
      <c r="J648" s="27"/>
      <c r="K648" s="28"/>
      <c r="L648" s="28"/>
      <c r="M648" s="27"/>
      <c r="N648" s="31"/>
      <c r="O648" s="31"/>
      <c r="P648" s="8"/>
      <c r="Q648" s="8"/>
      <c r="R648" s="8"/>
      <c r="S648" s="8"/>
      <c r="T648" s="8"/>
      <c r="U648" s="8"/>
      <c r="V648" s="8"/>
      <c r="W648" s="8"/>
      <c r="X648" s="8"/>
      <c r="Y648" s="8"/>
      <c r="Z648" s="8"/>
    </row>
    <row r="649" ht="16.5" customHeight="1">
      <c r="A649" s="8"/>
      <c r="B649" s="27"/>
      <c r="C649" s="27"/>
      <c r="D649" s="27"/>
      <c r="E649" s="28"/>
      <c r="F649" s="31"/>
      <c r="G649" s="28"/>
      <c r="H649" s="157"/>
      <c r="I649" s="158"/>
      <c r="J649" s="27"/>
      <c r="K649" s="28"/>
      <c r="L649" s="28"/>
      <c r="M649" s="27"/>
      <c r="N649" s="31"/>
      <c r="O649" s="31"/>
      <c r="P649" s="8"/>
      <c r="Q649" s="8"/>
      <c r="R649" s="8"/>
      <c r="S649" s="8"/>
      <c r="T649" s="8"/>
      <c r="U649" s="8"/>
      <c r="V649" s="8"/>
      <c r="W649" s="8"/>
      <c r="X649" s="8"/>
      <c r="Y649" s="8"/>
      <c r="Z649" s="8"/>
    </row>
    <row r="650" ht="16.5" customHeight="1">
      <c r="A650" s="8"/>
      <c r="B650" s="27"/>
      <c r="C650" s="27"/>
      <c r="D650" s="27"/>
      <c r="E650" s="28"/>
      <c r="F650" s="31"/>
      <c r="G650" s="28"/>
      <c r="H650" s="157"/>
      <c r="I650" s="158"/>
      <c r="J650" s="27"/>
      <c r="K650" s="28"/>
      <c r="L650" s="28"/>
      <c r="M650" s="27"/>
      <c r="N650" s="31"/>
      <c r="O650" s="31"/>
      <c r="P650" s="8"/>
      <c r="Q650" s="8"/>
      <c r="R650" s="8"/>
      <c r="S650" s="8"/>
      <c r="T650" s="8"/>
      <c r="U650" s="8"/>
      <c r="V650" s="8"/>
      <c r="W650" s="8"/>
      <c r="X650" s="8"/>
      <c r="Y650" s="8"/>
      <c r="Z650" s="8"/>
    </row>
    <row r="651" ht="16.5" customHeight="1">
      <c r="A651" s="8"/>
      <c r="B651" s="27"/>
      <c r="C651" s="27"/>
      <c r="D651" s="27"/>
      <c r="E651" s="28"/>
      <c r="F651" s="31"/>
      <c r="G651" s="28"/>
      <c r="H651" s="157"/>
      <c r="I651" s="158"/>
      <c r="J651" s="27"/>
      <c r="K651" s="28"/>
      <c r="L651" s="28"/>
      <c r="M651" s="27"/>
      <c r="N651" s="31"/>
      <c r="O651" s="31"/>
      <c r="P651" s="8"/>
      <c r="Q651" s="8"/>
      <c r="R651" s="8"/>
      <c r="S651" s="8"/>
      <c r="T651" s="8"/>
      <c r="U651" s="8"/>
      <c r="V651" s="8"/>
      <c r="W651" s="8"/>
      <c r="X651" s="8"/>
      <c r="Y651" s="8"/>
      <c r="Z651" s="8"/>
    </row>
    <row r="652" ht="16.5" customHeight="1">
      <c r="A652" s="8"/>
      <c r="B652" s="27"/>
      <c r="C652" s="27"/>
      <c r="D652" s="27"/>
      <c r="E652" s="28"/>
      <c r="F652" s="31"/>
      <c r="G652" s="28"/>
      <c r="H652" s="157"/>
      <c r="I652" s="158"/>
      <c r="J652" s="27"/>
      <c r="K652" s="28"/>
      <c r="L652" s="28"/>
      <c r="M652" s="27"/>
      <c r="N652" s="31"/>
      <c r="O652" s="31"/>
      <c r="P652" s="8"/>
      <c r="Q652" s="8"/>
      <c r="R652" s="8"/>
      <c r="S652" s="8"/>
      <c r="T652" s="8"/>
      <c r="U652" s="8"/>
      <c r="V652" s="8"/>
      <c r="W652" s="8"/>
      <c r="X652" s="8"/>
      <c r="Y652" s="8"/>
      <c r="Z652" s="8"/>
    </row>
    <row r="653" ht="16.5" customHeight="1">
      <c r="A653" s="8"/>
      <c r="B653" s="27"/>
      <c r="C653" s="27"/>
      <c r="D653" s="27"/>
      <c r="E653" s="28"/>
      <c r="F653" s="31"/>
      <c r="G653" s="28"/>
      <c r="H653" s="157"/>
      <c r="I653" s="158"/>
      <c r="J653" s="27"/>
      <c r="K653" s="28"/>
      <c r="L653" s="28"/>
      <c r="M653" s="27"/>
      <c r="N653" s="31"/>
      <c r="O653" s="31"/>
      <c r="P653" s="8"/>
      <c r="Q653" s="8"/>
      <c r="R653" s="8"/>
      <c r="S653" s="8"/>
      <c r="T653" s="8"/>
      <c r="U653" s="8"/>
      <c r="V653" s="8"/>
      <c r="W653" s="8"/>
      <c r="X653" s="8"/>
      <c r="Y653" s="8"/>
      <c r="Z653" s="8"/>
    </row>
    <row r="654" ht="16.5" customHeight="1">
      <c r="A654" s="8"/>
      <c r="B654" s="27"/>
      <c r="C654" s="27"/>
      <c r="D654" s="27"/>
      <c r="E654" s="28"/>
      <c r="F654" s="31"/>
      <c r="G654" s="28"/>
      <c r="H654" s="157"/>
      <c r="I654" s="158"/>
      <c r="J654" s="27"/>
      <c r="K654" s="28"/>
      <c r="L654" s="28"/>
      <c r="M654" s="27"/>
      <c r="N654" s="31"/>
      <c r="O654" s="31"/>
      <c r="P654" s="8"/>
      <c r="Q654" s="8"/>
      <c r="R654" s="8"/>
      <c r="S654" s="8"/>
      <c r="T654" s="8"/>
      <c r="U654" s="8"/>
      <c r="V654" s="8"/>
      <c r="W654" s="8"/>
      <c r="X654" s="8"/>
      <c r="Y654" s="8"/>
      <c r="Z654" s="8"/>
    </row>
    <row r="655" ht="16.5" customHeight="1">
      <c r="A655" s="8"/>
      <c r="B655" s="27"/>
      <c r="C655" s="27"/>
      <c r="D655" s="27"/>
      <c r="E655" s="28"/>
      <c r="F655" s="31"/>
      <c r="G655" s="28"/>
      <c r="H655" s="157"/>
      <c r="I655" s="158"/>
      <c r="J655" s="27"/>
      <c r="K655" s="28"/>
      <c r="L655" s="28"/>
      <c r="M655" s="27"/>
      <c r="N655" s="31"/>
      <c r="O655" s="31"/>
      <c r="P655" s="8"/>
      <c r="Q655" s="8"/>
      <c r="R655" s="8"/>
      <c r="S655" s="8"/>
      <c r="T655" s="8"/>
      <c r="U655" s="8"/>
      <c r="V655" s="8"/>
      <c r="W655" s="8"/>
      <c r="X655" s="8"/>
      <c r="Y655" s="8"/>
      <c r="Z655" s="8"/>
    </row>
    <row r="656" ht="16.5" customHeight="1">
      <c r="A656" s="8"/>
      <c r="B656" s="27"/>
      <c r="C656" s="27"/>
      <c r="D656" s="27"/>
      <c r="E656" s="28"/>
      <c r="F656" s="31"/>
      <c r="G656" s="28"/>
      <c r="H656" s="157"/>
      <c r="I656" s="158"/>
      <c r="J656" s="27"/>
      <c r="K656" s="28"/>
      <c r="L656" s="28"/>
      <c r="M656" s="27"/>
      <c r="N656" s="31"/>
      <c r="O656" s="31"/>
      <c r="P656" s="8"/>
      <c r="Q656" s="8"/>
      <c r="R656" s="8"/>
      <c r="S656" s="8"/>
      <c r="T656" s="8"/>
      <c r="U656" s="8"/>
      <c r="V656" s="8"/>
      <c r="W656" s="8"/>
      <c r="X656" s="8"/>
      <c r="Y656" s="8"/>
      <c r="Z656" s="8"/>
    </row>
    <row r="657" ht="16.5" customHeight="1">
      <c r="A657" s="8"/>
      <c r="B657" s="27"/>
      <c r="C657" s="27"/>
      <c r="D657" s="27"/>
      <c r="E657" s="28"/>
      <c r="F657" s="31"/>
      <c r="G657" s="28"/>
      <c r="H657" s="157"/>
      <c r="I657" s="158"/>
      <c r="J657" s="27"/>
      <c r="K657" s="28"/>
      <c r="L657" s="28"/>
      <c r="M657" s="27"/>
      <c r="N657" s="31"/>
      <c r="O657" s="31"/>
      <c r="P657" s="8"/>
      <c r="Q657" s="8"/>
      <c r="R657" s="8"/>
      <c r="S657" s="8"/>
      <c r="T657" s="8"/>
      <c r="U657" s="8"/>
      <c r="V657" s="8"/>
      <c r="W657" s="8"/>
      <c r="X657" s="8"/>
      <c r="Y657" s="8"/>
      <c r="Z657" s="8"/>
    </row>
    <row r="658" ht="16.5" customHeight="1">
      <c r="A658" s="8"/>
      <c r="B658" s="27"/>
      <c r="C658" s="27"/>
      <c r="D658" s="27"/>
      <c r="E658" s="28"/>
      <c r="F658" s="31"/>
      <c r="G658" s="28"/>
      <c r="H658" s="157"/>
      <c r="I658" s="158"/>
      <c r="J658" s="27"/>
      <c r="K658" s="28"/>
      <c r="L658" s="28"/>
      <c r="M658" s="27"/>
      <c r="N658" s="31"/>
      <c r="O658" s="31"/>
      <c r="P658" s="8"/>
      <c r="Q658" s="8"/>
      <c r="R658" s="8"/>
      <c r="S658" s="8"/>
      <c r="T658" s="8"/>
      <c r="U658" s="8"/>
      <c r="V658" s="8"/>
      <c r="W658" s="8"/>
      <c r="X658" s="8"/>
      <c r="Y658" s="8"/>
      <c r="Z658" s="8"/>
    </row>
    <row r="659" ht="16.5" customHeight="1">
      <c r="A659" s="8"/>
      <c r="B659" s="27"/>
      <c r="C659" s="27"/>
      <c r="D659" s="27"/>
      <c r="E659" s="28"/>
      <c r="F659" s="31"/>
      <c r="G659" s="28"/>
      <c r="H659" s="157"/>
      <c r="I659" s="158"/>
      <c r="J659" s="27"/>
      <c r="K659" s="28"/>
      <c r="L659" s="28"/>
      <c r="M659" s="27"/>
      <c r="N659" s="31"/>
      <c r="O659" s="31"/>
      <c r="P659" s="8"/>
      <c r="Q659" s="8"/>
      <c r="R659" s="8"/>
      <c r="S659" s="8"/>
      <c r="T659" s="8"/>
      <c r="U659" s="8"/>
      <c r="V659" s="8"/>
      <c r="W659" s="8"/>
      <c r="X659" s="8"/>
      <c r="Y659" s="8"/>
      <c r="Z659" s="8"/>
    </row>
    <row r="660" ht="16.5" customHeight="1">
      <c r="A660" s="8"/>
      <c r="B660" s="27"/>
      <c r="C660" s="27"/>
      <c r="D660" s="27"/>
      <c r="E660" s="28"/>
      <c r="F660" s="31"/>
      <c r="G660" s="28"/>
      <c r="H660" s="157"/>
      <c r="I660" s="158"/>
      <c r="J660" s="27"/>
      <c r="K660" s="28"/>
      <c r="L660" s="28"/>
      <c r="M660" s="27"/>
      <c r="N660" s="31"/>
      <c r="O660" s="31"/>
      <c r="P660" s="8"/>
      <c r="Q660" s="8"/>
      <c r="R660" s="8"/>
      <c r="S660" s="8"/>
      <c r="T660" s="8"/>
      <c r="U660" s="8"/>
      <c r="V660" s="8"/>
      <c r="W660" s="8"/>
      <c r="X660" s="8"/>
      <c r="Y660" s="8"/>
      <c r="Z660" s="8"/>
    </row>
    <row r="661" ht="16.5" customHeight="1">
      <c r="A661" s="8"/>
      <c r="B661" s="27"/>
      <c r="C661" s="27"/>
      <c r="D661" s="27"/>
      <c r="E661" s="28"/>
      <c r="F661" s="31"/>
      <c r="G661" s="28"/>
      <c r="H661" s="157"/>
      <c r="I661" s="158"/>
      <c r="J661" s="27"/>
      <c r="K661" s="28"/>
      <c r="L661" s="28"/>
      <c r="M661" s="27"/>
      <c r="N661" s="31"/>
      <c r="O661" s="31"/>
      <c r="P661" s="8"/>
      <c r="Q661" s="8"/>
      <c r="R661" s="8"/>
      <c r="S661" s="8"/>
      <c r="T661" s="8"/>
      <c r="U661" s="8"/>
      <c r="V661" s="8"/>
      <c r="W661" s="8"/>
      <c r="X661" s="8"/>
      <c r="Y661" s="8"/>
      <c r="Z661" s="8"/>
    </row>
    <row r="662" ht="16.5" customHeight="1">
      <c r="A662" s="8"/>
      <c r="B662" s="27"/>
      <c r="C662" s="27"/>
      <c r="D662" s="27"/>
      <c r="E662" s="28"/>
      <c r="F662" s="31"/>
      <c r="G662" s="28"/>
      <c r="H662" s="157"/>
      <c r="I662" s="158"/>
      <c r="J662" s="27"/>
      <c r="K662" s="28"/>
      <c r="L662" s="28"/>
      <c r="M662" s="27"/>
      <c r="N662" s="31"/>
      <c r="O662" s="31"/>
      <c r="P662" s="8"/>
      <c r="Q662" s="8"/>
      <c r="R662" s="8"/>
      <c r="S662" s="8"/>
      <c r="T662" s="8"/>
      <c r="U662" s="8"/>
      <c r="V662" s="8"/>
      <c r="W662" s="8"/>
      <c r="X662" s="8"/>
      <c r="Y662" s="8"/>
      <c r="Z662" s="8"/>
    </row>
    <row r="663" ht="16.5" customHeight="1">
      <c r="A663" s="8"/>
      <c r="B663" s="27"/>
      <c r="C663" s="27"/>
      <c r="D663" s="27"/>
      <c r="E663" s="28"/>
      <c r="F663" s="31"/>
      <c r="G663" s="28"/>
      <c r="H663" s="157"/>
      <c r="I663" s="158"/>
      <c r="J663" s="27"/>
      <c r="K663" s="28"/>
      <c r="L663" s="28"/>
      <c r="M663" s="27"/>
      <c r="N663" s="31"/>
      <c r="O663" s="31"/>
      <c r="P663" s="8"/>
      <c r="Q663" s="8"/>
      <c r="R663" s="8"/>
      <c r="S663" s="8"/>
      <c r="T663" s="8"/>
      <c r="U663" s="8"/>
      <c r="V663" s="8"/>
      <c r="W663" s="8"/>
      <c r="X663" s="8"/>
      <c r="Y663" s="8"/>
      <c r="Z663" s="8"/>
    </row>
    <row r="664" ht="16.5" customHeight="1">
      <c r="A664" s="8"/>
      <c r="B664" s="27"/>
      <c r="C664" s="27"/>
      <c r="D664" s="27"/>
      <c r="E664" s="28"/>
      <c r="F664" s="31"/>
      <c r="G664" s="28"/>
      <c r="H664" s="157"/>
      <c r="I664" s="158"/>
      <c r="J664" s="27"/>
      <c r="K664" s="28"/>
      <c r="L664" s="28"/>
      <c r="M664" s="27"/>
      <c r="N664" s="31"/>
      <c r="O664" s="31"/>
      <c r="P664" s="8"/>
      <c r="Q664" s="8"/>
      <c r="R664" s="8"/>
      <c r="S664" s="8"/>
      <c r="T664" s="8"/>
      <c r="U664" s="8"/>
      <c r="V664" s="8"/>
      <c r="W664" s="8"/>
      <c r="X664" s="8"/>
      <c r="Y664" s="8"/>
      <c r="Z664" s="8"/>
    </row>
    <row r="665" ht="16.5" customHeight="1">
      <c r="A665" s="8"/>
      <c r="B665" s="27"/>
      <c r="C665" s="27"/>
      <c r="D665" s="27"/>
      <c r="E665" s="28"/>
      <c r="F665" s="31"/>
      <c r="G665" s="28"/>
      <c r="H665" s="157"/>
      <c r="I665" s="158"/>
      <c r="J665" s="27"/>
      <c r="K665" s="28"/>
      <c r="L665" s="28"/>
      <c r="M665" s="27"/>
      <c r="N665" s="31"/>
      <c r="O665" s="31"/>
      <c r="P665" s="8"/>
      <c r="Q665" s="8"/>
      <c r="R665" s="8"/>
      <c r="S665" s="8"/>
      <c r="T665" s="8"/>
      <c r="U665" s="8"/>
      <c r="V665" s="8"/>
      <c r="W665" s="8"/>
      <c r="X665" s="8"/>
      <c r="Y665" s="8"/>
      <c r="Z665" s="8"/>
    </row>
    <row r="666" ht="16.5" customHeight="1">
      <c r="A666" s="8"/>
      <c r="B666" s="27"/>
      <c r="C666" s="27"/>
      <c r="D666" s="27"/>
      <c r="E666" s="28"/>
      <c r="F666" s="31"/>
      <c r="G666" s="28"/>
      <c r="H666" s="157"/>
      <c r="I666" s="158"/>
      <c r="J666" s="27"/>
      <c r="K666" s="28"/>
      <c r="L666" s="28"/>
      <c r="M666" s="27"/>
      <c r="N666" s="31"/>
      <c r="O666" s="31"/>
      <c r="P666" s="8"/>
      <c r="Q666" s="8"/>
      <c r="R666" s="8"/>
      <c r="S666" s="8"/>
      <c r="T666" s="8"/>
      <c r="U666" s="8"/>
      <c r="V666" s="8"/>
      <c r="W666" s="8"/>
      <c r="X666" s="8"/>
      <c r="Y666" s="8"/>
      <c r="Z666" s="8"/>
    </row>
    <row r="667" ht="16.5" customHeight="1">
      <c r="A667" s="8"/>
      <c r="B667" s="27"/>
      <c r="C667" s="27"/>
      <c r="D667" s="27"/>
      <c r="E667" s="28"/>
      <c r="F667" s="31"/>
      <c r="G667" s="28"/>
      <c r="H667" s="157"/>
      <c r="I667" s="158"/>
      <c r="J667" s="27"/>
      <c r="K667" s="28"/>
      <c r="L667" s="28"/>
      <c r="M667" s="27"/>
      <c r="N667" s="31"/>
      <c r="O667" s="31"/>
      <c r="P667" s="8"/>
      <c r="Q667" s="8"/>
      <c r="R667" s="8"/>
      <c r="S667" s="8"/>
      <c r="T667" s="8"/>
      <c r="U667" s="8"/>
      <c r="V667" s="8"/>
      <c r="W667" s="8"/>
      <c r="X667" s="8"/>
      <c r="Y667" s="8"/>
      <c r="Z667" s="8"/>
    </row>
    <row r="668" ht="16.5" customHeight="1">
      <c r="A668" s="8"/>
      <c r="B668" s="27"/>
      <c r="C668" s="27"/>
      <c r="D668" s="27"/>
      <c r="E668" s="28"/>
      <c r="F668" s="31"/>
      <c r="G668" s="28"/>
      <c r="H668" s="157"/>
      <c r="I668" s="158"/>
      <c r="J668" s="27"/>
      <c r="K668" s="28"/>
      <c r="L668" s="28"/>
      <c r="M668" s="27"/>
      <c r="N668" s="31"/>
      <c r="O668" s="31"/>
      <c r="P668" s="8"/>
      <c r="Q668" s="8"/>
      <c r="R668" s="8"/>
      <c r="S668" s="8"/>
      <c r="T668" s="8"/>
      <c r="U668" s="8"/>
      <c r="V668" s="8"/>
      <c r="W668" s="8"/>
      <c r="X668" s="8"/>
      <c r="Y668" s="8"/>
      <c r="Z668" s="8"/>
    </row>
    <row r="669" ht="16.5" customHeight="1">
      <c r="A669" s="8"/>
      <c r="B669" s="27"/>
      <c r="C669" s="27"/>
      <c r="D669" s="27"/>
      <c r="E669" s="28"/>
      <c r="F669" s="31"/>
      <c r="G669" s="28"/>
      <c r="H669" s="157"/>
      <c r="I669" s="158"/>
      <c r="J669" s="27"/>
      <c r="K669" s="28"/>
      <c r="L669" s="28"/>
      <c r="M669" s="27"/>
      <c r="N669" s="31"/>
      <c r="O669" s="31"/>
      <c r="P669" s="8"/>
      <c r="Q669" s="8"/>
      <c r="R669" s="8"/>
      <c r="S669" s="8"/>
      <c r="T669" s="8"/>
      <c r="U669" s="8"/>
      <c r="V669" s="8"/>
      <c r="W669" s="8"/>
      <c r="X669" s="8"/>
      <c r="Y669" s="8"/>
      <c r="Z669" s="8"/>
    </row>
    <row r="670" ht="16.5" customHeight="1">
      <c r="A670" s="8"/>
      <c r="B670" s="27"/>
      <c r="C670" s="27"/>
      <c r="D670" s="27"/>
      <c r="E670" s="28"/>
      <c r="F670" s="31"/>
      <c r="G670" s="28"/>
      <c r="H670" s="157"/>
      <c r="I670" s="158"/>
      <c r="J670" s="27"/>
      <c r="K670" s="28"/>
      <c r="L670" s="28"/>
      <c r="M670" s="27"/>
      <c r="N670" s="31"/>
      <c r="O670" s="31"/>
      <c r="P670" s="8"/>
      <c r="Q670" s="8"/>
      <c r="R670" s="8"/>
      <c r="S670" s="8"/>
      <c r="T670" s="8"/>
      <c r="U670" s="8"/>
      <c r="V670" s="8"/>
      <c r="W670" s="8"/>
      <c r="X670" s="8"/>
      <c r="Y670" s="8"/>
      <c r="Z670" s="8"/>
    </row>
    <row r="671" ht="16.5" customHeight="1">
      <c r="A671" s="8"/>
      <c r="B671" s="27"/>
      <c r="C671" s="27"/>
      <c r="D671" s="27"/>
      <c r="E671" s="28"/>
      <c r="F671" s="31"/>
      <c r="G671" s="28"/>
      <c r="H671" s="157"/>
      <c r="I671" s="158"/>
      <c r="J671" s="27"/>
      <c r="K671" s="28"/>
      <c r="L671" s="28"/>
      <c r="M671" s="27"/>
      <c r="N671" s="31"/>
      <c r="O671" s="31"/>
      <c r="P671" s="8"/>
      <c r="Q671" s="8"/>
      <c r="R671" s="8"/>
      <c r="S671" s="8"/>
      <c r="T671" s="8"/>
      <c r="U671" s="8"/>
      <c r="V671" s="8"/>
      <c r="W671" s="8"/>
      <c r="X671" s="8"/>
      <c r="Y671" s="8"/>
      <c r="Z671" s="8"/>
    </row>
    <row r="672" ht="16.5" customHeight="1">
      <c r="A672" s="8"/>
      <c r="B672" s="27"/>
      <c r="C672" s="27"/>
      <c r="D672" s="27"/>
      <c r="E672" s="28"/>
      <c r="F672" s="31"/>
      <c r="G672" s="28"/>
      <c r="H672" s="157"/>
      <c r="I672" s="158"/>
      <c r="J672" s="27"/>
      <c r="K672" s="28"/>
      <c r="L672" s="28"/>
      <c r="M672" s="27"/>
      <c r="N672" s="31"/>
      <c r="O672" s="31"/>
      <c r="P672" s="8"/>
      <c r="Q672" s="8"/>
      <c r="R672" s="8"/>
      <c r="S672" s="8"/>
      <c r="T672" s="8"/>
      <c r="U672" s="8"/>
      <c r="V672" s="8"/>
      <c r="W672" s="8"/>
      <c r="X672" s="8"/>
      <c r="Y672" s="8"/>
      <c r="Z672" s="8"/>
    </row>
    <row r="673" ht="16.5" customHeight="1">
      <c r="A673" s="8"/>
      <c r="B673" s="27"/>
      <c r="C673" s="27"/>
      <c r="D673" s="27"/>
      <c r="E673" s="28"/>
      <c r="F673" s="31"/>
      <c r="G673" s="28"/>
      <c r="H673" s="157"/>
      <c r="I673" s="158"/>
      <c r="J673" s="27"/>
      <c r="K673" s="28"/>
      <c r="L673" s="28"/>
      <c r="M673" s="27"/>
      <c r="N673" s="31"/>
      <c r="O673" s="31"/>
      <c r="P673" s="8"/>
      <c r="Q673" s="8"/>
      <c r="R673" s="8"/>
      <c r="S673" s="8"/>
      <c r="T673" s="8"/>
      <c r="U673" s="8"/>
      <c r="V673" s="8"/>
      <c r="W673" s="8"/>
      <c r="X673" s="8"/>
      <c r="Y673" s="8"/>
      <c r="Z673" s="8"/>
    </row>
    <row r="674" ht="16.5" customHeight="1">
      <c r="A674" s="8"/>
      <c r="B674" s="27"/>
      <c r="C674" s="27"/>
      <c r="D674" s="27"/>
      <c r="E674" s="28"/>
      <c r="F674" s="31"/>
      <c r="G674" s="28"/>
      <c r="H674" s="157"/>
      <c r="I674" s="158"/>
      <c r="J674" s="27"/>
      <c r="K674" s="28"/>
      <c r="L674" s="28"/>
      <c r="M674" s="27"/>
      <c r="N674" s="31"/>
      <c r="O674" s="31"/>
      <c r="P674" s="8"/>
      <c r="Q674" s="8"/>
      <c r="R674" s="8"/>
      <c r="S674" s="8"/>
      <c r="T674" s="8"/>
      <c r="U674" s="8"/>
      <c r="V674" s="8"/>
      <c r="W674" s="8"/>
      <c r="X674" s="8"/>
      <c r="Y674" s="8"/>
      <c r="Z674" s="8"/>
    </row>
    <row r="675" ht="16.5" customHeight="1">
      <c r="A675" s="8"/>
      <c r="B675" s="27"/>
      <c r="C675" s="27"/>
      <c r="D675" s="27"/>
      <c r="E675" s="28"/>
      <c r="F675" s="31"/>
      <c r="G675" s="28"/>
      <c r="H675" s="157"/>
      <c r="I675" s="158"/>
      <c r="J675" s="27"/>
      <c r="K675" s="28"/>
      <c r="L675" s="28"/>
      <c r="M675" s="27"/>
      <c r="N675" s="31"/>
      <c r="O675" s="31"/>
      <c r="P675" s="8"/>
      <c r="Q675" s="8"/>
      <c r="R675" s="8"/>
      <c r="S675" s="8"/>
      <c r="T675" s="8"/>
      <c r="U675" s="8"/>
      <c r="V675" s="8"/>
      <c r="W675" s="8"/>
      <c r="X675" s="8"/>
      <c r="Y675" s="8"/>
      <c r="Z675" s="8"/>
    </row>
    <row r="676" ht="16.5" customHeight="1">
      <c r="A676" s="8"/>
      <c r="B676" s="27"/>
      <c r="C676" s="27"/>
      <c r="D676" s="27"/>
      <c r="E676" s="28"/>
      <c r="F676" s="31"/>
      <c r="G676" s="28"/>
      <c r="H676" s="157"/>
      <c r="I676" s="158"/>
      <c r="J676" s="27"/>
      <c r="K676" s="28"/>
      <c r="L676" s="28"/>
      <c r="M676" s="27"/>
      <c r="N676" s="31"/>
      <c r="O676" s="31"/>
      <c r="P676" s="8"/>
      <c r="Q676" s="8"/>
      <c r="R676" s="8"/>
      <c r="S676" s="8"/>
      <c r="T676" s="8"/>
      <c r="U676" s="8"/>
      <c r="V676" s="8"/>
      <c r="W676" s="8"/>
      <c r="X676" s="8"/>
      <c r="Y676" s="8"/>
      <c r="Z676" s="8"/>
    </row>
    <row r="677" ht="16.5" customHeight="1">
      <c r="A677" s="8"/>
      <c r="B677" s="27"/>
      <c r="C677" s="27"/>
      <c r="D677" s="27"/>
      <c r="E677" s="28"/>
      <c r="F677" s="31"/>
      <c r="G677" s="28"/>
      <c r="H677" s="157"/>
      <c r="I677" s="158"/>
      <c r="J677" s="27"/>
      <c r="K677" s="28"/>
      <c r="L677" s="28"/>
      <c r="M677" s="27"/>
      <c r="N677" s="31"/>
      <c r="O677" s="31"/>
      <c r="P677" s="8"/>
      <c r="Q677" s="8"/>
      <c r="R677" s="8"/>
      <c r="S677" s="8"/>
      <c r="T677" s="8"/>
      <c r="U677" s="8"/>
      <c r="V677" s="8"/>
      <c r="W677" s="8"/>
      <c r="X677" s="8"/>
      <c r="Y677" s="8"/>
      <c r="Z677" s="8"/>
    </row>
    <row r="678" ht="16.5" customHeight="1">
      <c r="A678" s="8"/>
      <c r="B678" s="27"/>
      <c r="C678" s="27"/>
      <c r="D678" s="27"/>
      <c r="E678" s="28"/>
      <c r="F678" s="31"/>
      <c r="G678" s="28"/>
      <c r="H678" s="157"/>
      <c r="I678" s="158"/>
      <c r="J678" s="27"/>
      <c r="K678" s="28"/>
      <c r="L678" s="28"/>
      <c r="M678" s="27"/>
      <c r="N678" s="31"/>
      <c r="O678" s="31"/>
      <c r="P678" s="8"/>
      <c r="Q678" s="8"/>
      <c r="R678" s="8"/>
      <c r="S678" s="8"/>
      <c r="T678" s="8"/>
      <c r="U678" s="8"/>
      <c r="V678" s="8"/>
      <c r="W678" s="8"/>
      <c r="X678" s="8"/>
      <c r="Y678" s="8"/>
      <c r="Z678" s="8"/>
    </row>
    <row r="679" ht="16.5" customHeight="1">
      <c r="A679" s="8"/>
      <c r="B679" s="27"/>
      <c r="C679" s="27"/>
      <c r="D679" s="27"/>
      <c r="E679" s="28"/>
      <c r="F679" s="31"/>
      <c r="G679" s="28"/>
      <c r="H679" s="157"/>
      <c r="I679" s="158"/>
      <c r="J679" s="27"/>
      <c r="K679" s="28"/>
      <c r="L679" s="28"/>
      <c r="M679" s="27"/>
      <c r="N679" s="31"/>
      <c r="O679" s="31"/>
      <c r="P679" s="8"/>
      <c r="Q679" s="8"/>
      <c r="R679" s="8"/>
      <c r="S679" s="8"/>
      <c r="T679" s="8"/>
      <c r="U679" s="8"/>
      <c r="V679" s="8"/>
      <c r="W679" s="8"/>
      <c r="X679" s="8"/>
      <c r="Y679" s="8"/>
      <c r="Z679" s="8"/>
    </row>
    <row r="680" ht="16.5" customHeight="1">
      <c r="A680" s="8"/>
      <c r="B680" s="27"/>
      <c r="C680" s="27"/>
      <c r="D680" s="27"/>
      <c r="E680" s="28"/>
      <c r="F680" s="31"/>
      <c r="G680" s="28"/>
      <c r="H680" s="157"/>
      <c r="I680" s="158"/>
      <c r="J680" s="27"/>
      <c r="K680" s="28"/>
      <c r="L680" s="28"/>
      <c r="M680" s="27"/>
      <c r="N680" s="31"/>
      <c r="O680" s="31"/>
      <c r="P680" s="8"/>
      <c r="Q680" s="8"/>
      <c r="R680" s="8"/>
      <c r="S680" s="8"/>
      <c r="T680" s="8"/>
      <c r="U680" s="8"/>
      <c r="V680" s="8"/>
      <c r="W680" s="8"/>
      <c r="X680" s="8"/>
      <c r="Y680" s="8"/>
      <c r="Z680" s="8"/>
    </row>
    <row r="681" ht="16.5" customHeight="1">
      <c r="A681" s="8"/>
      <c r="B681" s="27"/>
      <c r="C681" s="27"/>
      <c r="D681" s="27"/>
      <c r="E681" s="28"/>
      <c r="F681" s="31"/>
      <c r="G681" s="28"/>
      <c r="H681" s="157"/>
      <c r="I681" s="158"/>
      <c r="J681" s="27"/>
      <c r="K681" s="28"/>
      <c r="L681" s="28"/>
      <c r="M681" s="27"/>
      <c r="N681" s="31"/>
      <c r="O681" s="31"/>
      <c r="P681" s="8"/>
      <c r="Q681" s="8"/>
      <c r="R681" s="8"/>
      <c r="S681" s="8"/>
      <c r="T681" s="8"/>
      <c r="U681" s="8"/>
      <c r="V681" s="8"/>
      <c r="W681" s="8"/>
      <c r="X681" s="8"/>
      <c r="Y681" s="8"/>
      <c r="Z681" s="8"/>
    </row>
    <row r="682" ht="16.5" customHeight="1">
      <c r="A682" s="8"/>
      <c r="B682" s="27"/>
      <c r="C682" s="27"/>
      <c r="D682" s="27"/>
      <c r="E682" s="28"/>
      <c r="F682" s="31"/>
      <c r="G682" s="28"/>
      <c r="H682" s="157"/>
      <c r="I682" s="158"/>
      <c r="J682" s="27"/>
      <c r="K682" s="28"/>
      <c r="L682" s="28"/>
      <c r="M682" s="27"/>
      <c r="N682" s="31"/>
      <c r="O682" s="31"/>
      <c r="P682" s="8"/>
      <c r="Q682" s="8"/>
      <c r="R682" s="8"/>
      <c r="S682" s="8"/>
      <c r="T682" s="8"/>
      <c r="U682" s="8"/>
      <c r="V682" s="8"/>
      <c r="W682" s="8"/>
      <c r="X682" s="8"/>
      <c r="Y682" s="8"/>
      <c r="Z682" s="8"/>
    </row>
    <row r="683" ht="16.5" customHeight="1">
      <c r="A683" s="8"/>
      <c r="B683" s="27"/>
      <c r="C683" s="27"/>
      <c r="D683" s="27"/>
      <c r="E683" s="28"/>
      <c r="F683" s="31"/>
      <c r="G683" s="28"/>
      <c r="H683" s="157"/>
      <c r="I683" s="158"/>
      <c r="J683" s="27"/>
      <c r="K683" s="28"/>
      <c r="L683" s="28"/>
      <c r="M683" s="27"/>
      <c r="N683" s="31"/>
      <c r="O683" s="31"/>
      <c r="P683" s="8"/>
      <c r="Q683" s="8"/>
      <c r="R683" s="8"/>
      <c r="S683" s="8"/>
      <c r="T683" s="8"/>
      <c r="U683" s="8"/>
      <c r="V683" s="8"/>
      <c r="W683" s="8"/>
      <c r="X683" s="8"/>
      <c r="Y683" s="8"/>
      <c r="Z683" s="8"/>
    </row>
    <row r="684" ht="16.5" customHeight="1">
      <c r="A684" s="8"/>
      <c r="B684" s="27"/>
      <c r="C684" s="27"/>
      <c r="D684" s="27"/>
      <c r="E684" s="28"/>
      <c r="F684" s="31"/>
      <c r="G684" s="28"/>
      <c r="H684" s="157"/>
      <c r="I684" s="158"/>
      <c r="J684" s="27"/>
      <c r="K684" s="28"/>
      <c r="L684" s="28"/>
      <c r="M684" s="27"/>
      <c r="N684" s="31"/>
      <c r="O684" s="31"/>
      <c r="P684" s="8"/>
      <c r="Q684" s="8"/>
      <c r="R684" s="8"/>
      <c r="S684" s="8"/>
      <c r="T684" s="8"/>
      <c r="U684" s="8"/>
      <c r="V684" s="8"/>
      <c r="W684" s="8"/>
      <c r="X684" s="8"/>
      <c r="Y684" s="8"/>
      <c r="Z684" s="8"/>
    </row>
    <row r="685" ht="16.5" customHeight="1">
      <c r="A685" s="8"/>
      <c r="B685" s="27"/>
      <c r="C685" s="27"/>
      <c r="D685" s="27"/>
      <c r="E685" s="28"/>
      <c r="F685" s="31"/>
      <c r="G685" s="28"/>
      <c r="H685" s="157"/>
      <c r="I685" s="158"/>
      <c r="J685" s="27"/>
      <c r="K685" s="28"/>
      <c r="L685" s="28"/>
      <c r="M685" s="27"/>
      <c r="N685" s="31"/>
      <c r="O685" s="31"/>
      <c r="P685" s="8"/>
      <c r="Q685" s="8"/>
      <c r="R685" s="8"/>
      <c r="S685" s="8"/>
      <c r="T685" s="8"/>
      <c r="U685" s="8"/>
      <c r="V685" s="8"/>
      <c r="W685" s="8"/>
      <c r="X685" s="8"/>
      <c r="Y685" s="8"/>
      <c r="Z685" s="8"/>
    </row>
    <row r="686" ht="16.5" customHeight="1">
      <c r="A686" s="8"/>
      <c r="B686" s="27"/>
      <c r="C686" s="27"/>
      <c r="D686" s="27"/>
      <c r="E686" s="28"/>
      <c r="F686" s="31"/>
      <c r="G686" s="28"/>
      <c r="H686" s="157"/>
      <c r="I686" s="158"/>
      <c r="J686" s="27"/>
      <c r="K686" s="28"/>
      <c r="L686" s="28"/>
      <c r="M686" s="27"/>
      <c r="N686" s="31"/>
      <c r="O686" s="31"/>
      <c r="P686" s="8"/>
      <c r="Q686" s="8"/>
      <c r="R686" s="8"/>
      <c r="S686" s="8"/>
      <c r="T686" s="8"/>
      <c r="U686" s="8"/>
      <c r="V686" s="8"/>
      <c r="W686" s="8"/>
      <c r="X686" s="8"/>
      <c r="Y686" s="8"/>
      <c r="Z686" s="8"/>
    </row>
    <row r="687" ht="16.5" customHeight="1">
      <c r="A687" s="8"/>
      <c r="B687" s="27"/>
      <c r="C687" s="27"/>
      <c r="D687" s="27"/>
      <c r="E687" s="28"/>
      <c r="F687" s="31"/>
      <c r="G687" s="28"/>
      <c r="H687" s="157"/>
      <c r="I687" s="158"/>
      <c r="J687" s="27"/>
      <c r="K687" s="28"/>
      <c r="L687" s="28"/>
      <c r="M687" s="27"/>
      <c r="N687" s="31"/>
      <c r="O687" s="31"/>
      <c r="P687" s="8"/>
      <c r="Q687" s="8"/>
      <c r="R687" s="8"/>
      <c r="S687" s="8"/>
      <c r="T687" s="8"/>
      <c r="U687" s="8"/>
      <c r="V687" s="8"/>
      <c r="W687" s="8"/>
      <c r="X687" s="8"/>
      <c r="Y687" s="8"/>
      <c r="Z687" s="8"/>
    </row>
    <row r="688" ht="16.5" customHeight="1">
      <c r="A688" s="8"/>
      <c r="B688" s="27"/>
      <c r="C688" s="27"/>
      <c r="D688" s="27"/>
      <c r="E688" s="28"/>
      <c r="F688" s="31"/>
      <c r="G688" s="28"/>
      <c r="H688" s="157"/>
      <c r="I688" s="158"/>
      <c r="J688" s="27"/>
      <c r="K688" s="28"/>
      <c r="L688" s="28"/>
      <c r="M688" s="27"/>
      <c r="N688" s="31"/>
      <c r="O688" s="31"/>
      <c r="P688" s="8"/>
      <c r="Q688" s="8"/>
      <c r="R688" s="8"/>
      <c r="S688" s="8"/>
      <c r="T688" s="8"/>
      <c r="U688" s="8"/>
      <c r="V688" s="8"/>
      <c r="W688" s="8"/>
      <c r="X688" s="8"/>
      <c r="Y688" s="8"/>
      <c r="Z688" s="8"/>
    </row>
    <row r="689" ht="16.5" customHeight="1">
      <c r="A689" s="8"/>
      <c r="B689" s="27"/>
      <c r="C689" s="27"/>
      <c r="D689" s="27"/>
      <c r="E689" s="28"/>
      <c r="F689" s="31"/>
      <c r="G689" s="28"/>
      <c r="H689" s="157"/>
      <c r="I689" s="158"/>
      <c r="J689" s="27"/>
      <c r="K689" s="28"/>
      <c r="L689" s="28"/>
      <c r="M689" s="27"/>
      <c r="N689" s="31"/>
      <c r="O689" s="31"/>
      <c r="P689" s="8"/>
      <c r="Q689" s="8"/>
      <c r="R689" s="8"/>
      <c r="S689" s="8"/>
      <c r="T689" s="8"/>
      <c r="U689" s="8"/>
      <c r="V689" s="8"/>
      <c r="W689" s="8"/>
      <c r="X689" s="8"/>
      <c r="Y689" s="8"/>
      <c r="Z689" s="8"/>
    </row>
    <row r="690" ht="16.5" customHeight="1">
      <c r="A690" s="8"/>
      <c r="B690" s="27"/>
      <c r="C690" s="27"/>
      <c r="D690" s="27"/>
      <c r="E690" s="28"/>
      <c r="F690" s="31"/>
      <c r="G690" s="28"/>
      <c r="H690" s="157"/>
      <c r="I690" s="158"/>
      <c r="J690" s="27"/>
      <c r="K690" s="28"/>
      <c r="L690" s="28"/>
      <c r="M690" s="27"/>
      <c r="N690" s="31"/>
      <c r="O690" s="31"/>
      <c r="P690" s="8"/>
      <c r="Q690" s="8"/>
      <c r="R690" s="8"/>
      <c r="S690" s="8"/>
      <c r="T690" s="8"/>
      <c r="U690" s="8"/>
      <c r="V690" s="8"/>
      <c r="W690" s="8"/>
      <c r="X690" s="8"/>
      <c r="Y690" s="8"/>
      <c r="Z690" s="8"/>
    </row>
    <row r="691" ht="16.5" customHeight="1">
      <c r="A691" s="8"/>
      <c r="B691" s="27"/>
      <c r="C691" s="27"/>
      <c r="D691" s="27"/>
      <c r="E691" s="28"/>
      <c r="F691" s="31"/>
      <c r="G691" s="28"/>
      <c r="H691" s="157"/>
      <c r="I691" s="158"/>
      <c r="J691" s="27"/>
      <c r="K691" s="28"/>
      <c r="L691" s="28"/>
      <c r="M691" s="27"/>
      <c r="N691" s="31"/>
      <c r="O691" s="31"/>
      <c r="P691" s="8"/>
      <c r="Q691" s="8"/>
      <c r="R691" s="8"/>
      <c r="S691" s="8"/>
      <c r="T691" s="8"/>
      <c r="U691" s="8"/>
      <c r="V691" s="8"/>
      <c r="W691" s="8"/>
      <c r="X691" s="8"/>
      <c r="Y691" s="8"/>
      <c r="Z691" s="8"/>
    </row>
    <row r="692" ht="16.5" customHeight="1">
      <c r="A692" s="8"/>
      <c r="B692" s="27"/>
      <c r="C692" s="27"/>
      <c r="D692" s="27"/>
      <c r="E692" s="28"/>
      <c r="F692" s="31"/>
      <c r="G692" s="28"/>
      <c r="H692" s="157"/>
      <c r="I692" s="158"/>
      <c r="J692" s="27"/>
      <c r="K692" s="28"/>
      <c r="L692" s="28"/>
      <c r="M692" s="27"/>
      <c r="N692" s="31"/>
      <c r="O692" s="31"/>
      <c r="P692" s="8"/>
      <c r="Q692" s="8"/>
      <c r="R692" s="8"/>
      <c r="S692" s="8"/>
      <c r="T692" s="8"/>
      <c r="U692" s="8"/>
      <c r="V692" s="8"/>
      <c r="W692" s="8"/>
      <c r="X692" s="8"/>
      <c r="Y692" s="8"/>
      <c r="Z692" s="8"/>
    </row>
    <row r="693" ht="16.5" customHeight="1">
      <c r="A693" s="8"/>
      <c r="B693" s="27"/>
      <c r="C693" s="27"/>
      <c r="D693" s="27"/>
      <c r="E693" s="28"/>
      <c r="F693" s="31"/>
      <c r="G693" s="28"/>
      <c r="H693" s="157"/>
      <c r="I693" s="158"/>
      <c r="J693" s="27"/>
      <c r="K693" s="28"/>
      <c r="L693" s="28"/>
      <c r="M693" s="27"/>
      <c r="N693" s="31"/>
      <c r="O693" s="31"/>
      <c r="P693" s="8"/>
      <c r="Q693" s="8"/>
      <c r="R693" s="8"/>
      <c r="S693" s="8"/>
      <c r="T693" s="8"/>
      <c r="U693" s="8"/>
      <c r="V693" s="8"/>
      <c r="W693" s="8"/>
      <c r="X693" s="8"/>
      <c r="Y693" s="8"/>
      <c r="Z693" s="8"/>
    </row>
    <row r="694" ht="16.5" customHeight="1">
      <c r="A694" s="8"/>
      <c r="B694" s="27"/>
      <c r="C694" s="27"/>
      <c r="D694" s="27"/>
      <c r="E694" s="28"/>
      <c r="F694" s="31"/>
      <c r="G694" s="28"/>
      <c r="H694" s="157"/>
      <c r="I694" s="158"/>
      <c r="J694" s="27"/>
      <c r="K694" s="28"/>
      <c r="L694" s="28"/>
      <c r="M694" s="27"/>
      <c r="N694" s="31"/>
      <c r="O694" s="31"/>
      <c r="P694" s="8"/>
      <c r="Q694" s="8"/>
      <c r="R694" s="8"/>
      <c r="S694" s="8"/>
      <c r="T694" s="8"/>
      <c r="U694" s="8"/>
      <c r="V694" s="8"/>
      <c r="W694" s="8"/>
      <c r="X694" s="8"/>
      <c r="Y694" s="8"/>
      <c r="Z694" s="8"/>
    </row>
    <row r="695" ht="16.5" customHeight="1">
      <c r="A695" s="8"/>
      <c r="B695" s="27"/>
      <c r="C695" s="27"/>
      <c r="D695" s="27"/>
      <c r="E695" s="28"/>
      <c r="F695" s="31"/>
      <c r="G695" s="28"/>
      <c r="H695" s="157"/>
      <c r="I695" s="158"/>
      <c r="J695" s="27"/>
      <c r="K695" s="28"/>
      <c r="L695" s="28"/>
      <c r="M695" s="27"/>
      <c r="N695" s="31"/>
      <c r="O695" s="31"/>
      <c r="P695" s="8"/>
      <c r="Q695" s="8"/>
      <c r="R695" s="8"/>
      <c r="S695" s="8"/>
      <c r="T695" s="8"/>
      <c r="U695" s="8"/>
      <c r="V695" s="8"/>
      <c r="W695" s="8"/>
      <c r="X695" s="8"/>
      <c r="Y695" s="8"/>
      <c r="Z695" s="8"/>
    </row>
    <row r="696" ht="16.5" customHeight="1">
      <c r="A696" s="8"/>
      <c r="B696" s="27"/>
      <c r="C696" s="27"/>
      <c r="D696" s="27"/>
      <c r="E696" s="28"/>
      <c r="F696" s="31"/>
      <c r="G696" s="28"/>
      <c r="H696" s="157"/>
      <c r="I696" s="158"/>
      <c r="J696" s="27"/>
      <c r="K696" s="28"/>
      <c r="L696" s="28"/>
      <c r="M696" s="27"/>
      <c r="N696" s="31"/>
      <c r="O696" s="31"/>
      <c r="P696" s="8"/>
      <c r="Q696" s="8"/>
      <c r="R696" s="8"/>
      <c r="S696" s="8"/>
      <c r="T696" s="8"/>
      <c r="U696" s="8"/>
      <c r="V696" s="8"/>
      <c r="W696" s="8"/>
      <c r="X696" s="8"/>
      <c r="Y696" s="8"/>
      <c r="Z696" s="8"/>
    </row>
    <row r="697" ht="16.5" customHeight="1">
      <c r="A697" s="8"/>
      <c r="B697" s="27"/>
      <c r="C697" s="27"/>
      <c r="D697" s="27"/>
      <c r="E697" s="28"/>
      <c r="F697" s="31"/>
      <c r="G697" s="28"/>
      <c r="H697" s="157"/>
      <c r="I697" s="158"/>
      <c r="J697" s="27"/>
      <c r="K697" s="28"/>
      <c r="L697" s="28"/>
      <c r="M697" s="27"/>
      <c r="N697" s="31"/>
      <c r="O697" s="31"/>
      <c r="P697" s="8"/>
      <c r="Q697" s="8"/>
      <c r="R697" s="8"/>
      <c r="S697" s="8"/>
      <c r="T697" s="8"/>
      <c r="U697" s="8"/>
      <c r="V697" s="8"/>
      <c r="W697" s="8"/>
      <c r="X697" s="8"/>
      <c r="Y697" s="8"/>
      <c r="Z697" s="8"/>
    </row>
    <row r="698" ht="16.5" customHeight="1">
      <c r="A698" s="8"/>
      <c r="B698" s="27"/>
      <c r="C698" s="27"/>
      <c r="D698" s="27"/>
      <c r="E698" s="28"/>
      <c r="F698" s="31"/>
      <c r="G698" s="28"/>
      <c r="H698" s="157"/>
      <c r="I698" s="158"/>
      <c r="J698" s="27"/>
      <c r="K698" s="28"/>
      <c r="L698" s="28"/>
      <c r="M698" s="27"/>
      <c r="N698" s="31"/>
      <c r="O698" s="31"/>
      <c r="P698" s="8"/>
      <c r="Q698" s="8"/>
      <c r="R698" s="8"/>
      <c r="S698" s="8"/>
      <c r="T698" s="8"/>
      <c r="U698" s="8"/>
      <c r="V698" s="8"/>
      <c r="W698" s="8"/>
      <c r="X698" s="8"/>
      <c r="Y698" s="8"/>
      <c r="Z698" s="8"/>
    </row>
    <row r="699" ht="16.5" customHeight="1">
      <c r="A699" s="8"/>
      <c r="B699" s="27"/>
      <c r="C699" s="27"/>
      <c r="D699" s="27"/>
      <c r="E699" s="28"/>
      <c r="F699" s="31"/>
      <c r="G699" s="28"/>
      <c r="H699" s="157"/>
      <c r="I699" s="158"/>
      <c r="J699" s="27"/>
      <c r="K699" s="28"/>
      <c r="L699" s="28"/>
      <c r="M699" s="27"/>
      <c r="N699" s="31"/>
      <c r="O699" s="31"/>
      <c r="P699" s="8"/>
      <c r="Q699" s="8"/>
      <c r="R699" s="8"/>
      <c r="S699" s="8"/>
      <c r="T699" s="8"/>
      <c r="U699" s="8"/>
      <c r="V699" s="8"/>
      <c r="W699" s="8"/>
      <c r="X699" s="8"/>
      <c r="Y699" s="8"/>
      <c r="Z699" s="8"/>
    </row>
    <row r="700" ht="16.5" customHeight="1">
      <c r="A700" s="8"/>
      <c r="B700" s="27"/>
      <c r="C700" s="27"/>
      <c r="D700" s="27"/>
      <c r="E700" s="28"/>
      <c r="F700" s="31"/>
      <c r="G700" s="28"/>
      <c r="H700" s="157"/>
      <c r="I700" s="158"/>
      <c r="J700" s="27"/>
      <c r="K700" s="28"/>
      <c r="L700" s="28"/>
      <c r="M700" s="27"/>
      <c r="N700" s="31"/>
      <c r="O700" s="31"/>
      <c r="P700" s="8"/>
      <c r="Q700" s="8"/>
      <c r="R700" s="8"/>
      <c r="S700" s="8"/>
      <c r="T700" s="8"/>
      <c r="U700" s="8"/>
      <c r="V700" s="8"/>
      <c r="W700" s="8"/>
      <c r="X700" s="8"/>
      <c r="Y700" s="8"/>
      <c r="Z700" s="8"/>
    </row>
    <row r="701" ht="16.5" customHeight="1">
      <c r="A701" s="8"/>
      <c r="B701" s="27"/>
      <c r="C701" s="27"/>
      <c r="D701" s="27"/>
      <c r="E701" s="28"/>
      <c r="F701" s="31"/>
      <c r="G701" s="28"/>
      <c r="H701" s="157"/>
      <c r="I701" s="158"/>
      <c r="J701" s="27"/>
      <c r="K701" s="28"/>
      <c r="L701" s="28"/>
      <c r="M701" s="27"/>
      <c r="N701" s="31"/>
      <c r="O701" s="31"/>
      <c r="P701" s="8"/>
      <c r="Q701" s="8"/>
      <c r="R701" s="8"/>
      <c r="S701" s="8"/>
      <c r="T701" s="8"/>
      <c r="U701" s="8"/>
      <c r="V701" s="8"/>
      <c r="W701" s="8"/>
      <c r="X701" s="8"/>
      <c r="Y701" s="8"/>
      <c r="Z701" s="8"/>
    </row>
    <row r="702" ht="16.5" customHeight="1">
      <c r="A702" s="8"/>
      <c r="B702" s="27"/>
      <c r="C702" s="27"/>
      <c r="D702" s="27"/>
      <c r="E702" s="28"/>
      <c r="F702" s="31"/>
      <c r="G702" s="28"/>
      <c r="H702" s="157"/>
      <c r="I702" s="158"/>
      <c r="J702" s="27"/>
      <c r="K702" s="28"/>
      <c r="L702" s="28"/>
      <c r="M702" s="27"/>
      <c r="N702" s="31"/>
      <c r="O702" s="31"/>
      <c r="P702" s="8"/>
      <c r="Q702" s="8"/>
      <c r="R702" s="8"/>
      <c r="S702" s="8"/>
      <c r="T702" s="8"/>
      <c r="U702" s="8"/>
      <c r="V702" s="8"/>
      <c r="W702" s="8"/>
      <c r="X702" s="8"/>
      <c r="Y702" s="8"/>
      <c r="Z702" s="8"/>
    </row>
    <row r="703" ht="16.5" customHeight="1">
      <c r="A703" s="8"/>
      <c r="B703" s="27"/>
      <c r="C703" s="27"/>
      <c r="D703" s="27"/>
      <c r="E703" s="28"/>
      <c r="F703" s="31"/>
      <c r="G703" s="28"/>
      <c r="H703" s="157"/>
      <c r="I703" s="158"/>
      <c r="J703" s="27"/>
      <c r="K703" s="28"/>
      <c r="L703" s="28"/>
      <c r="M703" s="27"/>
      <c r="N703" s="31"/>
      <c r="O703" s="31"/>
      <c r="P703" s="8"/>
      <c r="Q703" s="8"/>
      <c r="R703" s="8"/>
      <c r="S703" s="8"/>
      <c r="T703" s="8"/>
      <c r="U703" s="8"/>
      <c r="V703" s="8"/>
      <c r="W703" s="8"/>
      <c r="X703" s="8"/>
      <c r="Y703" s="8"/>
      <c r="Z703" s="8"/>
    </row>
    <row r="704" ht="16.5" customHeight="1">
      <c r="A704" s="8"/>
      <c r="B704" s="27"/>
      <c r="C704" s="27"/>
      <c r="D704" s="27"/>
      <c r="E704" s="28"/>
      <c r="F704" s="31"/>
      <c r="G704" s="28"/>
      <c r="H704" s="157"/>
      <c r="I704" s="158"/>
      <c r="J704" s="27"/>
      <c r="K704" s="28"/>
      <c r="L704" s="28"/>
      <c r="M704" s="27"/>
      <c r="N704" s="31"/>
      <c r="O704" s="31"/>
      <c r="P704" s="8"/>
      <c r="Q704" s="8"/>
      <c r="R704" s="8"/>
      <c r="S704" s="8"/>
      <c r="T704" s="8"/>
      <c r="U704" s="8"/>
      <c r="V704" s="8"/>
      <c r="W704" s="8"/>
      <c r="X704" s="8"/>
      <c r="Y704" s="8"/>
      <c r="Z704" s="8"/>
    </row>
    <row r="705" ht="16.5" customHeight="1">
      <c r="A705" s="8"/>
      <c r="B705" s="27"/>
      <c r="C705" s="27"/>
      <c r="D705" s="27"/>
      <c r="E705" s="28"/>
      <c r="F705" s="31"/>
      <c r="G705" s="28"/>
      <c r="H705" s="157"/>
      <c r="I705" s="158"/>
      <c r="J705" s="27"/>
      <c r="K705" s="28"/>
      <c r="L705" s="28"/>
      <c r="M705" s="27"/>
      <c r="N705" s="31"/>
      <c r="O705" s="31"/>
      <c r="P705" s="8"/>
      <c r="Q705" s="8"/>
      <c r="R705" s="8"/>
      <c r="S705" s="8"/>
      <c r="T705" s="8"/>
      <c r="U705" s="8"/>
      <c r="V705" s="8"/>
      <c r="W705" s="8"/>
      <c r="X705" s="8"/>
      <c r="Y705" s="8"/>
      <c r="Z705" s="8"/>
    </row>
    <row r="706" ht="16.5" customHeight="1">
      <c r="A706" s="8"/>
      <c r="B706" s="27"/>
      <c r="C706" s="27"/>
      <c r="D706" s="27"/>
      <c r="E706" s="28"/>
      <c r="F706" s="31"/>
      <c r="G706" s="28"/>
      <c r="H706" s="157"/>
      <c r="I706" s="158"/>
      <c r="J706" s="27"/>
      <c r="K706" s="28"/>
      <c r="L706" s="28"/>
      <c r="M706" s="27"/>
      <c r="N706" s="31"/>
      <c r="O706" s="31"/>
      <c r="P706" s="8"/>
      <c r="Q706" s="8"/>
      <c r="R706" s="8"/>
      <c r="S706" s="8"/>
      <c r="T706" s="8"/>
      <c r="U706" s="8"/>
      <c r="V706" s="8"/>
      <c r="W706" s="8"/>
      <c r="X706" s="8"/>
      <c r="Y706" s="8"/>
      <c r="Z706" s="8"/>
    </row>
    <row r="707" ht="16.5" customHeight="1">
      <c r="A707" s="8"/>
      <c r="B707" s="27"/>
      <c r="C707" s="27"/>
      <c r="D707" s="27"/>
      <c r="E707" s="28"/>
      <c r="F707" s="31"/>
      <c r="G707" s="28"/>
      <c r="H707" s="157"/>
      <c r="I707" s="158"/>
      <c r="J707" s="27"/>
      <c r="K707" s="28"/>
      <c r="L707" s="28"/>
      <c r="M707" s="27"/>
      <c r="N707" s="31"/>
      <c r="O707" s="31"/>
      <c r="P707" s="8"/>
      <c r="Q707" s="8"/>
      <c r="R707" s="8"/>
      <c r="S707" s="8"/>
      <c r="T707" s="8"/>
      <c r="U707" s="8"/>
      <c r="V707" s="8"/>
      <c r="W707" s="8"/>
      <c r="X707" s="8"/>
      <c r="Y707" s="8"/>
      <c r="Z707" s="8"/>
    </row>
    <row r="708" ht="16.5" customHeight="1">
      <c r="A708" s="8"/>
      <c r="B708" s="27"/>
      <c r="C708" s="27"/>
      <c r="D708" s="27"/>
      <c r="E708" s="28"/>
      <c r="F708" s="31"/>
      <c r="G708" s="28"/>
      <c r="H708" s="157"/>
      <c r="I708" s="158"/>
      <c r="J708" s="27"/>
      <c r="K708" s="28"/>
      <c r="L708" s="28"/>
      <c r="M708" s="27"/>
      <c r="N708" s="31"/>
      <c r="O708" s="31"/>
      <c r="P708" s="8"/>
      <c r="Q708" s="8"/>
      <c r="R708" s="8"/>
      <c r="S708" s="8"/>
      <c r="T708" s="8"/>
      <c r="U708" s="8"/>
      <c r="V708" s="8"/>
      <c r="W708" s="8"/>
      <c r="X708" s="8"/>
      <c r="Y708" s="8"/>
      <c r="Z708" s="8"/>
    </row>
    <row r="709" ht="16.5" customHeight="1">
      <c r="A709" s="8"/>
      <c r="B709" s="27"/>
      <c r="C709" s="27"/>
      <c r="D709" s="27"/>
      <c r="E709" s="28"/>
      <c r="F709" s="31"/>
      <c r="G709" s="28"/>
      <c r="H709" s="157"/>
      <c r="I709" s="158"/>
      <c r="J709" s="27"/>
      <c r="K709" s="28"/>
      <c r="L709" s="28"/>
      <c r="M709" s="27"/>
      <c r="N709" s="31"/>
      <c r="O709" s="31"/>
      <c r="P709" s="8"/>
      <c r="Q709" s="8"/>
      <c r="R709" s="8"/>
      <c r="S709" s="8"/>
      <c r="T709" s="8"/>
      <c r="U709" s="8"/>
      <c r="V709" s="8"/>
      <c r="W709" s="8"/>
      <c r="X709" s="8"/>
      <c r="Y709" s="8"/>
      <c r="Z709" s="8"/>
    </row>
    <row r="710" ht="16.5" customHeight="1">
      <c r="A710" s="8"/>
      <c r="B710" s="27"/>
      <c r="C710" s="27"/>
      <c r="D710" s="27"/>
      <c r="E710" s="28"/>
      <c r="F710" s="31"/>
      <c r="G710" s="28"/>
      <c r="H710" s="157"/>
      <c r="I710" s="158"/>
      <c r="J710" s="27"/>
      <c r="K710" s="28"/>
      <c r="L710" s="28"/>
      <c r="M710" s="27"/>
      <c r="N710" s="31"/>
      <c r="O710" s="31"/>
      <c r="P710" s="8"/>
      <c r="Q710" s="8"/>
      <c r="R710" s="8"/>
      <c r="S710" s="8"/>
      <c r="T710" s="8"/>
      <c r="U710" s="8"/>
      <c r="V710" s="8"/>
      <c r="W710" s="8"/>
      <c r="X710" s="8"/>
      <c r="Y710" s="8"/>
      <c r="Z710" s="8"/>
    </row>
    <row r="711" ht="16.5" customHeight="1">
      <c r="A711" s="8"/>
      <c r="B711" s="27"/>
      <c r="C711" s="27"/>
      <c r="D711" s="27"/>
      <c r="E711" s="28"/>
      <c r="F711" s="31"/>
      <c r="G711" s="28"/>
      <c r="H711" s="157"/>
      <c r="I711" s="158"/>
      <c r="J711" s="27"/>
      <c r="K711" s="28"/>
      <c r="L711" s="28"/>
      <c r="M711" s="27"/>
      <c r="N711" s="31"/>
      <c r="O711" s="31"/>
      <c r="P711" s="8"/>
      <c r="Q711" s="8"/>
      <c r="R711" s="8"/>
      <c r="S711" s="8"/>
      <c r="T711" s="8"/>
      <c r="U711" s="8"/>
      <c r="V711" s="8"/>
      <c r="W711" s="8"/>
      <c r="X711" s="8"/>
      <c r="Y711" s="8"/>
      <c r="Z711" s="8"/>
    </row>
    <row r="712" ht="16.5" customHeight="1">
      <c r="A712" s="8"/>
      <c r="B712" s="27"/>
      <c r="C712" s="27"/>
      <c r="D712" s="27"/>
      <c r="E712" s="28"/>
      <c r="F712" s="31"/>
      <c r="G712" s="28"/>
      <c r="H712" s="157"/>
      <c r="I712" s="158"/>
      <c r="J712" s="27"/>
      <c r="K712" s="28"/>
      <c r="L712" s="28"/>
      <c r="M712" s="27"/>
      <c r="N712" s="31"/>
      <c r="O712" s="31"/>
      <c r="P712" s="8"/>
      <c r="Q712" s="8"/>
      <c r="R712" s="8"/>
      <c r="S712" s="8"/>
      <c r="T712" s="8"/>
      <c r="U712" s="8"/>
      <c r="V712" s="8"/>
      <c r="W712" s="8"/>
      <c r="X712" s="8"/>
      <c r="Y712" s="8"/>
      <c r="Z712" s="8"/>
    </row>
    <row r="713" ht="16.5" customHeight="1">
      <c r="A713" s="8"/>
      <c r="B713" s="27"/>
      <c r="C713" s="27"/>
      <c r="D713" s="27"/>
      <c r="E713" s="28"/>
      <c r="F713" s="31"/>
      <c r="G713" s="28"/>
      <c r="H713" s="157"/>
      <c r="I713" s="158"/>
      <c r="J713" s="27"/>
      <c r="K713" s="28"/>
      <c r="L713" s="28"/>
      <c r="M713" s="27"/>
      <c r="N713" s="31"/>
      <c r="O713" s="31"/>
      <c r="P713" s="8"/>
      <c r="Q713" s="8"/>
      <c r="R713" s="8"/>
      <c r="S713" s="8"/>
      <c r="T713" s="8"/>
      <c r="U713" s="8"/>
      <c r="V713" s="8"/>
      <c r="W713" s="8"/>
      <c r="X713" s="8"/>
      <c r="Y713" s="8"/>
      <c r="Z713" s="8"/>
    </row>
    <row r="714" ht="16.5" customHeight="1">
      <c r="A714" s="8"/>
      <c r="B714" s="27"/>
      <c r="C714" s="27"/>
      <c r="D714" s="27"/>
      <c r="E714" s="28"/>
      <c r="F714" s="31"/>
      <c r="G714" s="28"/>
      <c r="H714" s="157"/>
      <c r="I714" s="158"/>
      <c r="J714" s="27"/>
      <c r="K714" s="28"/>
      <c r="L714" s="28"/>
      <c r="M714" s="27"/>
      <c r="N714" s="31"/>
      <c r="O714" s="31"/>
      <c r="P714" s="8"/>
      <c r="Q714" s="8"/>
      <c r="R714" s="8"/>
      <c r="S714" s="8"/>
      <c r="T714" s="8"/>
      <c r="U714" s="8"/>
      <c r="V714" s="8"/>
      <c r="W714" s="8"/>
      <c r="X714" s="8"/>
      <c r="Y714" s="8"/>
      <c r="Z714" s="8"/>
    </row>
    <row r="715" ht="16.5" customHeight="1">
      <c r="A715" s="8"/>
      <c r="B715" s="27"/>
      <c r="C715" s="27"/>
      <c r="D715" s="27"/>
      <c r="E715" s="28"/>
      <c r="F715" s="31"/>
      <c r="G715" s="28"/>
      <c r="H715" s="157"/>
      <c r="I715" s="158"/>
      <c r="J715" s="27"/>
      <c r="K715" s="28"/>
      <c r="L715" s="28"/>
      <c r="M715" s="27"/>
      <c r="N715" s="31"/>
      <c r="O715" s="31"/>
      <c r="P715" s="8"/>
      <c r="Q715" s="8"/>
      <c r="R715" s="8"/>
      <c r="S715" s="8"/>
      <c r="T715" s="8"/>
      <c r="U715" s="8"/>
      <c r="V715" s="8"/>
      <c r="W715" s="8"/>
      <c r="X715" s="8"/>
      <c r="Y715" s="8"/>
      <c r="Z715" s="8"/>
    </row>
    <row r="716" ht="16.5" customHeight="1">
      <c r="A716" s="8"/>
      <c r="B716" s="27"/>
      <c r="C716" s="27"/>
      <c r="D716" s="27"/>
      <c r="E716" s="28"/>
      <c r="F716" s="31"/>
      <c r="G716" s="28"/>
      <c r="H716" s="157"/>
      <c r="I716" s="158"/>
      <c r="J716" s="27"/>
      <c r="K716" s="28"/>
      <c r="L716" s="28"/>
      <c r="M716" s="27"/>
      <c r="N716" s="31"/>
      <c r="O716" s="31"/>
      <c r="P716" s="8"/>
      <c r="Q716" s="8"/>
      <c r="R716" s="8"/>
      <c r="S716" s="8"/>
      <c r="T716" s="8"/>
      <c r="U716" s="8"/>
      <c r="V716" s="8"/>
      <c r="W716" s="8"/>
      <c r="X716" s="8"/>
      <c r="Y716" s="8"/>
      <c r="Z716" s="8"/>
    </row>
    <row r="717" ht="16.5" customHeight="1">
      <c r="A717" s="8"/>
      <c r="B717" s="27"/>
      <c r="C717" s="27"/>
      <c r="D717" s="27"/>
      <c r="E717" s="28"/>
      <c r="F717" s="31"/>
      <c r="G717" s="28"/>
      <c r="H717" s="157"/>
      <c r="I717" s="158"/>
      <c r="J717" s="27"/>
      <c r="K717" s="28"/>
      <c r="L717" s="28"/>
      <c r="M717" s="27"/>
      <c r="N717" s="31"/>
      <c r="O717" s="31"/>
      <c r="P717" s="8"/>
      <c r="Q717" s="8"/>
      <c r="R717" s="8"/>
      <c r="S717" s="8"/>
      <c r="T717" s="8"/>
      <c r="U717" s="8"/>
      <c r="V717" s="8"/>
      <c r="W717" s="8"/>
      <c r="X717" s="8"/>
      <c r="Y717" s="8"/>
      <c r="Z717" s="8"/>
    </row>
    <row r="718" ht="16.5" customHeight="1">
      <c r="A718" s="8"/>
      <c r="B718" s="27"/>
      <c r="C718" s="27"/>
      <c r="D718" s="27"/>
      <c r="E718" s="28"/>
      <c r="F718" s="31"/>
      <c r="G718" s="28"/>
      <c r="H718" s="157"/>
      <c r="I718" s="158"/>
      <c r="J718" s="27"/>
      <c r="K718" s="28"/>
      <c r="L718" s="28"/>
      <c r="M718" s="27"/>
      <c r="N718" s="31"/>
      <c r="O718" s="31"/>
      <c r="P718" s="8"/>
      <c r="Q718" s="8"/>
      <c r="R718" s="8"/>
      <c r="S718" s="8"/>
      <c r="T718" s="8"/>
      <c r="U718" s="8"/>
      <c r="V718" s="8"/>
      <c r="W718" s="8"/>
      <c r="X718" s="8"/>
      <c r="Y718" s="8"/>
      <c r="Z718" s="8"/>
    </row>
    <row r="719" ht="16.5" customHeight="1">
      <c r="A719" s="8"/>
      <c r="B719" s="27"/>
      <c r="C719" s="27"/>
      <c r="D719" s="27"/>
      <c r="E719" s="28"/>
      <c r="F719" s="31"/>
      <c r="G719" s="28"/>
      <c r="H719" s="157"/>
      <c r="I719" s="158"/>
      <c r="J719" s="27"/>
      <c r="K719" s="28"/>
      <c r="L719" s="28"/>
      <c r="M719" s="27"/>
      <c r="N719" s="31"/>
      <c r="O719" s="31"/>
      <c r="P719" s="8"/>
      <c r="Q719" s="8"/>
      <c r="R719" s="8"/>
      <c r="S719" s="8"/>
      <c r="T719" s="8"/>
      <c r="U719" s="8"/>
      <c r="V719" s="8"/>
      <c r="W719" s="8"/>
      <c r="X719" s="8"/>
      <c r="Y719" s="8"/>
      <c r="Z719" s="8"/>
    </row>
    <row r="720" ht="16.5" customHeight="1">
      <c r="A720" s="8"/>
      <c r="B720" s="27"/>
      <c r="C720" s="27"/>
      <c r="D720" s="27"/>
      <c r="E720" s="28"/>
      <c r="F720" s="31"/>
      <c r="G720" s="28"/>
      <c r="H720" s="157"/>
      <c r="I720" s="158"/>
      <c r="J720" s="27"/>
      <c r="K720" s="28"/>
      <c r="L720" s="28"/>
      <c r="M720" s="27"/>
      <c r="N720" s="31"/>
      <c r="O720" s="31"/>
      <c r="P720" s="8"/>
      <c r="Q720" s="8"/>
      <c r="R720" s="8"/>
      <c r="S720" s="8"/>
      <c r="T720" s="8"/>
      <c r="U720" s="8"/>
      <c r="V720" s="8"/>
      <c r="W720" s="8"/>
      <c r="X720" s="8"/>
      <c r="Y720" s="8"/>
      <c r="Z720" s="8"/>
    </row>
    <row r="721" ht="16.5" customHeight="1">
      <c r="A721" s="8"/>
      <c r="B721" s="27"/>
      <c r="C721" s="27"/>
      <c r="D721" s="27"/>
      <c r="E721" s="28"/>
      <c r="F721" s="31"/>
      <c r="G721" s="28"/>
      <c r="H721" s="157"/>
      <c r="I721" s="158"/>
      <c r="J721" s="27"/>
      <c r="K721" s="28"/>
      <c r="L721" s="28"/>
      <c r="M721" s="27"/>
      <c r="N721" s="31"/>
      <c r="O721" s="31"/>
      <c r="P721" s="8"/>
      <c r="Q721" s="8"/>
      <c r="R721" s="8"/>
      <c r="S721" s="8"/>
      <c r="T721" s="8"/>
      <c r="U721" s="8"/>
      <c r="V721" s="8"/>
      <c r="W721" s="8"/>
      <c r="X721" s="8"/>
      <c r="Y721" s="8"/>
      <c r="Z721" s="8"/>
    </row>
    <row r="722" ht="16.5" customHeight="1">
      <c r="A722" s="8"/>
      <c r="B722" s="27"/>
      <c r="C722" s="27"/>
      <c r="D722" s="27"/>
      <c r="E722" s="28"/>
      <c r="F722" s="31"/>
      <c r="G722" s="28"/>
      <c r="H722" s="157"/>
      <c r="I722" s="158"/>
      <c r="J722" s="27"/>
      <c r="K722" s="28"/>
      <c r="L722" s="28"/>
      <c r="M722" s="27"/>
      <c r="N722" s="31"/>
      <c r="O722" s="31"/>
      <c r="P722" s="8"/>
      <c r="Q722" s="8"/>
      <c r="R722" s="8"/>
      <c r="S722" s="8"/>
      <c r="T722" s="8"/>
      <c r="U722" s="8"/>
      <c r="V722" s="8"/>
      <c r="W722" s="8"/>
      <c r="X722" s="8"/>
      <c r="Y722" s="8"/>
      <c r="Z722" s="8"/>
    </row>
    <row r="723" ht="16.5" customHeight="1">
      <c r="A723" s="8"/>
      <c r="B723" s="27"/>
      <c r="C723" s="27"/>
      <c r="D723" s="27"/>
      <c r="E723" s="28"/>
      <c r="F723" s="31"/>
      <c r="G723" s="28"/>
      <c r="H723" s="157"/>
      <c r="I723" s="158"/>
      <c r="J723" s="27"/>
      <c r="K723" s="28"/>
      <c r="L723" s="28"/>
      <c r="M723" s="27"/>
      <c r="N723" s="31"/>
      <c r="O723" s="31"/>
      <c r="P723" s="8"/>
      <c r="Q723" s="8"/>
      <c r="R723" s="8"/>
      <c r="S723" s="8"/>
      <c r="T723" s="8"/>
      <c r="U723" s="8"/>
      <c r="V723" s="8"/>
      <c r="W723" s="8"/>
      <c r="X723" s="8"/>
      <c r="Y723" s="8"/>
      <c r="Z723" s="8"/>
    </row>
    <row r="724" ht="16.5" customHeight="1">
      <c r="A724" s="8"/>
      <c r="B724" s="27"/>
      <c r="C724" s="27"/>
      <c r="D724" s="27"/>
      <c r="E724" s="28"/>
      <c r="F724" s="31"/>
      <c r="G724" s="28"/>
      <c r="H724" s="157"/>
      <c r="I724" s="158"/>
      <c r="J724" s="27"/>
      <c r="K724" s="28"/>
      <c r="L724" s="28"/>
      <c r="M724" s="27"/>
      <c r="N724" s="31"/>
      <c r="O724" s="31"/>
      <c r="P724" s="8"/>
      <c r="Q724" s="8"/>
      <c r="R724" s="8"/>
      <c r="S724" s="8"/>
      <c r="T724" s="8"/>
      <c r="U724" s="8"/>
      <c r="V724" s="8"/>
      <c r="W724" s="8"/>
      <c r="X724" s="8"/>
      <c r="Y724" s="8"/>
      <c r="Z724" s="8"/>
    </row>
    <row r="725" ht="16.5" customHeight="1">
      <c r="A725" s="8"/>
      <c r="B725" s="27"/>
      <c r="C725" s="27"/>
      <c r="D725" s="27"/>
      <c r="E725" s="28"/>
      <c r="F725" s="31"/>
      <c r="G725" s="28"/>
      <c r="H725" s="157"/>
      <c r="I725" s="158"/>
      <c r="J725" s="27"/>
      <c r="K725" s="28"/>
      <c r="L725" s="28"/>
      <c r="M725" s="27"/>
      <c r="N725" s="31"/>
      <c r="O725" s="31"/>
      <c r="P725" s="8"/>
      <c r="Q725" s="8"/>
      <c r="R725" s="8"/>
      <c r="S725" s="8"/>
      <c r="T725" s="8"/>
      <c r="U725" s="8"/>
      <c r="V725" s="8"/>
      <c r="W725" s="8"/>
      <c r="X725" s="8"/>
      <c r="Y725" s="8"/>
      <c r="Z725" s="8"/>
    </row>
    <row r="726" ht="16.5" customHeight="1">
      <c r="A726" s="8"/>
      <c r="B726" s="27"/>
      <c r="C726" s="27"/>
      <c r="D726" s="27"/>
      <c r="E726" s="28"/>
      <c r="F726" s="31"/>
      <c r="G726" s="28"/>
      <c r="H726" s="157"/>
      <c r="I726" s="158"/>
      <c r="J726" s="27"/>
      <c r="K726" s="28"/>
      <c r="L726" s="28"/>
      <c r="M726" s="27"/>
      <c r="N726" s="31"/>
      <c r="O726" s="31"/>
      <c r="P726" s="8"/>
      <c r="Q726" s="8"/>
      <c r="R726" s="8"/>
      <c r="S726" s="8"/>
      <c r="T726" s="8"/>
      <c r="U726" s="8"/>
      <c r="V726" s="8"/>
      <c r="W726" s="8"/>
      <c r="X726" s="8"/>
      <c r="Y726" s="8"/>
      <c r="Z726" s="8"/>
    </row>
    <row r="727" ht="16.5" customHeight="1">
      <c r="A727" s="8"/>
      <c r="B727" s="27"/>
      <c r="C727" s="27"/>
      <c r="D727" s="27"/>
      <c r="E727" s="28"/>
      <c r="F727" s="31"/>
      <c r="G727" s="28"/>
      <c r="H727" s="157"/>
      <c r="I727" s="158"/>
      <c r="J727" s="27"/>
      <c r="K727" s="28"/>
      <c r="L727" s="28"/>
      <c r="M727" s="27"/>
      <c r="N727" s="31"/>
      <c r="O727" s="31"/>
      <c r="P727" s="8"/>
      <c r="Q727" s="8"/>
      <c r="R727" s="8"/>
      <c r="S727" s="8"/>
      <c r="T727" s="8"/>
      <c r="U727" s="8"/>
      <c r="V727" s="8"/>
      <c r="W727" s="8"/>
      <c r="X727" s="8"/>
      <c r="Y727" s="8"/>
      <c r="Z727" s="8"/>
    </row>
    <row r="728" ht="16.5" customHeight="1">
      <c r="A728" s="8"/>
      <c r="B728" s="27"/>
      <c r="C728" s="27"/>
      <c r="D728" s="27"/>
      <c r="E728" s="28"/>
      <c r="F728" s="31"/>
      <c r="G728" s="28"/>
      <c r="H728" s="157"/>
      <c r="I728" s="158"/>
      <c r="J728" s="27"/>
      <c r="K728" s="28"/>
      <c r="L728" s="28"/>
      <c r="M728" s="27"/>
      <c r="N728" s="31"/>
      <c r="O728" s="31"/>
      <c r="P728" s="8"/>
      <c r="Q728" s="8"/>
      <c r="R728" s="8"/>
      <c r="S728" s="8"/>
      <c r="T728" s="8"/>
      <c r="U728" s="8"/>
      <c r="V728" s="8"/>
      <c r="W728" s="8"/>
      <c r="X728" s="8"/>
      <c r="Y728" s="8"/>
      <c r="Z728" s="8"/>
    </row>
    <row r="729" ht="16.5" customHeight="1">
      <c r="A729" s="8"/>
      <c r="B729" s="27"/>
      <c r="C729" s="27"/>
      <c r="D729" s="27"/>
      <c r="E729" s="28"/>
      <c r="F729" s="31"/>
      <c r="G729" s="28"/>
      <c r="H729" s="157"/>
      <c r="I729" s="158"/>
      <c r="J729" s="27"/>
      <c r="K729" s="28"/>
      <c r="L729" s="28"/>
      <c r="M729" s="27"/>
      <c r="N729" s="31"/>
      <c r="O729" s="31"/>
      <c r="P729" s="8"/>
      <c r="Q729" s="8"/>
      <c r="R729" s="8"/>
      <c r="S729" s="8"/>
      <c r="T729" s="8"/>
      <c r="U729" s="8"/>
      <c r="V729" s="8"/>
      <c r="W729" s="8"/>
      <c r="X729" s="8"/>
      <c r="Y729" s="8"/>
      <c r="Z729" s="8"/>
    </row>
    <row r="730" ht="16.5" customHeight="1">
      <c r="A730" s="8"/>
      <c r="B730" s="27"/>
      <c r="C730" s="27"/>
      <c r="D730" s="27"/>
      <c r="E730" s="28"/>
      <c r="F730" s="31"/>
      <c r="G730" s="28"/>
      <c r="H730" s="157"/>
      <c r="I730" s="158"/>
      <c r="J730" s="27"/>
      <c r="K730" s="28"/>
      <c r="L730" s="28"/>
      <c r="M730" s="27"/>
      <c r="N730" s="31"/>
      <c r="O730" s="31"/>
      <c r="P730" s="8"/>
      <c r="Q730" s="8"/>
      <c r="R730" s="8"/>
      <c r="S730" s="8"/>
      <c r="T730" s="8"/>
      <c r="U730" s="8"/>
      <c r="V730" s="8"/>
      <c r="W730" s="8"/>
      <c r="X730" s="8"/>
      <c r="Y730" s="8"/>
      <c r="Z730" s="8"/>
    </row>
    <row r="731" ht="16.5" customHeight="1">
      <c r="A731" s="8"/>
      <c r="B731" s="27"/>
      <c r="C731" s="27"/>
      <c r="D731" s="27"/>
      <c r="E731" s="28"/>
      <c r="F731" s="31"/>
      <c r="G731" s="28"/>
      <c r="H731" s="157"/>
      <c r="I731" s="158"/>
      <c r="J731" s="27"/>
      <c r="K731" s="28"/>
      <c r="L731" s="28"/>
      <c r="M731" s="27"/>
      <c r="N731" s="31"/>
      <c r="O731" s="31"/>
      <c r="P731" s="8"/>
      <c r="Q731" s="8"/>
      <c r="R731" s="8"/>
      <c r="S731" s="8"/>
      <c r="T731" s="8"/>
      <c r="U731" s="8"/>
      <c r="V731" s="8"/>
      <c r="W731" s="8"/>
      <c r="X731" s="8"/>
      <c r="Y731" s="8"/>
      <c r="Z731" s="8"/>
    </row>
    <row r="732" ht="16.5" customHeight="1">
      <c r="A732" s="8"/>
      <c r="B732" s="27"/>
      <c r="C732" s="27"/>
      <c r="D732" s="27"/>
      <c r="E732" s="28"/>
      <c r="F732" s="31"/>
      <c r="G732" s="28"/>
      <c r="H732" s="157"/>
      <c r="I732" s="158"/>
      <c r="J732" s="27"/>
      <c r="K732" s="28"/>
      <c r="L732" s="28"/>
      <c r="M732" s="27"/>
      <c r="N732" s="31"/>
      <c r="O732" s="31"/>
      <c r="P732" s="8"/>
      <c r="Q732" s="8"/>
      <c r="R732" s="8"/>
      <c r="S732" s="8"/>
      <c r="T732" s="8"/>
      <c r="U732" s="8"/>
      <c r="V732" s="8"/>
      <c r="W732" s="8"/>
      <c r="X732" s="8"/>
      <c r="Y732" s="8"/>
      <c r="Z732" s="8"/>
    </row>
    <row r="733" ht="16.5" customHeight="1">
      <c r="A733" s="8"/>
      <c r="B733" s="27"/>
      <c r="C733" s="27"/>
      <c r="D733" s="27"/>
      <c r="E733" s="28"/>
      <c r="F733" s="31"/>
      <c r="G733" s="28"/>
      <c r="H733" s="157"/>
      <c r="I733" s="158"/>
      <c r="J733" s="27"/>
      <c r="K733" s="28"/>
      <c r="L733" s="28"/>
      <c r="M733" s="27"/>
      <c r="N733" s="31"/>
      <c r="O733" s="31"/>
      <c r="P733" s="8"/>
      <c r="Q733" s="8"/>
      <c r="R733" s="8"/>
      <c r="S733" s="8"/>
      <c r="T733" s="8"/>
      <c r="U733" s="8"/>
      <c r="V733" s="8"/>
      <c r="W733" s="8"/>
      <c r="X733" s="8"/>
      <c r="Y733" s="8"/>
      <c r="Z733" s="8"/>
    </row>
    <row r="734" ht="16.5" customHeight="1">
      <c r="A734" s="8"/>
      <c r="B734" s="27"/>
      <c r="C734" s="27"/>
      <c r="D734" s="27"/>
      <c r="E734" s="28"/>
      <c r="F734" s="31"/>
      <c r="G734" s="28"/>
      <c r="H734" s="157"/>
      <c r="I734" s="158"/>
      <c r="J734" s="27"/>
      <c r="K734" s="28"/>
      <c r="L734" s="28"/>
      <c r="M734" s="27"/>
      <c r="N734" s="31"/>
      <c r="O734" s="31"/>
      <c r="P734" s="8"/>
      <c r="Q734" s="8"/>
      <c r="R734" s="8"/>
      <c r="S734" s="8"/>
      <c r="T734" s="8"/>
      <c r="U734" s="8"/>
      <c r="V734" s="8"/>
      <c r="W734" s="8"/>
      <c r="X734" s="8"/>
      <c r="Y734" s="8"/>
      <c r="Z734" s="8"/>
    </row>
    <row r="735" ht="16.5" customHeight="1">
      <c r="A735" s="8"/>
      <c r="B735" s="27"/>
      <c r="C735" s="27"/>
      <c r="D735" s="27"/>
      <c r="E735" s="28"/>
      <c r="F735" s="31"/>
      <c r="G735" s="28"/>
      <c r="H735" s="157"/>
      <c r="I735" s="158"/>
      <c r="J735" s="27"/>
      <c r="K735" s="28"/>
      <c r="L735" s="28"/>
      <c r="M735" s="27"/>
      <c r="N735" s="31"/>
      <c r="O735" s="31"/>
      <c r="P735" s="8"/>
      <c r="Q735" s="8"/>
      <c r="R735" s="8"/>
      <c r="S735" s="8"/>
      <c r="T735" s="8"/>
      <c r="U735" s="8"/>
      <c r="V735" s="8"/>
      <c r="W735" s="8"/>
      <c r="X735" s="8"/>
      <c r="Y735" s="8"/>
      <c r="Z735" s="8"/>
    </row>
    <row r="736" ht="16.5" customHeight="1">
      <c r="A736" s="8"/>
      <c r="B736" s="27"/>
      <c r="C736" s="27"/>
      <c r="D736" s="27"/>
      <c r="E736" s="28"/>
      <c r="F736" s="31"/>
      <c r="G736" s="28"/>
      <c r="H736" s="157"/>
      <c r="I736" s="158"/>
      <c r="J736" s="27"/>
      <c r="K736" s="28"/>
      <c r="L736" s="28"/>
      <c r="M736" s="27"/>
      <c r="N736" s="31"/>
      <c r="O736" s="31"/>
      <c r="P736" s="8"/>
      <c r="Q736" s="8"/>
      <c r="R736" s="8"/>
      <c r="S736" s="8"/>
      <c r="T736" s="8"/>
      <c r="U736" s="8"/>
      <c r="V736" s="8"/>
      <c r="W736" s="8"/>
      <c r="X736" s="8"/>
      <c r="Y736" s="8"/>
      <c r="Z736" s="8"/>
    </row>
    <row r="737" ht="16.5" customHeight="1">
      <c r="A737" s="8"/>
      <c r="B737" s="27"/>
      <c r="C737" s="27"/>
      <c r="D737" s="27"/>
      <c r="E737" s="28"/>
      <c r="F737" s="31"/>
      <c r="G737" s="28"/>
      <c r="H737" s="157"/>
      <c r="I737" s="158"/>
      <c r="J737" s="27"/>
      <c r="K737" s="28"/>
      <c r="L737" s="28"/>
      <c r="M737" s="27"/>
      <c r="N737" s="31"/>
      <c r="O737" s="31"/>
      <c r="P737" s="8"/>
      <c r="Q737" s="8"/>
      <c r="R737" s="8"/>
      <c r="S737" s="8"/>
      <c r="T737" s="8"/>
      <c r="U737" s="8"/>
      <c r="V737" s="8"/>
      <c r="W737" s="8"/>
      <c r="X737" s="8"/>
      <c r="Y737" s="8"/>
      <c r="Z737" s="8"/>
    </row>
    <row r="738" ht="16.5" customHeight="1">
      <c r="A738" s="8"/>
      <c r="B738" s="27"/>
      <c r="C738" s="27"/>
      <c r="D738" s="27"/>
      <c r="E738" s="28"/>
      <c r="F738" s="31"/>
      <c r="G738" s="28"/>
      <c r="H738" s="157"/>
      <c r="I738" s="158"/>
      <c r="J738" s="27"/>
      <c r="K738" s="28"/>
      <c r="L738" s="28"/>
      <c r="M738" s="27"/>
      <c r="N738" s="31"/>
      <c r="O738" s="31"/>
      <c r="P738" s="8"/>
      <c r="Q738" s="8"/>
      <c r="R738" s="8"/>
      <c r="S738" s="8"/>
      <c r="T738" s="8"/>
      <c r="U738" s="8"/>
      <c r="V738" s="8"/>
      <c r="W738" s="8"/>
      <c r="X738" s="8"/>
      <c r="Y738" s="8"/>
      <c r="Z738" s="8"/>
    </row>
    <row r="739" ht="16.5" customHeight="1">
      <c r="A739" s="8"/>
      <c r="B739" s="27"/>
      <c r="C739" s="27"/>
      <c r="D739" s="27"/>
      <c r="E739" s="28"/>
      <c r="F739" s="31"/>
      <c r="G739" s="28"/>
      <c r="H739" s="157"/>
      <c r="I739" s="158"/>
      <c r="J739" s="27"/>
      <c r="K739" s="28"/>
      <c r="L739" s="28"/>
      <c r="M739" s="27"/>
      <c r="N739" s="31"/>
      <c r="O739" s="31"/>
      <c r="P739" s="8"/>
      <c r="Q739" s="8"/>
      <c r="R739" s="8"/>
      <c r="S739" s="8"/>
      <c r="T739" s="8"/>
      <c r="U739" s="8"/>
      <c r="V739" s="8"/>
      <c r="W739" s="8"/>
      <c r="X739" s="8"/>
      <c r="Y739" s="8"/>
      <c r="Z739" s="8"/>
    </row>
    <row r="740" ht="16.5" customHeight="1">
      <c r="A740" s="8"/>
      <c r="B740" s="27"/>
      <c r="C740" s="27"/>
      <c r="D740" s="27"/>
      <c r="E740" s="28"/>
      <c r="F740" s="31"/>
      <c r="G740" s="28"/>
      <c r="H740" s="157"/>
      <c r="I740" s="158"/>
      <c r="J740" s="27"/>
      <c r="K740" s="28"/>
      <c r="L740" s="28"/>
      <c r="M740" s="27"/>
      <c r="N740" s="31"/>
      <c r="O740" s="31"/>
      <c r="P740" s="8"/>
      <c r="Q740" s="8"/>
      <c r="R740" s="8"/>
      <c r="S740" s="8"/>
      <c r="T740" s="8"/>
      <c r="U740" s="8"/>
      <c r="V740" s="8"/>
      <c r="W740" s="8"/>
      <c r="X740" s="8"/>
      <c r="Y740" s="8"/>
      <c r="Z740" s="8"/>
    </row>
    <row r="741" ht="16.5" customHeight="1">
      <c r="A741" s="8"/>
      <c r="B741" s="27"/>
      <c r="C741" s="27"/>
      <c r="D741" s="27"/>
      <c r="E741" s="28"/>
      <c r="F741" s="31"/>
      <c r="G741" s="28"/>
      <c r="H741" s="157"/>
      <c r="I741" s="158"/>
      <c r="J741" s="27"/>
      <c r="K741" s="28"/>
      <c r="L741" s="28"/>
      <c r="M741" s="27"/>
      <c r="N741" s="31"/>
      <c r="O741" s="31"/>
      <c r="P741" s="8"/>
      <c r="Q741" s="8"/>
      <c r="R741" s="8"/>
      <c r="S741" s="8"/>
      <c r="T741" s="8"/>
      <c r="U741" s="8"/>
      <c r="V741" s="8"/>
      <c r="W741" s="8"/>
      <c r="X741" s="8"/>
      <c r="Y741" s="8"/>
      <c r="Z741" s="8"/>
    </row>
    <row r="742" ht="16.5" customHeight="1">
      <c r="A742" s="8"/>
      <c r="B742" s="27"/>
      <c r="C742" s="27"/>
      <c r="D742" s="27"/>
      <c r="E742" s="28"/>
      <c r="F742" s="31"/>
      <c r="G742" s="28"/>
      <c r="H742" s="157"/>
      <c r="I742" s="158"/>
      <c r="J742" s="27"/>
      <c r="K742" s="28"/>
      <c r="L742" s="28"/>
      <c r="M742" s="27"/>
      <c r="N742" s="31"/>
      <c r="O742" s="31"/>
      <c r="P742" s="8"/>
      <c r="Q742" s="8"/>
      <c r="R742" s="8"/>
      <c r="S742" s="8"/>
      <c r="T742" s="8"/>
      <c r="U742" s="8"/>
      <c r="V742" s="8"/>
      <c r="W742" s="8"/>
      <c r="X742" s="8"/>
      <c r="Y742" s="8"/>
      <c r="Z742" s="8"/>
    </row>
    <row r="743" ht="16.5" customHeight="1">
      <c r="A743" s="8"/>
      <c r="B743" s="27"/>
      <c r="C743" s="27"/>
      <c r="D743" s="27"/>
      <c r="E743" s="28"/>
      <c r="F743" s="31"/>
      <c r="G743" s="28"/>
      <c r="H743" s="157"/>
      <c r="I743" s="158"/>
      <c r="J743" s="27"/>
      <c r="K743" s="28"/>
      <c r="L743" s="28"/>
      <c r="M743" s="27"/>
      <c r="N743" s="31"/>
      <c r="O743" s="31"/>
      <c r="P743" s="8"/>
      <c r="Q743" s="8"/>
      <c r="R743" s="8"/>
      <c r="S743" s="8"/>
      <c r="T743" s="8"/>
      <c r="U743" s="8"/>
      <c r="V743" s="8"/>
      <c r="W743" s="8"/>
      <c r="X743" s="8"/>
      <c r="Y743" s="8"/>
      <c r="Z743" s="8"/>
    </row>
    <row r="744" ht="16.5" customHeight="1">
      <c r="A744" s="8"/>
      <c r="B744" s="27"/>
      <c r="C744" s="27"/>
      <c r="D744" s="27"/>
      <c r="E744" s="28"/>
      <c r="F744" s="31"/>
      <c r="G744" s="28"/>
      <c r="H744" s="157"/>
      <c r="I744" s="158"/>
      <c r="J744" s="27"/>
      <c r="K744" s="28"/>
      <c r="L744" s="28"/>
      <c r="M744" s="27"/>
      <c r="N744" s="31"/>
      <c r="O744" s="31"/>
      <c r="P744" s="8"/>
      <c r="Q744" s="8"/>
      <c r="R744" s="8"/>
      <c r="S744" s="8"/>
      <c r="T744" s="8"/>
      <c r="U744" s="8"/>
      <c r="V744" s="8"/>
      <c r="W744" s="8"/>
      <c r="X744" s="8"/>
      <c r="Y744" s="8"/>
      <c r="Z744" s="8"/>
    </row>
    <row r="745" ht="16.5" customHeight="1">
      <c r="A745" s="8"/>
      <c r="B745" s="27"/>
      <c r="C745" s="27"/>
      <c r="D745" s="27"/>
      <c r="E745" s="28"/>
      <c r="F745" s="31"/>
      <c r="G745" s="28"/>
      <c r="H745" s="157"/>
      <c r="I745" s="158"/>
      <c r="J745" s="27"/>
      <c r="K745" s="28"/>
      <c r="L745" s="28"/>
      <c r="M745" s="27"/>
      <c r="N745" s="31"/>
      <c r="O745" s="31"/>
      <c r="P745" s="8"/>
      <c r="Q745" s="8"/>
      <c r="R745" s="8"/>
      <c r="S745" s="8"/>
      <c r="T745" s="8"/>
      <c r="U745" s="8"/>
      <c r="V745" s="8"/>
      <c r="W745" s="8"/>
      <c r="X745" s="8"/>
      <c r="Y745" s="8"/>
      <c r="Z745" s="8"/>
    </row>
    <row r="746" ht="16.5" customHeight="1">
      <c r="A746" s="8"/>
      <c r="B746" s="27"/>
      <c r="C746" s="27"/>
      <c r="D746" s="27"/>
      <c r="E746" s="28"/>
      <c r="F746" s="31"/>
      <c r="G746" s="28"/>
      <c r="H746" s="157"/>
      <c r="I746" s="158"/>
      <c r="J746" s="27"/>
      <c r="K746" s="28"/>
      <c r="L746" s="28"/>
      <c r="M746" s="27"/>
      <c r="N746" s="31"/>
      <c r="O746" s="31"/>
      <c r="P746" s="8"/>
      <c r="Q746" s="8"/>
      <c r="R746" s="8"/>
      <c r="S746" s="8"/>
      <c r="T746" s="8"/>
      <c r="U746" s="8"/>
      <c r="V746" s="8"/>
      <c r="W746" s="8"/>
      <c r="X746" s="8"/>
      <c r="Y746" s="8"/>
      <c r="Z746" s="8"/>
    </row>
    <row r="747" ht="16.5" customHeight="1">
      <c r="A747" s="8"/>
      <c r="B747" s="27"/>
      <c r="C747" s="27"/>
      <c r="D747" s="27"/>
      <c r="E747" s="28"/>
      <c r="F747" s="31"/>
      <c r="G747" s="28"/>
      <c r="H747" s="157"/>
      <c r="I747" s="158"/>
      <c r="J747" s="27"/>
      <c r="K747" s="28"/>
      <c r="L747" s="28"/>
      <c r="M747" s="27"/>
      <c r="N747" s="31"/>
      <c r="O747" s="31"/>
      <c r="P747" s="8"/>
      <c r="Q747" s="8"/>
      <c r="R747" s="8"/>
      <c r="S747" s="8"/>
      <c r="T747" s="8"/>
      <c r="U747" s="8"/>
      <c r="V747" s="8"/>
      <c r="W747" s="8"/>
      <c r="X747" s="8"/>
      <c r="Y747" s="8"/>
      <c r="Z747" s="8"/>
    </row>
    <row r="748" ht="16.5" customHeight="1">
      <c r="A748" s="8"/>
      <c r="B748" s="27"/>
      <c r="C748" s="27"/>
      <c r="D748" s="27"/>
      <c r="E748" s="28"/>
      <c r="F748" s="31"/>
      <c r="G748" s="28"/>
      <c r="H748" s="157"/>
      <c r="I748" s="158"/>
      <c r="J748" s="27"/>
      <c r="K748" s="28"/>
      <c r="L748" s="28"/>
      <c r="M748" s="27"/>
      <c r="N748" s="31"/>
      <c r="O748" s="31"/>
      <c r="P748" s="8"/>
      <c r="Q748" s="8"/>
      <c r="R748" s="8"/>
      <c r="S748" s="8"/>
      <c r="T748" s="8"/>
      <c r="U748" s="8"/>
      <c r="V748" s="8"/>
      <c r="W748" s="8"/>
      <c r="X748" s="8"/>
      <c r="Y748" s="8"/>
      <c r="Z748" s="8"/>
    </row>
    <row r="749" ht="16.5" customHeight="1">
      <c r="A749" s="8"/>
      <c r="B749" s="27"/>
      <c r="C749" s="27"/>
      <c r="D749" s="27"/>
      <c r="E749" s="28"/>
      <c r="F749" s="31"/>
      <c r="G749" s="28"/>
      <c r="H749" s="157"/>
      <c r="I749" s="158"/>
      <c r="J749" s="27"/>
      <c r="K749" s="28"/>
      <c r="L749" s="28"/>
      <c r="M749" s="27"/>
      <c r="N749" s="31"/>
      <c r="O749" s="31"/>
      <c r="P749" s="8"/>
      <c r="Q749" s="8"/>
      <c r="R749" s="8"/>
      <c r="S749" s="8"/>
      <c r="T749" s="8"/>
      <c r="U749" s="8"/>
      <c r="V749" s="8"/>
      <c r="W749" s="8"/>
      <c r="X749" s="8"/>
      <c r="Y749" s="8"/>
      <c r="Z749" s="8"/>
    </row>
    <row r="750" ht="16.5" customHeight="1">
      <c r="A750" s="8"/>
      <c r="B750" s="27"/>
      <c r="C750" s="27"/>
      <c r="D750" s="27"/>
      <c r="E750" s="28"/>
      <c r="F750" s="31"/>
      <c r="G750" s="28"/>
      <c r="H750" s="157"/>
      <c r="I750" s="158"/>
      <c r="J750" s="27"/>
      <c r="K750" s="28"/>
      <c r="L750" s="28"/>
      <c r="M750" s="27"/>
      <c r="N750" s="31"/>
      <c r="O750" s="31"/>
      <c r="P750" s="8"/>
      <c r="Q750" s="8"/>
      <c r="R750" s="8"/>
      <c r="S750" s="8"/>
      <c r="T750" s="8"/>
      <c r="U750" s="8"/>
      <c r="V750" s="8"/>
      <c r="W750" s="8"/>
      <c r="X750" s="8"/>
      <c r="Y750" s="8"/>
      <c r="Z750" s="8"/>
    </row>
    <row r="751" ht="16.5" customHeight="1">
      <c r="A751" s="8"/>
      <c r="B751" s="27"/>
      <c r="C751" s="27"/>
      <c r="D751" s="27"/>
      <c r="E751" s="28"/>
      <c r="F751" s="31"/>
      <c r="G751" s="28"/>
      <c r="H751" s="157"/>
      <c r="I751" s="158"/>
      <c r="J751" s="27"/>
      <c r="K751" s="28"/>
      <c r="L751" s="28"/>
      <c r="M751" s="27"/>
      <c r="N751" s="31"/>
      <c r="O751" s="31"/>
      <c r="P751" s="8"/>
      <c r="Q751" s="8"/>
      <c r="R751" s="8"/>
      <c r="S751" s="8"/>
      <c r="T751" s="8"/>
      <c r="U751" s="8"/>
      <c r="V751" s="8"/>
      <c r="W751" s="8"/>
      <c r="X751" s="8"/>
      <c r="Y751" s="8"/>
      <c r="Z751" s="8"/>
    </row>
    <row r="752" ht="16.5" customHeight="1">
      <c r="A752" s="8"/>
      <c r="B752" s="27"/>
      <c r="C752" s="27"/>
      <c r="D752" s="27"/>
      <c r="E752" s="28"/>
      <c r="F752" s="31"/>
      <c r="G752" s="28"/>
      <c r="H752" s="157"/>
      <c r="I752" s="158"/>
      <c r="J752" s="27"/>
      <c r="K752" s="28"/>
      <c r="L752" s="28"/>
      <c r="M752" s="27"/>
      <c r="N752" s="31"/>
      <c r="O752" s="31"/>
      <c r="P752" s="8"/>
      <c r="Q752" s="8"/>
      <c r="R752" s="8"/>
      <c r="S752" s="8"/>
      <c r="T752" s="8"/>
      <c r="U752" s="8"/>
      <c r="V752" s="8"/>
      <c r="W752" s="8"/>
      <c r="X752" s="8"/>
      <c r="Y752" s="8"/>
      <c r="Z752" s="8"/>
    </row>
    <row r="753" ht="16.5" customHeight="1">
      <c r="A753" s="8"/>
      <c r="B753" s="27"/>
      <c r="C753" s="27"/>
      <c r="D753" s="27"/>
      <c r="E753" s="28"/>
      <c r="F753" s="31"/>
      <c r="G753" s="28"/>
      <c r="H753" s="157"/>
      <c r="I753" s="158"/>
      <c r="J753" s="27"/>
      <c r="K753" s="28"/>
      <c r="L753" s="28"/>
      <c r="M753" s="27"/>
      <c r="N753" s="31"/>
      <c r="O753" s="31"/>
      <c r="P753" s="8"/>
      <c r="Q753" s="8"/>
      <c r="R753" s="8"/>
      <c r="S753" s="8"/>
      <c r="T753" s="8"/>
      <c r="U753" s="8"/>
      <c r="V753" s="8"/>
      <c r="W753" s="8"/>
      <c r="X753" s="8"/>
      <c r="Y753" s="8"/>
      <c r="Z753" s="8"/>
    </row>
    <row r="754" ht="16.5" customHeight="1">
      <c r="A754" s="8"/>
      <c r="B754" s="27"/>
      <c r="C754" s="27"/>
      <c r="D754" s="27"/>
      <c r="E754" s="28"/>
      <c r="F754" s="31"/>
      <c r="G754" s="28"/>
      <c r="H754" s="157"/>
      <c r="I754" s="158"/>
      <c r="J754" s="27"/>
      <c r="K754" s="28"/>
      <c r="L754" s="28"/>
      <c r="M754" s="27"/>
      <c r="N754" s="31"/>
      <c r="O754" s="31"/>
      <c r="P754" s="8"/>
      <c r="Q754" s="8"/>
      <c r="R754" s="8"/>
      <c r="S754" s="8"/>
      <c r="T754" s="8"/>
      <c r="U754" s="8"/>
      <c r="V754" s="8"/>
      <c r="W754" s="8"/>
      <c r="X754" s="8"/>
      <c r="Y754" s="8"/>
      <c r="Z754" s="8"/>
    </row>
    <row r="755" ht="16.5" customHeight="1">
      <c r="A755" s="8"/>
      <c r="B755" s="27"/>
      <c r="C755" s="27"/>
      <c r="D755" s="27"/>
      <c r="E755" s="28"/>
      <c r="F755" s="31"/>
      <c r="G755" s="28"/>
      <c r="H755" s="157"/>
      <c r="I755" s="158"/>
      <c r="J755" s="27"/>
      <c r="K755" s="28"/>
      <c r="L755" s="28"/>
      <c r="M755" s="27"/>
      <c r="N755" s="31"/>
      <c r="O755" s="31"/>
      <c r="P755" s="8"/>
      <c r="Q755" s="8"/>
      <c r="R755" s="8"/>
      <c r="S755" s="8"/>
      <c r="T755" s="8"/>
      <c r="U755" s="8"/>
      <c r="V755" s="8"/>
      <c r="W755" s="8"/>
      <c r="X755" s="8"/>
      <c r="Y755" s="8"/>
      <c r="Z755" s="8"/>
    </row>
    <row r="756" ht="16.5" customHeight="1">
      <c r="A756" s="8"/>
      <c r="B756" s="27"/>
      <c r="C756" s="27"/>
      <c r="D756" s="27"/>
      <c r="E756" s="28"/>
      <c r="F756" s="31"/>
      <c r="G756" s="28"/>
      <c r="H756" s="157"/>
      <c r="I756" s="158"/>
      <c r="J756" s="27"/>
      <c r="K756" s="28"/>
      <c r="L756" s="28"/>
      <c r="M756" s="27"/>
      <c r="N756" s="31"/>
      <c r="O756" s="31"/>
      <c r="P756" s="8"/>
      <c r="Q756" s="8"/>
      <c r="R756" s="8"/>
      <c r="S756" s="8"/>
      <c r="T756" s="8"/>
      <c r="U756" s="8"/>
      <c r="V756" s="8"/>
      <c r="W756" s="8"/>
      <c r="X756" s="8"/>
      <c r="Y756" s="8"/>
      <c r="Z756" s="8"/>
    </row>
    <row r="757" ht="16.5" customHeight="1">
      <c r="A757" s="8"/>
      <c r="B757" s="27"/>
      <c r="C757" s="27"/>
      <c r="D757" s="27"/>
      <c r="E757" s="28"/>
      <c r="F757" s="31"/>
      <c r="G757" s="28"/>
      <c r="H757" s="157"/>
      <c r="I757" s="158"/>
      <c r="J757" s="27"/>
      <c r="K757" s="28"/>
      <c r="L757" s="28"/>
      <c r="M757" s="27"/>
      <c r="N757" s="31"/>
      <c r="O757" s="31"/>
      <c r="P757" s="8"/>
      <c r="Q757" s="8"/>
      <c r="R757" s="8"/>
      <c r="S757" s="8"/>
      <c r="T757" s="8"/>
      <c r="U757" s="8"/>
      <c r="V757" s="8"/>
      <c r="W757" s="8"/>
      <c r="X757" s="8"/>
      <c r="Y757" s="8"/>
      <c r="Z757" s="8"/>
    </row>
    <row r="758" ht="16.5" customHeight="1">
      <c r="A758" s="8"/>
      <c r="B758" s="27"/>
      <c r="C758" s="27"/>
      <c r="D758" s="27"/>
      <c r="E758" s="28"/>
      <c r="F758" s="31"/>
      <c r="G758" s="28"/>
      <c r="H758" s="157"/>
      <c r="I758" s="158"/>
      <c r="J758" s="27"/>
      <c r="K758" s="28"/>
      <c r="L758" s="28"/>
      <c r="M758" s="27"/>
      <c r="N758" s="31"/>
      <c r="O758" s="31"/>
      <c r="P758" s="8"/>
      <c r="Q758" s="8"/>
      <c r="R758" s="8"/>
      <c r="S758" s="8"/>
      <c r="T758" s="8"/>
      <c r="U758" s="8"/>
      <c r="V758" s="8"/>
      <c r="W758" s="8"/>
      <c r="X758" s="8"/>
      <c r="Y758" s="8"/>
      <c r="Z758" s="8"/>
    </row>
    <row r="759" ht="16.5" customHeight="1">
      <c r="A759" s="8"/>
      <c r="B759" s="27"/>
      <c r="C759" s="27"/>
      <c r="D759" s="27"/>
      <c r="E759" s="28"/>
      <c r="F759" s="31"/>
      <c r="G759" s="28"/>
      <c r="H759" s="157"/>
      <c r="I759" s="158"/>
      <c r="J759" s="27"/>
      <c r="K759" s="28"/>
      <c r="L759" s="28"/>
      <c r="M759" s="27"/>
      <c r="N759" s="31"/>
      <c r="O759" s="31"/>
      <c r="P759" s="8"/>
      <c r="Q759" s="8"/>
      <c r="R759" s="8"/>
      <c r="S759" s="8"/>
      <c r="T759" s="8"/>
      <c r="U759" s="8"/>
      <c r="V759" s="8"/>
      <c r="W759" s="8"/>
      <c r="X759" s="8"/>
      <c r="Y759" s="8"/>
      <c r="Z759" s="8"/>
    </row>
    <row r="760" ht="16.5" customHeight="1">
      <c r="A760" s="8"/>
      <c r="B760" s="27"/>
      <c r="C760" s="27"/>
      <c r="D760" s="27"/>
      <c r="E760" s="28"/>
      <c r="F760" s="31"/>
      <c r="G760" s="28"/>
      <c r="H760" s="157"/>
      <c r="I760" s="158"/>
      <c r="J760" s="27"/>
      <c r="K760" s="28"/>
      <c r="L760" s="28"/>
      <c r="M760" s="27"/>
      <c r="N760" s="31"/>
      <c r="O760" s="31"/>
      <c r="P760" s="8"/>
      <c r="Q760" s="8"/>
      <c r="R760" s="8"/>
      <c r="S760" s="8"/>
      <c r="T760" s="8"/>
      <c r="U760" s="8"/>
      <c r="V760" s="8"/>
      <c r="W760" s="8"/>
      <c r="X760" s="8"/>
      <c r="Y760" s="8"/>
      <c r="Z760" s="8"/>
    </row>
    <row r="761" ht="16.5" customHeight="1">
      <c r="A761" s="8"/>
      <c r="B761" s="27"/>
      <c r="C761" s="27"/>
      <c r="D761" s="27"/>
      <c r="E761" s="28"/>
      <c r="F761" s="31"/>
      <c r="G761" s="28"/>
      <c r="H761" s="157"/>
      <c r="I761" s="158"/>
      <c r="J761" s="27"/>
      <c r="K761" s="28"/>
      <c r="L761" s="28"/>
      <c r="M761" s="27"/>
      <c r="N761" s="31"/>
      <c r="O761" s="31"/>
      <c r="P761" s="8"/>
      <c r="Q761" s="8"/>
      <c r="R761" s="8"/>
      <c r="S761" s="8"/>
      <c r="T761" s="8"/>
      <c r="U761" s="8"/>
      <c r="V761" s="8"/>
      <c r="W761" s="8"/>
      <c r="X761" s="8"/>
      <c r="Y761" s="8"/>
      <c r="Z761" s="8"/>
    </row>
    <row r="762" ht="16.5" customHeight="1">
      <c r="A762" s="8"/>
      <c r="B762" s="27"/>
      <c r="C762" s="27"/>
      <c r="D762" s="27"/>
      <c r="E762" s="28"/>
      <c r="F762" s="31"/>
      <c r="G762" s="28"/>
      <c r="H762" s="157"/>
      <c r="I762" s="158"/>
      <c r="J762" s="27"/>
      <c r="K762" s="28"/>
      <c r="L762" s="28"/>
      <c r="M762" s="27"/>
      <c r="N762" s="31"/>
      <c r="O762" s="31"/>
      <c r="P762" s="8"/>
      <c r="Q762" s="8"/>
      <c r="R762" s="8"/>
      <c r="S762" s="8"/>
      <c r="T762" s="8"/>
      <c r="U762" s="8"/>
      <c r="V762" s="8"/>
      <c r="W762" s="8"/>
      <c r="X762" s="8"/>
      <c r="Y762" s="8"/>
      <c r="Z762" s="8"/>
    </row>
    <row r="763" ht="16.5" customHeight="1">
      <c r="A763" s="8"/>
      <c r="B763" s="27"/>
      <c r="C763" s="27"/>
      <c r="D763" s="27"/>
      <c r="E763" s="28"/>
      <c r="F763" s="31"/>
      <c r="G763" s="28"/>
      <c r="H763" s="157"/>
      <c r="I763" s="158"/>
      <c r="J763" s="27"/>
      <c r="K763" s="28"/>
      <c r="L763" s="28"/>
      <c r="M763" s="27"/>
      <c r="N763" s="31"/>
      <c r="O763" s="31"/>
      <c r="P763" s="8"/>
      <c r="Q763" s="8"/>
      <c r="R763" s="8"/>
      <c r="S763" s="8"/>
      <c r="T763" s="8"/>
      <c r="U763" s="8"/>
      <c r="V763" s="8"/>
      <c r="W763" s="8"/>
      <c r="X763" s="8"/>
      <c r="Y763" s="8"/>
      <c r="Z763" s="8"/>
    </row>
    <row r="764" ht="16.5" customHeight="1">
      <c r="A764" s="8"/>
      <c r="B764" s="27"/>
      <c r="C764" s="27"/>
      <c r="D764" s="27"/>
      <c r="E764" s="28"/>
      <c r="F764" s="31"/>
      <c r="G764" s="28"/>
      <c r="H764" s="157"/>
      <c r="I764" s="158"/>
      <c r="J764" s="27"/>
      <c r="K764" s="28"/>
      <c r="L764" s="28"/>
      <c r="M764" s="27"/>
      <c r="N764" s="31"/>
      <c r="O764" s="31"/>
      <c r="P764" s="8"/>
      <c r="Q764" s="8"/>
      <c r="R764" s="8"/>
      <c r="S764" s="8"/>
      <c r="T764" s="8"/>
      <c r="U764" s="8"/>
      <c r="V764" s="8"/>
      <c r="W764" s="8"/>
      <c r="X764" s="8"/>
      <c r="Y764" s="8"/>
      <c r="Z764" s="8"/>
    </row>
    <row r="765" ht="16.5" customHeight="1">
      <c r="A765" s="8"/>
      <c r="B765" s="27"/>
      <c r="C765" s="27"/>
      <c r="D765" s="27"/>
      <c r="E765" s="28"/>
      <c r="F765" s="31"/>
      <c r="G765" s="28"/>
      <c r="H765" s="157"/>
      <c r="I765" s="158"/>
      <c r="J765" s="27"/>
      <c r="K765" s="28"/>
      <c r="L765" s="28"/>
      <c r="M765" s="27"/>
      <c r="N765" s="31"/>
      <c r="O765" s="31"/>
      <c r="P765" s="8"/>
      <c r="Q765" s="8"/>
      <c r="R765" s="8"/>
      <c r="S765" s="8"/>
      <c r="T765" s="8"/>
      <c r="U765" s="8"/>
      <c r="V765" s="8"/>
      <c r="W765" s="8"/>
      <c r="X765" s="8"/>
      <c r="Y765" s="8"/>
      <c r="Z765" s="8"/>
    </row>
    <row r="766" ht="16.5" customHeight="1">
      <c r="A766" s="8"/>
      <c r="B766" s="27"/>
      <c r="C766" s="27"/>
      <c r="D766" s="27"/>
      <c r="E766" s="28"/>
      <c r="F766" s="31"/>
      <c r="G766" s="28"/>
      <c r="H766" s="157"/>
      <c r="I766" s="158"/>
      <c r="J766" s="27"/>
      <c r="K766" s="28"/>
      <c r="L766" s="28"/>
      <c r="M766" s="27"/>
      <c r="N766" s="31"/>
      <c r="O766" s="31"/>
      <c r="P766" s="8"/>
      <c r="Q766" s="8"/>
      <c r="R766" s="8"/>
      <c r="S766" s="8"/>
      <c r="T766" s="8"/>
      <c r="U766" s="8"/>
      <c r="V766" s="8"/>
      <c r="W766" s="8"/>
      <c r="X766" s="8"/>
      <c r="Y766" s="8"/>
      <c r="Z766" s="8"/>
    </row>
    <row r="767" ht="16.5" customHeight="1">
      <c r="A767" s="8"/>
      <c r="B767" s="27"/>
      <c r="C767" s="27"/>
      <c r="D767" s="27"/>
      <c r="E767" s="28"/>
      <c r="F767" s="31"/>
      <c r="G767" s="28"/>
      <c r="H767" s="157"/>
      <c r="I767" s="158"/>
      <c r="J767" s="27"/>
      <c r="K767" s="28"/>
      <c r="L767" s="28"/>
      <c r="M767" s="27"/>
      <c r="N767" s="31"/>
      <c r="O767" s="31"/>
      <c r="P767" s="8"/>
      <c r="Q767" s="8"/>
      <c r="R767" s="8"/>
      <c r="S767" s="8"/>
      <c r="T767" s="8"/>
      <c r="U767" s="8"/>
      <c r="V767" s="8"/>
      <c r="W767" s="8"/>
      <c r="X767" s="8"/>
      <c r="Y767" s="8"/>
      <c r="Z767" s="8"/>
    </row>
    <row r="768" ht="16.5" customHeight="1">
      <c r="A768" s="8"/>
      <c r="B768" s="27"/>
      <c r="C768" s="27"/>
      <c r="D768" s="27"/>
      <c r="E768" s="28"/>
      <c r="F768" s="31"/>
      <c r="G768" s="28"/>
      <c r="H768" s="157"/>
      <c r="I768" s="158"/>
      <c r="J768" s="27"/>
      <c r="K768" s="28"/>
      <c r="L768" s="28"/>
      <c r="M768" s="27"/>
      <c r="N768" s="31"/>
      <c r="O768" s="31"/>
      <c r="P768" s="8"/>
      <c r="Q768" s="8"/>
      <c r="R768" s="8"/>
      <c r="S768" s="8"/>
      <c r="T768" s="8"/>
      <c r="U768" s="8"/>
      <c r="V768" s="8"/>
      <c r="W768" s="8"/>
      <c r="X768" s="8"/>
      <c r="Y768" s="8"/>
      <c r="Z768" s="8"/>
    </row>
    <row r="769" ht="16.5" customHeight="1">
      <c r="A769" s="8"/>
      <c r="B769" s="27"/>
      <c r="C769" s="27"/>
      <c r="D769" s="27"/>
      <c r="E769" s="28"/>
      <c r="F769" s="31"/>
      <c r="G769" s="28"/>
      <c r="H769" s="157"/>
      <c r="I769" s="158"/>
      <c r="J769" s="27"/>
      <c r="K769" s="28"/>
      <c r="L769" s="28"/>
      <c r="M769" s="27"/>
      <c r="N769" s="31"/>
      <c r="O769" s="31"/>
      <c r="P769" s="8"/>
      <c r="Q769" s="8"/>
      <c r="R769" s="8"/>
      <c r="S769" s="8"/>
      <c r="T769" s="8"/>
      <c r="U769" s="8"/>
      <c r="V769" s="8"/>
      <c r="W769" s="8"/>
      <c r="X769" s="8"/>
      <c r="Y769" s="8"/>
      <c r="Z769" s="8"/>
    </row>
    <row r="770" ht="16.5" customHeight="1">
      <c r="A770" s="8"/>
      <c r="B770" s="27"/>
      <c r="C770" s="27"/>
      <c r="D770" s="27"/>
      <c r="E770" s="28"/>
      <c r="F770" s="31"/>
      <c r="G770" s="28"/>
      <c r="H770" s="157"/>
      <c r="I770" s="158"/>
      <c r="J770" s="27"/>
      <c r="K770" s="28"/>
      <c r="L770" s="28"/>
      <c r="M770" s="27"/>
      <c r="N770" s="31"/>
      <c r="O770" s="31"/>
      <c r="P770" s="8"/>
      <c r="Q770" s="8"/>
      <c r="R770" s="8"/>
      <c r="S770" s="8"/>
      <c r="T770" s="8"/>
      <c r="U770" s="8"/>
      <c r="V770" s="8"/>
      <c r="W770" s="8"/>
      <c r="X770" s="8"/>
      <c r="Y770" s="8"/>
      <c r="Z770" s="8"/>
    </row>
    <row r="771" ht="16.5" customHeight="1">
      <c r="A771" s="8"/>
      <c r="B771" s="27"/>
      <c r="C771" s="27"/>
      <c r="D771" s="27"/>
      <c r="E771" s="28"/>
      <c r="F771" s="31"/>
      <c r="G771" s="28"/>
      <c r="H771" s="157"/>
      <c r="I771" s="158"/>
      <c r="J771" s="27"/>
      <c r="K771" s="28"/>
      <c r="L771" s="28"/>
      <c r="M771" s="27"/>
      <c r="N771" s="31"/>
      <c r="O771" s="31"/>
      <c r="P771" s="8"/>
      <c r="Q771" s="8"/>
      <c r="R771" s="8"/>
      <c r="S771" s="8"/>
      <c r="T771" s="8"/>
      <c r="U771" s="8"/>
      <c r="V771" s="8"/>
      <c r="W771" s="8"/>
      <c r="X771" s="8"/>
      <c r="Y771" s="8"/>
      <c r="Z771" s="8"/>
    </row>
    <row r="772" ht="16.5" customHeight="1">
      <c r="A772" s="8"/>
      <c r="B772" s="27"/>
      <c r="C772" s="27"/>
      <c r="D772" s="27"/>
      <c r="E772" s="28"/>
      <c r="F772" s="31"/>
      <c r="G772" s="28"/>
      <c r="H772" s="157"/>
      <c r="I772" s="158"/>
      <c r="J772" s="27"/>
      <c r="K772" s="28"/>
      <c r="L772" s="28"/>
      <c r="M772" s="27"/>
      <c r="N772" s="31"/>
      <c r="O772" s="31"/>
      <c r="P772" s="8"/>
      <c r="Q772" s="8"/>
      <c r="R772" s="8"/>
      <c r="S772" s="8"/>
      <c r="T772" s="8"/>
      <c r="U772" s="8"/>
      <c r="V772" s="8"/>
      <c r="W772" s="8"/>
      <c r="X772" s="8"/>
      <c r="Y772" s="8"/>
      <c r="Z772" s="8"/>
    </row>
    <row r="773" ht="16.5" customHeight="1">
      <c r="A773" s="8"/>
      <c r="B773" s="27"/>
      <c r="C773" s="27"/>
      <c r="D773" s="27"/>
      <c r="E773" s="28"/>
      <c r="F773" s="31"/>
      <c r="G773" s="28"/>
      <c r="H773" s="157"/>
      <c r="I773" s="158"/>
      <c r="J773" s="27"/>
      <c r="K773" s="28"/>
      <c r="L773" s="28"/>
      <c r="M773" s="27"/>
      <c r="N773" s="31"/>
      <c r="O773" s="31"/>
      <c r="P773" s="8"/>
      <c r="Q773" s="8"/>
      <c r="R773" s="8"/>
      <c r="S773" s="8"/>
      <c r="T773" s="8"/>
      <c r="U773" s="8"/>
      <c r="V773" s="8"/>
      <c r="W773" s="8"/>
      <c r="X773" s="8"/>
      <c r="Y773" s="8"/>
      <c r="Z773" s="8"/>
    </row>
    <row r="774" ht="16.5" customHeight="1">
      <c r="A774" s="8"/>
      <c r="B774" s="27"/>
      <c r="C774" s="27"/>
      <c r="D774" s="27"/>
      <c r="E774" s="28"/>
      <c r="F774" s="31"/>
      <c r="G774" s="28"/>
      <c r="H774" s="157"/>
      <c r="I774" s="158"/>
      <c r="J774" s="27"/>
      <c r="K774" s="28"/>
      <c r="L774" s="28"/>
      <c r="M774" s="27"/>
      <c r="N774" s="31"/>
      <c r="O774" s="31"/>
      <c r="P774" s="8"/>
      <c r="Q774" s="8"/>
      <c r="R774" s="8"/>
      <c r="S774" s="8"/>
      <c r="T774" s="8"/>
      <c r="U774" s="8"/>
      <c r="V774" s="8"/>
      <c r="W774" s="8"/>
      <c r="X774" s="8"/>
      <c r="Y774" s="8"/>
      <c r="Z774" s="8"/>
    </row>
    <row r="775" ht="16.5" customHeight="1">
      <c r="A775" s="8"/>
      <c r="B775" s="27"/>
      <c r="C775" s="27"/>
      <c r="D775" s="27"/>
      <c r="E775" s="28"/>
      <c r="F775" s="31"/>
      <c r="G775" s="28"/>
      <c r="H775" s="157"/>
      <c r="I775" s="158"/>
      <c r="J775" s="27"/>
      <c r="K775" s="28"/>
      <c r="L775" s="28"/>
      <c r="M775" s="27"/>
      <c r="N775" s="31"/>
      <c r="O775" s="31"/>
      <c r="P775" s="8"/>
      <c r="Q775" s="8"/>
      <c r="R775" s="8"/>
      <c r="S775" s="8"/>
      <c r="T775" s="8"/>
      <c r="U775" s="8"/>
      <c r="V775" s="8"/>
      <c r="W775" s="8"/>
      <c r="X775" s="8"/>
      <c r="Y775" s="8"/>
      <c r="Z775" s="8"/>
    </row>
    <row r="776" ht="16.5" customHeight="1">
      <c r="A776" s="8"/>
      <c r="B776" s="27"/>
      <c r="C776" s="27"/>
      <c r="D776" s="27"/>
      <c r="E776" s="28"/>
      <c r="F776" s="31"/>
      <c r="G776" s="28"/>
      <c r="H776" s="157"/>
      <c r="I776" s="158"/>
      <c r="J776" s="27"/>
      <c r="K776" s="28"/>
      <c r="L776" s="28"/>
      <c r="M776" s="27"/>
      <c r="N776" s="31"/>
      <c r="O776" s="31"/>
      <c r="P776" s="8"/>
      <c r="Q776" s="8"/>
      <c r="R776" s="8"/>
      <c r="S776" s="8"/>
      <c r="T776" s="8"/>
      <c r="U776" s="8"/>
      <c r="V776" s="8"/>
      <c r="W776" s="8"/>
      <c r="X776" s="8"/>
      <c r="Y776" s="8"/>
      <c r="Z776" s="8"/>
    </row>
    <row r="777" ht="16.5" customHeight="1">
      <c r="A777" s="8"/>
      <c r="B777" s="27"/>
      <c r="C777" s="27"/>
      <c r="D777" s="27"/>
      <c r="E777" s="28"/>
      <c r="F777" s="31"/>
      <c r="G777" s="28"/>
      <c r="H777" s="157"/>
      <c r="I777" s="158"/>
      <c r="J777" s="27"/>
      <c r="K777" s="28"/>
      <c r="L777" s="28"/>
      <c r="M777" s="27"/>
      <c r="N777" s="31"/>
      <c r="O777" s="31"/>
      <c r="P777" s="8"/>
      <c r="Q777" s="8"/>
      <c r="R777" s="8"/>
      <c r="S777" s="8"/>
      <c r="T777" s="8"/>
      <c r="U777" s="8"/>
      <c r="V777" s="8"/>
      <c r="W777" s="8"/>
      <c r="X777" s="8"/>
      <c r="Y777" s="8"/>
      <c r="Z777" s="8"/>
    </row>
    <row r="778" ht="16.5" customHeight="1">
      <c r="A778" s="8"/>
      <c r="B778" s="27"/>
      <c r="C778" s="27"/>
      <c r="D778" s="27"/>
      <c r="E778" s="28"/>
      <c r="F778" s="31"/>
      <c r="G778" s="28"/>
      <c r="H778" s="157"/>
      <c r="I778" s="158"/>
      <c r="J778" s="27"/>
      <c r="K778" s="28"/>
      <c r="L778" s="28"/>
      <c r="M778" s="27"/>
      <c r="N778" s="31"/>
      <c r="O778" s="31"/>
      <c r="P778" s="8"/>
      <c r="Q778" s="8"/>
      <c r="R778" s="8"/>
      <c r="S778" s="8"/>
      <c r="T778" s="8"/>
      <c r="U778" s="8"/>
      <c r="V778" s="8"/>
      <c r="W778" s="8"/>
      <c r="X778" s="8"/>
      <c r="Y778" s="8"/>
      <c r="Z778" s="8"/>
    </row>
    <row r="779" ht="16.5" customHeight="1">
      <c r="A779" s="8"/>
      <c r="B779" s="27"/>
      <c r="C779" s="27"/>
      <c r="D779" s="27"/>
      <c r="E779" s="28"/>
      <c r="F779" s="31"/>
      <c r="G779" s="28"/>
      <c r="H779" s="157"/>
      <c r="I779" s="158"/>
      <c r="J779" s="27"/>
      <c r="K779" s="28"/>
      <c r="L779" s="28"/>
      <c r="M779" s="27"/>
      <c r="N779" s="31"/>
      <c r="O779" s="31"/>
      <c r="P779" s="8"/>
      <c r="Q779" s="8"/>
      <c r="R779" s="8"/>
      <c r="S779" s="8"/>
      <c r="T779" s="8"/>
      <c r="U779" s="8"/>
      <c r="V779" s="8"/>
      <c r="W779" s="8"/>
      <c r="X779" s="8"/>
      <c r="Y779" s="8"/>
      <c r="Z779" s="8"/>
    </row>
    <row r="780" ht="16.5" customHeight="1">
      <c r="A780" s="8"/>
      <c r="B780" s="27"/>
      <c r="C780" s="27"/>
      <c r="D780" s="27"/>
      <c r="E780" s="28"/>
      <c r="F780" s="31"/>
      <c r="G780" s="28"/>
      <c r="H780" s="157"/>
      <c r="I780" s="158"/>
      <c r="J780" s="27"/>
      <c r="K780" s="28"/>
      <c r="L780" s="28"/>
      <c r="M780" s="27"/>
      <c r="N780" s="31"/>
      <c r="O780" s="31"/>
      <c r="P780" s="8"/>
      <c r="Q780" s="8"/>
      <c r="R780" s="8"/>
      <c r="S780" s="8"/>
      <c r="T780" s="8"/>
      <c r="U780" s="8"/>
      <c r="V780" s="8"/>
      <c r="W780" s="8"/>
      <c r="X780" s="8"/>
      <c r="Y780" s="8"/>
      <c r="Z780" s="8"/>
    </row>
    <row r="781" ht="16.5" customHeight="1">
      <c r="A781" s="8"/>
      <c r="B781" s="27"/>
      <c r="C781" s="27"/>
      <c r="D781" s="27"/>
      <c r="E781" s="28"/>
      <c r="F781" s="31"/>
      <c r="G781" s="28"/>
      <c r="H781" s="157"/>
      <c r="I781" s="158"/>
      <c r="J781" s="27"/>
      <c r="K781" s="28"/>
      <c r="L781" s="28"/>
      <c r="M781" s="27"/>
      <c r="N781" s="31"/>
      <c r="O781" s="31"/>
      <c r="P781" s="8"/>
      <c r="Q781" s="8"/>
      <c r="R781" s="8"/>
      <c r="S781" s="8"/>
      <c r="T781" s="8"/>
      <c r="U781" s="8"/>
      <c r="V781" s="8"/>
      <c r="W781" s="8"/>
      <c r="X781" s="8"/>
      <c r="Y781" s="8"/>
      <c r="Z781" s="8"/>
    </row>
    <row r="782" ht="16.5" customHeight="1">
      <c r="A782" s="8"/>
      <c r="B782" s="27"/>
      <c r="C782" s="27"/>
      <c r="D782" s="27"/>
      <c r="E782" s="28"/>
      <c r="F782" s="31"/>
      <c r="G782" s="28"/>
      <c r="H782" s="157"/>
      <c r="I782" s="158"/>
      <c r="J782" s="27"/>
      <c r="K782" s="28"/>
      <c r="L782" s="28"/>
      <c r="M782" s="27"/>
      <c r="N782" s="31"/>
      <c r="O782" s="31"/>
      <c r="P782" s="8"/>
      <c r="Q782" s="8"/>
      <c r="R782" s="8"/>
      <c r="S782" s="8"/>
      <c r="T782" s="8"/>
      <c r="U782" s="8"/>
      <c r="V782" s="8"/>
      <c r="W782" s="8"/>
      <c r="X782" s="8"/>
      <c r="Y782" s="8"/>
      <c r="Z782" s="8"/>
    </row>
    <row r="783" ht="16.5" customHeight="1">
      <c r="A783" s="8"/>
      <c r="B783" s="27"/>
      <c r="C783" s="27"/>
      <c r="D783" s="27"/>
      <c r="E783" s="28"/>
      <c r="F783" s="31"/>
      <c r="G783" s="28"/>
      <c r="H783" s="157"/>
      <c r="I783" s="158"/>
      <c r="J783" s="27"/>
      <c r="K783" s="28"/>
      <c r="L783" s="28"/>
      <c r="M783" s="27"/>
      <c r="N783" s="31"/>
      <c r="O783" s="31"/>
      <c r="P783" s="8"/>
      <c r="Q783" s="8"/>
      <c r="R783" s="8"/>
      <c r="S783" s="8"/>
      <c r="T783" s="8"/>
      <c r="U783" s="8"/>
      <c r="V783" s="8"/>
      <c r="W783" s="8"/>
      <c r="X783" s="8"/>
      <c r="Y783" s="8"/>
      <c r="Z783" s="8"/>
    </row>
    <row r="784" ht="16.5" customHeight="1">
      <c r="A784" s="8"/>
      <c r="B784" s="27"/>
      <c r="C784" s="27"/>
      <c r="D784" s="27"/>
      <c r="E784" s="28"/>
      <c r="F784" s="31"/>
      <c r="G784" s="28"/>
      <c r="H784" s="157"/>
      <c r="I784" s="158"/>
      <c r="J784" s="27"/>
      <c r="K784" s="28"/>
      <c r="L784" s="28"/>
      <c r="M784" s="27"/>
      <c r="N784" s="31"/>
      <c r="O784" s="31"/>
      <c r="P784" s="8"/>
      <c r="Q784" s="8"/>
      <c r="R784" s="8"/>
      <c r="S784" s="8"/>
      <c r="T784" s="8"/>
      <c r="U784" s="8"/>
      <c r="V784" s="8"/>
      <c r="W784" s="8"/>
      <c r="X784" s="8"/>
      <c r="Y784" s="8"/>
      <c r="Z784" s="8"/>
    </row>
    <row r="785" ht="16.5" customHeight="1">
      <c r="A785" s="8"/>
      <c r="B785" s="27"/>
      <c r="C785" s="27"/>
      <c r="D785" s="27"/>
      <c r="E785" s="28"/>
      <c r="F785" s="31"/>
      <c r="G785" s="28"/>
      <c r="H785" s="157"/>
      <c r="I785" s="158"/>
      <c r="J785" s="27"/>
      <c r="K785" s="28"/>
      <c r="L785" s="28"/>
      <c r="M785" s="27"/>
      <c r="N785" s="31"/>
      <c r="O785" s="31"/>
      <c r="P785" s="8"/>
      <c r="Q785" s="8"/>
      <c r="R785" s="8"/>
      <c r="S785" s="8"/>
      <c r="T785" s="8"/>
      <c r="U785" s="8"/>
      <c r="V785" s="8"/>
      <c r="W785" s="8"/>
      <c r="X785" s="8"/>
      <c r="Y785" s="8"/>
      <c r="Z785" s="8"/>
    </row>
    <row r="786" ht="16.5" customHeight="1">
      <c r="A786" s="8"/>
      <c r="B786" s="27"/>
      <c r="C786" s="27"/>
      <c r="D786" s="27"/>
      <c r="E786" s="28"/>
      <c r="F786" s="31"/>
      <c r="G786" s="28"/>
      <c r="H786" s="157"/>
      <c r="I786" s="158"/>
      <c r="J786" s="27"/>
      <c r="K786" s="28"/>
      <c r="L786" s="28"/>
      <c r="M786" s="27"/>
      <c r="N786" s="31"/>
      <c r="O786" s="31"/>
      <c r="P786" s="8"/>
      <c r="Q786" s="8"/>
      <c r="R786" s="8"/>
      <c r="S786" s="8"/>
      <c r="T786" s="8"/>
      <c r="U786" s="8"/>
      <c r="V786" s="8"/>
      <c r="W786" s="8"/>
      <c r="X786" s="8"/>
      <c r="Y786" s="8"/>
      <c r="Z786" s="8"/>
    </row>
    <row r="787" ht="16.5" customHeight="1">
      <c r="A787" s="8"/>
      <c r="B787" s="27"/>
      <c r="C787" s="27"/>
      <c r="D787" s="27"/>
      <c r="E787" s="28"/>
      <c r="F787" s="31"/>
      <c r="G787" s="28"/>
      <c r="H787" s="157"/>
      <c r="I787" s="158"/>
      <c r="J787" s="27"/>
      <c r="K787" s="28"/>
      <c r="L787" s="28"/>
      <c r="M787" s="27"/>
      <c r="N787" s="31"/>
      <c r="O787" s="31"/>
      <c r="P787" s="8"/>
      <c r="Q787" s="8"/>
      <c r="R787" s="8"/>
      <c r="S787" s="8"/>
      <c r="T787" s="8"/>
      <c r="U787" s="8"/>
      <c r="V787" s="8"/>
      <c r="W787" s="8"/>
      <c r="X787" s="8"/>
      <c r="Y787" s="8"/>
      <c r="Z787" s="8"/>
    </row>
    <row r="788" ht="16.5" customHeight="1">
      <c r="A788" s="8"/>
      <c r="B788" s="27"/>
      <c r="C788" s="27"/>
      <c r="D788" s="27"/>
      <c r="E788" s="28"/>
      <c r="F788" s="31"/>
      <c r="G788" s="28"/>
      <c r="H788" s="157"/>
      <c r="I788" s="158"/>
      <c r="J788" s="27"/>
      <c r="K788" s="28"/>
      <c r="L788" s="28"/>
      <c r="M788" s="27"/>
      <c r="N788" s="31"/>
      <c r="O788" s="31"/>
      <c r="P788" s="8"/>
      <c r="Q788" s="8"/>
      <c r="R788" s="8"/>
      <c r="S788" s="8"/>
      <c r="T788" s="8"/>
      <c r="U788" s="8"/>
      <c r="V788" s="8"/>
      <c r="W788" s="8"/>
      <c r="X788" s="8"/>
      <c r="Y788" s="8"/>
      <c r="Z788" s="8"/>
    </row>
    <row r="789" ht="16.5" customHeight="1">
      <c r="A789" s="8"/>
      <c r="B789" s="27"/>
      <c r="C789" s="27"/>
      <c r="D789" s="27"/>
      <c r="E789" s="28"/>
      <c r="F789" s="31"/>
      <c r="G789" s="28"/>
      <c r="H789" s="157"/>
      <c r="I789" s="158"/>
      <c r="J789" s="27"/>
      <c r="K789" s="28"/>
      <c r="L789" s="28"/>
      <c r="M789" s="27"/>
      <c r="N789" s="31"/>
      <c r="O789" s="31"/>
      <c r="P789" s="8"/>
      <c r="Q789" s="8"/>
      <c r="R789" s="8"/>
      <c r="S789" s="8"/>
      <c r="T789" s="8"/>
      <c r="U789" s="8"/>
      <c r="V789" s="8"/>
      <c r="W789" s="8"/>
      <c r="X789" s="8"/>
      <c r="Y789" s="8"/>
      <c r="Z789" s="8"/>
    </row>
    <row r="790" ht="16.5" customHeight="1">
      <c r="A790" s="8"/>
      <c r="B790" s="27"/>
      <c r="C790" s="27"/>
      <c r="D790" s="27"/>
      <c r="E790" s="28"/>
      <c r="F790" s="31"/>
      <c r="G790" s="28"/>
      <c r="H790" s="157"/>
      <c r="I790" s="158"/>
      <c r="J790" s="27"/>
      <c r="K790" s="28"/>
      <c r="L790" s="28"/>
      <c r="M790" s="27"/>
      <c r="N790" s="31"/>
      <c r="O790" s="31"/>
      <c r="P790" s="8"/>
      <c r="Q790" s="8"/>
      <c r="R790" s="8"/>
      <c r="S790" s="8"/>
      <c r="T790" s="8"/>
      <c r="U790" s="8"/>
      <c r="V790" s="8"/>
      <c r="W790" s="8"/>
      <c r="X790" s="8"/>
      <c r="Y790" s="8"/>
      <c r="Z790" s="8"/>
    </row>
    <row r="791" ht="16.5" customHeight="1">
      <c r="A791" s="8"/>
      <c r="B791" s="27"/>
      <c r="C791" s="27"/>
      <c r="D791" s="27"/>
      <c r="E791" s="28"/>
      <c r="F791" s="31"/>
      <c r="G791" s="28"/>
      <c r="H791" s="157"/>
      <c r="I791" s="158"/>
      <c r="J791" s="27"/>
      <c r="K791" s="28"/>
      <c r="L791" s="28"/>
      <c r="M791" s="27"/>
      <c r="N791" s="31"/>
      <c r="O791" s="31"/>
      <c r="P791" s="8"/>
      <c r="Q791" s="8"/>
      <c r="R791" s="8"/>
      <c r="S791" s="8"/>
      <c r="T791" s="8"/>
      <c r="U791" s="8"/>
      <c r="V791" s="8"/>
      <c r="W791" s="8"/>
      <c r="X791" s="8"/>
      <c r="Y791" s="8"/>
      <c r="Z791" s="8"/>
    </row>
    <row r="792" ht="16.5" customHeight="1">
      <c r="A792" s="8"/>
      <c r="B792" s="27"/>
      <c r="C792" s="27"/>
      <c r="D792" s="27"/>
      <c r="E792" s="28"/>
      <c r="F792" s="31"/>
      <c r="G792" s="28"/>
      <c r="H792" s="157"/>
      <c r="I792" s="158"/>
      <c r="J792" s="27"/>
      <c r="K792" s="28"/>
      <c r="L792" s="28"/>
      <c r="M792" s="27"/>
      <c r="N792" s="31"/>
      <c r="O792" s="31"/>
      <c r="P792" s="8"/>
      <c r="Q792" s="8"/>
      <c r="R792" s="8"/>
      <c r="S792" s="8"/>
      <c r="T792" s="8"/>
      <c r="U792" s="8"/>
      <c r="V792" s="8"/>
      <c r="W792" s="8"/>
      <c r="X792" s="8"/>
      <c r="Y792" s="8"/>
      <c r="Z792" s="8"/>
    </row>
    <row r="793" ht="16.5" customHeight="1">
      <c r="A793" s="8"/>
      <c r="B793" s="27"/>
      <c r="C793" s="27"/>
      <c r="D793" s="27"/>
      <c r="E793" s="28"/>
      <c r="F793" s="31"/>
      <c r="G793" s="28"/>
      <c r="H793" s="157"/>
      <c r="I793" s="158"/>
      <c r="J793" s="27"/>
      <c r="K793" s="28"/>
      <c r="L793" s="28"/>
      <c r="M793" s="27"/>
      <c r="N793" s="31"/>
      <c r="O793" s="31"/>
      <c r="P793" s="8"/>
      <c r="Q793" s="8"/>
      <c r="R793" s="8"/>
      <c r="S793" s="8"/>
      <c r="T793" s="8"/>
      <c r="U793" s="8"/>
      <c r="V793" s="8"/>
      <c r="W793" s="8"/>
      <c r="X793" s="8"/>
      <c r="Y793" s="8"/>
      <c r="Z793" s="8"/>
    </row>
    <row r="794" ht="16.5" customHeight="1">
      <c r="A794" s="8"/>
      <c r="B794" s="27"/>
      <c r="C794" s="27"/>
      <c r="D794" s="27"/>
      <c r="E794" s="28"/>
      <c r="F794" s="31"/>
      <c r="G794" s="28"/>
      <c r="H794" s="157"/>
      <c r="I794" s="158"/>
      <c r="J794" s="27"/>
      <c r="K794" s="28"/>
      <c r="L794" s="28"/>
      <c r="M794" s="27"/>
      <c r="N794" s="31"/>
      <c r="O794" s="31"/>
      <c r="P794" s="8"/>
      <c r="Q794" s="8"/>
      <c r="R794" s="8"/>
      <c r="S794" s="8"/>
      <c r="T794" s="8"/>
      <c r="U794" s="8"/>
      <c r="V794" s="8"/>
      <c r="W794" s="8"/>
      <c r="X794" s="8"/>
      <c r="Y794" s="8"/>
      <c r="Z794" s="8"/>
    </row>
    <row r="795" ht="16.5" customHeight="1">
      <c r="A795" s="8"/>
      <c r="B795" s="27"/>
      <c r="C795" s="27"/>
      <c r="D795" s="27"/>
      <c r="E795" s="28"/>
      <c r="F795" s="31"/>
      <c r="G795" s="28"/>
      <c r="H795" s="157"/>
      <c r="I795" s="158"/>
      <c r="J795" s="27"/>
      <c r="K795" s="28"/>
      <c r="L795" s="28"/>
      <c r="M795" s="27"/>
      <c r="N795" s="31"/>
      <c r="O795" s="31"/>
      <c r="P795" s="8"/>
      <c r="Q795" s="8"/>
      <c r="R795" s="8"/>
      <c r="S795" s="8"/>
      <c r="T795" s="8"/>
      <c r="U795" s="8"/>
      <c r="V795" s="8"/>
      <c r="W795" s="8"/>
      <c r="X795" s="8"/>
      <c r="Y795" s="8"/>
      <c r="Z795" s="8"/>
    </row>
    <row r="796" ht="16.5" customHeight="1">
      <c r="A796" s="8"/>
      <c r="B796" s="27"/>
      <c r="C796" s="27"/>
      <c r="D796" s="27"/>
      <c r="E796" s="28"/>
      <c r="F796" s="31"/>
      <c r="G796" s="28"/>
      <c r="H796" s="157"/>
      <c r="I796" s="158"/>
      <c r="J796" s="27"/>
      <c r="K796" s="28"/>
      <c r="L796" s="28"/>
      <c r="M796" s="27"/>
      <c r="N796" s="31"/>
      <c r="O796" s="31"/>
      <c r="P796" s="8"/>
      <c r="Q796" s="8"/>
      <c r="R796" s="8"/>
      <c r="S796" s="8"/>
      <c r="T796" s="8"/>
      <c r="U796" s="8"/>
      <c r="V796" s="8"/>
      <c r="W796" s="8"/>
      <c r="X796" s="8"/>
      <c r="Y796" s="8"/>
      <c r="Z796" s="8"/>
    </row>
    <row r="797" ht="16.5" customHeight="1">
      <c r="A797" s="8"/>
      <c r="B797" s="27"/>
      <c r="C797" s="27"/>
      <c r="D797" s="27"/>
      <c r="E797" s="28"/>
      <c r="F797" s="31"/>
      <c r="G797" s="28"/>
      <c r="H797" s="157"/>
      <c r="I797" s="158"/>
      <c r="J797" s="27"/>
      <c r="K797" s="28"/>
      <c r="L797" s="28"/>
      <c r="M797" s="27"/>
      <c r="N797" s="31"/>
      <c r="O797" s="31"/>
      <c r="P797" s="8"/>
      <c r="Q797" s="8"/>
      <c r="R797" s="8"/>
      <c r="S797" s="8"/>
      <c r="T797" s="8"/>
      <c r="U797" s="8"/>
      <c r="V797" s="8"/>
      <c r="W797" s="8"/>
      <c r="X797" s="8"/>
      <c r="Y797" s="8"/>
      <c r="Z797" s="8"/>
    </row>
    <row r="798" ht="16.5" customHeight="1">
      <c r="A798" s="8"/>
      <c r="B798" s="27"/>
      <c r="C798" s="27"/>
      <c r="D798" s="27"/>
      <c r="E798" s="28"/>
      <c r="F798" s="31"/>
      <c r="G798" s="28"/>
      <c r="H798" s="157"/>
      <c r="I798" s="158"/>
      <c r="J798" s="27"/>
      <c r="K798" s="28"/>
      <c r="L798" s="28"/>
      <c r="M798" s="27"/>
      <c r="N798" s="31"/>
      <c r="O798" s="31"/>
      <c r="P798" s="8"/>
      <c r="Q798" s="8"/>
      <c r="R798" s="8"/>
      <c r="S798" s="8"/>
      <c r="T798" s="8"/>
      <c r="U798" s="8"/>
      <c r="V798" s="8"/>
      <c r="W798" s="8"/>
      <c r="X798" s="8"/>
      <c r="Y798" s="8"/>
      <c r="Z798" s="8"/>
    </row>
    <row r="799" ht="16.5" customHeight="1">
      <c r="A799" s="8"/>
      <c r="B799" s="27"/>
      <c r="C799" s="27"/>
      <c r="D799" s="27"/>
      <c r="E799" s="28"/>
      <c r="F799" s="31"/>
      <c r="G799" s="28"/>
      <c r="H799" s="157"/>
      <c r="I799" s="158"/>
      <c r="J799" s="27"/>
      <c r="K799" s="28"/>
      <c r="L799" s="28"/>
      <c r="M799" s="27"/>
      <c r="N799" s="31"/>
      <c r="O799" s="31"/>
      <c r="P799" s="8"/>
      <c r="Q799" s="8"/>
      <c r="R799" s="8"/>
      <c r="S799" s="8"/>
      <c r="T799" s="8"/>
      <c r="U799" s="8"/>
      <c r="V799" s="8"/>
      <c r="W799" s="8"/>
      <c r="X799" s="8"/>
      <c r="Y799" s="8"/>
      <c r="Z799" s="8"/>
    </row>
    <row r="800" ht="16.5" customHeight="1">
      <c r="A800" s="8"/>
      <c r="B800" s="27"/>
      <c r="C800" s="27"/>
      <c r="D800" s="27"/>
      <c r="E800" s="28"/>
      <c r="F800" s="31"/>
      <c r="G800" s="28"/>
      <c r="H800" s="157"/>
      <c r="I800" s="158"/>
      <c r="J800" s="27"/>
      <c r="K800" s="28"/>
      <c r="L800" s="28"/>
      <c r="M800" s="27"/>
      <c r="N800" s="31"/>
      <c r="O800" s="31"/>
      <c r="P800" s="8"/>
      <c r="Q800" s="8"/>
      <c r="R800" s="8"/>
      <c r="S800" s="8"/>
      <c r="T800" s="8"/>
      <c r="U800" s="8"/>
      <c r="V800" s="8"/>
      <c r="W800" s="8"/>
      <c r="X800" s="8"/>
      <c r="Y800" s="8"/>
      <c r="Z800" s="8"/>
    </row>
    <row r="801" ht="16.5" customHeight="1">
      <c r="A801" s="8"/>
      <c r="B801" s="27"/>
      <c r="C801" s="27"/>
      <c r="D801" s="27"/>
      <c r="E801" s="28"/>
      <c r="F801" s="31"/>
      <c r="G801" s="28"/>
      <c r="H801" s="157"/>
      <c r="I801" s="158"/>
      <c r="J801" s="27"/>
      <c r="K801" s="28"/>
      <c r="L801" s="28"/>
      <c r="M801" s="27"/>
      <c r="N801" s="31"/>
      <c r="O801" s="31"/>
      <c r="P801" s="8"/>
      <c r="Q801" s="8"/>
      <c r="R801" s="8"/>
      <c r="S801" s="8"/>
      <c r="T801" s="8"/>
      <c r="U801" s="8"/>
      <c r="V801" s="8"/>
      <c r="W801" s="8"/>
      <c r="X801" s="8"/>
      <c r="Y801" s="8"/>
      <c r="Z801" s="8"/>
    </row>
    <row r="802" ht="16.5" customHeight="1">
      <c r="A802" s="8"/>
      <c r="B802" s="27"/>
      <c r="C802" s="27"/>
      <c r="D802" s="27"/>
      <c r="E802" s="28"/>
      <c r="F802" s="31"/>
      <c r="G802" s="28"/>
      <c r="H802" s="157"/>
      <c r="I802" s="158"/>
      <c r="J802" s="27"/>
      <c r="K802" s="28"/>
      <c r="L802" s="28"/>
      <c r="M802" s="27"/>
      <c r="N802" s="31"/>
      <c r="O802" s="31"/>
      <c r="P802" s="8"/>
      <c r="Q802" s="8"/>
      <c r="R802" s="8"/>
      <c r="S802" s="8"/>
      <c r="T802" s="8"/>
      <c r="U802" s="8"/>
      <c r="V802" s="8"/>
      <c r="W802" s="8"/>
      <c r="X802" s="8"/>
      <c r="Y802" s="8"/>
      <c r="Z802" s="8"/>
    </row>
    <row r="803" ht="16.5" customHeight="1">
      <c r="A803" s="8"/>
      <c r="B803" s="27"/>
      <c r="C803" s="27"/>
      <c r="D803" s="27"/>
      <c r="E803" s="28"/>
      <c r="F803" s="31"/>
      <c r="G803" s="28"/>
      <c r="H803" s="157"/>
      <c r="I803" s="158"/>
      <c r="J803" s="27"/>
      <c r="K803" s="28"/>
      <c r="L803" s="28"/>
      <c r="M803" s="27"/>
      <c r="N803" s="31"/>
      <c r="O803" s="31"/>
      <c r="P803" s="8"/>
      <c r="Q803" s="8"/>
      <c r="R803" s="8"/>
      <c r="S803" s="8"/>
      <c r="T803" s="8"/>
      <c r="U803" s="8"/>
      <c r="V803" s="8"/>
      <c r="W803" s="8"/>
      <c r="X803" s="8"/>
      <c r="Y803" s="8"/>
      <c r="Z803" s="8"/>
    </row>
    <row r="804" ht="16.5" customHeight="1">
      <c r="A804" s="8"/>
      <c r="B804" s="27"/>
      <c r="C804" s="27"/>
      <c r="D804" s="27"/>
      <c r="E804" s="28"/>
      <c r="F804" s="31"/>
      <c r="G804" s="28"/>
      <c r="H804" s="157"/>
      <c r="I804" s="158"/>
      <c r="J804" s="27"/>
      <c r="K804" s="28"/>
      <c r="L804" s="28"/>
      <c r="M804" s="27"/>
      <c r="N804" s="31"/>
      <c r="O804" s="31"/>
      <c r="P804" s="8"/>
      <c r="Q804" s="8"/>
      <c r="R804" s="8"/>
      <c r="S804" s="8"/>
      <c r="T804" s="8"/>
      <c r="U804" s="8"/>
      <c r="V804" s="8"/>
      <c r="W804" s="8"/>
      <c r="X804" s="8"/>
      <c r="Y804" s="8"/>
      <c r="Z804" s="8"/>
    </row>
    <row r="805" ht="16.5" customHeight="1">
      <c r="A805" s="8"/>
      <c r="B805" s="27"/>
      <c r="C805" s="27"/>
      <c r="D805" s="27"/>
      <c r="E805" s="28"/>
      <c r="F805" s="31"/>
      <c r="G805" s="28"/>
      <c r="H805" s="157"/>
      <c r="I805" s="158"/>
      <c r="J805" s="27"/>
      <c r="K805" s="28"/>
      <c r="L805" s="28"/>
      <c r="M805" s="27"/>
      <c r="N805" s="31"/>
      <c r="O805" s="31"/>
      <c r="P805" s="8"/>
      <c r="Q805" s="8"/>
      <c r="R805" s="8"/>
      <c r="S805" s="8"/>
      <c r="T805" s="8"/>
      <c r="U805" s="8"/>
      <c r="V805" s="8"/>
      <c r="W805" s="8"/>
      <c r="X805" s="8"/>
      <c r="Y805" s="8"/>
      <c r="Z805" s="8"/>
    </row>
    <row r="806" ht="16.5" customHeight="1">
      <c r="A806" s="8"/>
      <c r="B806" s="27"/>
      <c r="C806" s="27"/>
      <c r="D806" s="27"/>
      <c r="E806" s="28"/>
      <c r="F806" s="31"/>
      <c r="G806" s="28"/>
      <c r="H806" s="157"/>
      <c r="I806" s="158"/>
      <c r="J806" s="27"/>
      <c r="K806" s="28"/>
      <c r="L806" s="28"/>
      <c r="M806" s="27"/>
      <c r="N806" s="31"/>
      <c r="O806" s="31"/>
      <c r="P806" s="8"/>
      <c r="Q806" s="8"/>
      <c r="R806" s="8"/>
      <c r="S806" s="8"/>
      <c r="T806" s="8"/>
      <c r="U806" s="8"/>
      <c r="V806" s="8"/>
      <c r="W806" s="8"/>
      <c r="X806" s="8"/>
      <c r="Y806" s="8"/>
      <c r="Z806" s="8"/>
    </row>
    <row r="807" ht="16.5" customHeight="1">
      <c r="A807" s="8"/>
      <c r="B807" s="27"/>
      <c r="C807" s="27"/>
      <c r="D807" s="27"/>
      <c r="E807" s="28"/>
      <c r="F807" s="31"/>
      <c r="G807" s="28"/>
      <c r="H807" s="157"/>
      <c r="I807" s="158"/>
      <c r="J807" s="27"/>
      <c r="K807" s="28"/>
      <c r="L807" s="28"/>
      <c r="M807" s="27"/>
      <c r="N807" s="31"/>
      <c r="O807" s="31"/>
      <c r="P807" s="8"/>
      <c r="Q807" s="8"/>
      <c r="R807" s="8"/>
      <c r="S807" s="8"/>
      <c r="T807" s="8"/>
      <c r="U807" s="8"/>
      <c r="V807" s="8"/>
      <c r="W807" s="8"/>
      <c r="X807" s="8"/>
      <c r="Y807" s="8"/>
      <c r="Z807" s="8"/>
    </row>
    <row r="808" ht="16.5" customHeight="1">
      <c r="A808" s="8"/>
      <c r="B808" s="27"/>
      <c r="C808" s="27"/>
      <c r="D808" s="27"/>
      <c r="E808" s="28"/>
      <c r="F808" s="31"/>
      <c r="G808" s="28"/>
      <c r="H808" s="157"/>
      <c r="I808" s="158"/>
      <c r="J808" s="27"/>
      <c r="K808" s="28"/>
      <c r="L808" s="28"/>
      <c r="M808" s="27"/>
      <c r="N808" s="31"/>
      <c r="O808" s="31"/>
      <c r="P808" s="8"/>
      <c r="Q808" s="8"/>
      <c r="R808" s="8"/>
      <c r="S808" s="8"/>
      <c r="T808" s="8"/>
      <c r="U808" s="8"/>
      <c r="V808" s="8"/>
      <c r="W808" s="8"/>
      <c r="X808" s="8"/>
      <c r="Y808" s="8"/>
      <c r="Z808" s="8"/>
    </row>
    <row r="809" ht="16.5" customHeight="1">
      <c r="A809" s="8"/>
      <c r="B809" s="27"/>
      <c r="C809" s="27"/>
      <c r="D809" s="27"/>
      <c r="E809" s="28"/>
      <c r="F809" s="31"/>
      <c r="G809" s="28"/>
      <c r="H809" s="157"/>
      <c r="I809" s="158"/>
      <c r="J809" s="27"/>
      <c r="K809" s="28"/>
      <c r="L809" s="28"/>
      <c r="M809" s="27"/>
      <c r="N809" s="31"/>
      <c r="O809" s="31"/>
      <c r="P809" s="8"/>
      <c r="Q809" s="8"/>
      <c r="R809" s="8"/>
      <c r="S809" s="8"/>
      <c r="T809" s="8"/>
      <c r="U809" s="8"/>
      <c r="V809" s="8"/>
      <c r="W809" s="8"/>
      <c r="X809" s="8"/>
      <c r="Y809" s="8"/>
      <c r="Z809" s="8"/>
    </row>
    <row r="810" ht="16.5" customHeight="1">
      <c r="A810" s="8"/>
      <c r="B810" s="27"/>
      <c r="C810" s="27"/>
      <c r="D810" s="27"/>
      <c r="E810" s="28"/>
      <c r="F810" s="31"/>
      <c r="G810" s="28"/>
      <c r="H810" s="157"/>
      <c r="I810" s="158"/>
      <c r="J810" s="27"/>
      <c r="K810" s="28"/>
      <c r="L810" s="28"/>
      <c r="M810" s="27"/>
      <c r="N810" s="31"/>
      <c r="O810" s="31"/>
      <c r="P810" s="8"/>
      <c r="Q810" s="8"/>
      <c r="R810" s="8"/>
      <c r="S810" s="8"/>
      <c r="T810" s="8"/>
      <c r="U810" s="8"/>
      <c r="V810" s="8"/>
      <c r="W810" s="8"/>
      <c r="X810" s="8"/>
      <c r="Y810" s="8"/>
      <c r="Z810" s="8"/>
    </row>
    <row r="811" ht="16.5" customHeight="1">
      <c r="A811" s="8"/>
      <c r="B811" s="27"/>
      <c r="C811" s="27"/>
      <c r="D811" s="27"/>
      <c r="E811" s="28"/>
      <c r="F811" s="31"/>
      <c r="G811" s="28"/>
      <c r="H811" s="157"/>
      <c r="I811" s="158"/>
      <c r="J811" s="27"/>
      <c r="K811" s="28"/>
      <c r="L811" s="28"/>
      <c r="M811" s="27"/>
      <c r="N811" s="31"/>
      <c r="O811" s="31"/>
      <c r="P811" s="8"/>
      <c r="Q811" s="8"/>
      <c r="R811" s="8"/>
      <c r="S811" s="8"/>
      <c r="T811" s="8"/>
      <c r="U811" s="8"/>
      <c r="V811" s="8"/>
      <c r="W811" s="8"/>
      <c r="X811" s="8"/>
      <c r="Y811" s="8"/>
      <c r="Z811" s="8"/>
    </row>
    <row r="812" ht="16.5" customHeight="1">
      <c r="A812" s="8"/>
      <c r="B812" s="27"/>
      <c r="C812" s="27"/>
      <c r="D812" s="27"/>
      <c r="E812" s="28"/>
      <c r="F812" s="31"/>
      <c r="G812" s="28"/>
      <c r="H812" s="157"/>
      <c r="I812" s="158"/>
      <c r="J812" s="27"/>
      <c r="K812" s="28"/>
      <c r="L812" s="28"/>
      <c r="M812" s="27"/>
      <c r="N812" s="31"/>
      <c r="O812" s="31"/>
      <c r="P812" s="8"/>
      <c r="Q812" s="8"/>
      <c r="R812" s="8"/>
      <c r="S812" s="8"/>
      <c r="T812" s="8"/>
      <c r="U812" s="8"/>
      <c r="V812" s="8"/>
      <c r="W812" s="8"/>
      <c r="X812" s="8"/>
      <c r="Y812" s="8"/>
      <c r="Z812" s="8"/>
    </row>
    <row r="813" ht="16.5" customHeight="1">
      <c r="A813" s="8"/>
      <c r="B813" s="27"/>
      <c r="C813" s="27"/>
      <c r="D813" s="27"/>
      <c r="E813" s="28"/>
      <c r="F813" s="31"/>
      <c r="G813" s="28"/>
      <c r="H813" s="157"/>
      <c r="I813" s="158"/>
      <c r="J813" s="27"/>
      <c r="K813" s="28"/>
      <c r="L813" s="28"/>
      <c r="M813" s="27"/>
      <c r="N813" s="31"/>
      <c r="O813" s="31"/>
      <c r="P813" s="8"/>
      <c r="Q813" s="8"/>
      <c r="R813" s="8"/>
      <c r="S813" s="8"/>
      <c r="T813" s="8"/>
      <c r="U813" s="8"/>
      <c r="V813" s="8"/>
      <c r="W813" s="8"/>
      <c r="X813" s="8"/>
      <c r="Y813" s="8"/>
      <c r="Z813" s="8"/>
    </row>
    <row r="814" ht="16.5" customHeight="1">
      <c r="A814" s="8"/>
      <c r="B814" s="27"/>
      <c r="C814" s="27"/>
      <c r="D814" s="27"/>
      <c r="E814" s="28"/>
      <c r="F814" s="31"/>
      <c r="G814" s="28"/>
      <c r="H814" s="157"/>
      <c r="I814" s="158"/>
      <c r="J814" s="27"/>
      <c r="K814" s="28"/>
      <c r="L814" s="28"/>
      <c r="M814" s="27"/>
      <c r="N814" s="31"/>
      <c r="O814" s="31"/>
      <c r="P814" s="8"/>
      <c r="Q814" s="8"/>
      <c r="R814" s="8"/>
      <c r="S814" s="8"/>
      <c r="T814" s="8"/>
      <c r="U814" s="8"/>
      <c r="V814" s="8"/>
      <c r="W814" s="8"/>
      <c r="X814" s="8"/>
      <c r="Y814" s="8"/>
      <c r="Z814" s="8"/>
    </row>
    <row r="815" ht="16.5" customHeight="1">
      <c r="A815" s="8"/>
      <c r="B815" s="27"/>
      <c r="C815" s="27"/>
      <c r="D815" s="27"/>
      <c r="E815" s="28"/>
      <c r="F815" s="31"/>
      <c r="G815" s="28"/>
      <c r="H815" s="157"/>
      <c r="I815" s="158"/>
      <c r="J815" s="27"/>
      <c r="K815" s="28"/>
      <c r="L815" s="28"/>
      <c r="M815" s="27"/>
      <c r="N815" s="31"/>
      <c r="O815" s="31"/>
      <c r="P815" s="8"/>
      <c r="Q815" s="8"/>
      <c r="R815" s="8"/>
      <c r="S815" s="8"/>
      <c r="T815" s="8"/>
      <c r="U815" s="8"/>
      <c r="V815" s="8"/>
      <c r="W815" s="8"/>
      <c r="X815" s="8"/>
      <c r="Y815" s="8"/>
      <c r="Z815" s="8"/>
    </row>
    <row r="816" ht="16.5" customHeight="1">
      <c r="A816" s="8"/>
      <c r="B816" s="27"/>
      <c r="C816" s="27"/>
      <c r="D816" s="27"/>
      <c r="E816" s="28"/>
      <c r="F816" s="31"/>
      <c r="G816" s="28"/>
      <c r="H816" s="157"/>
      <c r="I816" s="158"/>
      <c r="J816" s="27"/>
      <c r="K816" s="28"/>
      <c r="L816" s="28"/>
      <c r="M816" s="27"/>
      <c r="N816" s="31"/>
      <c r="O816" s="31"/>
      <c r="P816" s="8"/>
      <c r="Q816" s="8"/>
      <c r="R816" s="8"/>
      <c r="S816" s="8"/>
      <c r="T816" s="8"/>
      <c r="U816" s="8"/>
      <c r="V816" s="8"/>
      <c r="W816" s="8"/>
      <c r="X816" s="8"/>
      <c r="Y816" s="8"/>
      <c r="Z816" s="8"/>
    </row>
    <row r="817" ht="16.5" customHeight="1">
      <c r="A817" s="8"/>
      <c r="B817" s="27"/>
      <c r="C817" s="27"/>
      <c r="D817" s="27"/>
      <c r="E817" s="28"/>
      <c r="F817" s="31"/>
      <c r="G817" s="28"/>
      <c r="H817" s="157"/>
      <c r="I817" s="158"/>
      <c r="J817" s="27"/>
      <c r="K817" s="28"/>
      <c r="L817" s="28"/>
      <c r="M817" s="27"/>
      <c r="N817" s="31"/>
      <c r="O817" s="31"/>
      <c r="P817" s="8"/>
      <c r="Q817" s="8"/>
      <c r="R817" s="8"/>
      <c r="S817" s="8"/>
      <c r="T817" s="8"/>
      <c r="U817" s="8"/>
      <c r="V817" s="8"/>
      <c r="W817" s="8"/>
      <c r="X817" s="8"/>
      <c r="Y817" s="8"/>
      <c r="Z817" s="8"/>
    </row>
    <row r="818" ht="16.5" customHeight="1">
      <c r="A818" s="8"/>
      <c r="B818" s="27"/>
      <c r="C818" s="27"/>
      <c r="D818" s="27"/>
      <c r="E818" s="28"/>
      <c r="F818" s="31"/>
      <c r="G818" s="28"/>
      <c r="H818" s="157"/>
      <c r="I818" s="158"/>
      <c r="J818" s="27"/>
      <c r="K818" s="28"/>
      <c r="L818" s="28"/>
      <c r="M818" s="27"/>
      <c r="N818" s="31"/>
      <c r="O818" s="31"/>
      <c r="P818" s="8"/>
      <c r="Q818" s="8"/>
      <c r="R818" s="8"/>
      <c r="S818" s="8"/>
      <c r="T818" s="8"/>
      <c r="U818" s="8"/>
      <c r="V818" s="8"/>
      <c r="W818" s="8"/>
      <c r="X818" s="8"/>
      <c r="Y818" s="8"/>
      <c r="Z818" s="8"/>
    </row>
    <row r="819" ht="16.5" customHeight="1">
      <c r="A819" s="8"/>
      <c r="B819" s="27"/>
      <c r="C819" s="27"/>
      <c r="D819" s="27"/>
      <c r="E819" s="28"/>
      <c r="F819" s="31"/>
      <c r="G819" s="28"/>
      <c r="H819" s="157"/>
      <c r="I819" s="158"/>
      <c r="J819" s="27"/>
      <c r="K819" s="28"/>
      <c r="L819" s="28"/>
      <c r="M819" s="27"/>
      <c r="N819" s="31"/>
      <c r="O819" s="31"/>
      <c r="P819" s="8"/>
      <c r="Q819" s="8"/>
      <c r="R819" s="8"/>
      <c r="S819" s="8"/>
      <c r="T819" s="8"/>
      <c r="U819" s="8"/>
      <c r="V819" s="8"/>
      <c r="W819" s="8"/>
      <c r="X819" s="8"/>
      <c r="Y819" s="8"/>
      <c r="Z819" s="8"/>
    </row>
    <row r="820" ht="16.5" customHeight="1">
      <c r="A820" s="8"/>
      <c r="B820" s="27"/>
      <c r="C820" s="27"/>
      <c r="D820" s="27"/>
      <c r="E820" s="28"/>
      <c r="F820" s="31"/>
      <c r="G820" s="28"/>
      <c r="H820" s="157"/>
      <c r="I820" s="158"/>
      <c r="J820" s="27"/>
      <c r="K820" s="28"/>
      <c r="L820" s="28"/>
      <c r="M820" s="27"/>
      <c r="N820" s="31"/>
      <c r="O820" s="31"/>
      <c r="P820" s="8"/>
      <c r="Q820" s="8"/>
      <c r="R820" s="8"/>
      <c r="S820" s="8"/>
      <c r="T820" s="8"/>
      <c r="U820" s="8"/>
      <c r="V820" s="8"/>
      <c r="W820" s="8"/>
      <c r="X820" s="8"/>
      <c r="Y820" s="8"/>
      <c r="Z820" s="8"/>
    </row>
    <row r="821" ht="16.5" customHeight="1">
      <c r="A821" s="8"/>
      <c r="B821" s="27"/>
      <c r="C821" s="27"/>
      <c r="D821" s="27"/>
      <c r="E821" s="28"/>
      <c r="F821" s="31"/>
      <c r="G821" s="28"/>
      <c r="H821" s="157"/>
      <c r="I821" s="158"/>
      <c r="J821" s="27"/>
      <c r="K821" s="28"/>
      <c r="L821" s="28"/>
      <c r="M821" s="27"/>
      <c r="N821" s="31"/>
      <c r="O821" s="31"/>
      <c r="P821" s="8"/>
      <c r="Q821" s="8"/>
      <c r="R821" s="8"/>
      <c r="S821" s="8"/>
      <c r="T821" s="8"/>
      <c r="U821" s="8"/>
      <c r="V821" s="8"/>
      <c r="W821" s="8"/>
      <c r="X821" s="8"/>
      <c r="Y821" s="8"/>
      <c r="Z821" s="8"/>
    </row>
    <row r="822" ht="16.5" customHeight="1">
      <c r="A822" s="8"/>
      <c r="B822" s="27"/>
      <c r="C822" s="27"/>
      <c r="D822" s="27"/>
      <c r="E822" s="28"/>
      <c r="F822" s="31"/>
      <c r="G822" s="28"/>
      <c r="H822" s="157"/>
      <c r="I822" s="158"/>
      <c r="J822" s="27"/>
      <c r="K822" s="28"/>
      <c r="L822" s="28"/>
      <c r="M822" s="27"/>
      <c r="N822" s="31"/>
      <c r="O822" s="31"/>
      <c r="P822" s="8"/>
      <c r="Q822" s="8"/>
      <c r="R822" s="8"/>
      <c r="S822" s="8"/>
      <c r="T822" s="8"/>
      <c r="U822" s="8"/>
      <c r="V822" s="8"/>
      <c r="W822" s="8"/>
      <c r="X822" s="8"/>
      <c r="Y822" s="8"/>
      <c r="Z822" s="8"/>
    </row>
    <row r="823" ht="16.5" customHeight="1">
      <c r="A823" s="8"/>
      <c r="B823" s="27"/>
      <c r="C823" s="27"/>
      <c r="D823" s="27"/>
      <c r="E823" s="28"/>
      <c r="F823" s="31"/>
      <c r="G823" s="28"/>
      <c r="H823" s="157"/>
      <c r="I823" s="158"/>
      <c r="J823" s="27"/>
      <c r="K823" s="28"/>
      <c r="L823" s="28"/>
      <c r="M823" s="27"/>
      <c r="N823" s="31"/>
      <c r="O823" s="31"/>
      <c r="P823" s="8"/>
      <c r="Q823" s="8"/>
      <c r="R823" s="8"/>
      <c r="S823" s="8"/>
      <c r="T823" s="8"/>
      <c r="U823" s="8"/>
      <c r="V823" s="8"/>
      <c r="W823" s="8"/>
      <c r="X823" s="8"/>
      <c r="Y823" s="8"/>
      <c r="Z823" s="8"/>
    </row>
    <row r="824" ht="16.5" customHeight="1">
      <c r="A824" s="8"/>
      <c r="B824" s="27"/>
      <c r="C824" s="27"/>
      <c r="D824" s="27"/>
      <c r="E824" s="28"/>
      <c r="F824" s="31"/>
      <c r="G824" s="28"/>
      <c r="H824" s="157"/>
      <c r="I824" s="158"/>
      <c r="J824" s="27"/>
      <c r="K824" s="28"/>
      <c r="L824" s="28"/>
      <c r="M824" s="27"/>
      <c r="N824" s="31"/>
      <c r="O824" s="31"/>
      <c r="P824" s="8"/>
      <c r="Q824" s="8"/>
      <c r="R824" s="8"/>
      <c r="S824" s="8"/>
      <c r="T824" s="8"/>
      <c r="U824" s="8"/>
      <c r="V824" s="8"/>
      <c r="W824" s="8"/>
      <c r="X824" s="8"/>
      <c r="Y824" s="8"/>
      <c r="Z824" s="8"/>
    </row>
    <row r="825" ht="16.5" customHeight="1">
      <c r="A825" s="8"/>
      <c r="B825" s="27"/>
      <c r="C825" s="27"/>
      <c r="D825" s="27"/>
      <c r="E825" s="28"/>
      <c r="F825" s="31"/>
      <c r="G825" s="28"/>
      <c r="H825" s="157"/>
      <c r="I825" s="158"/>
      <c r="J825" s="27"/>
      <c r="K825" s="28"/>
      <c r="L825" s="28"/>
      <c r="M825" s="27"/>
      <c r="N825" s="31"/>
      <c r="O825" s="31"/>
      <c r="P825" s="8"/>
      <c r="Q825" s="8"/>
      <c r="R825" s="8"/>
      <c r="S825" s="8"/>
      <c r="T825" s="8"/>
      <c r="U825" s="8"/>
      <c r="V825" s="8"/>
      <c r="W825" s="8"/>
      <c r="X825" s="8"/>
      <c r="Y825" s="8"/>
      <c r="Z825" s="8"/>
    </row>
    <row r="826" ht="16.5" customHeight="1">
      <c r="A826" s="8"/>
      <c r="B826" s="27"/>
      <c r="C826" s="27"/>
      <c r="D826" s="27"/>
      <c r="E826" s="28"/>
      <c r="F826" s="31"/>
      <c r="G826" s="28"/>
      <c r="H826" s="157"/>
      <c r="I826" s="158"/>
      <c r="J826" s="27"/>
      <c r="K826" s="28"/>
      <c r="L826" s="28"/>
      <c r="M826" s="27"/>
      <c r="N826" s="31"/>
      <c r="O826" s="31"/>
      <c r="P826" s="8"/>
      <c r="Q826" s="8"/>
      <c r="R826" s="8"/>
      <c r="S826" s="8"/>
      <c r="T826" s="8"/>
      <c r="U826" s="8"/>
      <c r="V826" s="8"/>
      <c r="W826" s="8"/>
      <c r="X826" s="8"/>
      <c r="Y826" s="8"/>
      <c r="Z826" s="8"/>
    </row>
    <row r="827" ht="16.5" customHeight="1">
      <c r="A827" s="8"/>
      <c r="B827" s="27"/>
      <c r="C827" s="27"/>
      <c r="D827" s="27"/>
      <c r="E827" s="28"/>
      <c r="F827" s="31"/>
      <c r="G827" s="28"/>
      <c r="H827" s="157"/>
      <c r="I827" s="158"/>
      <c r="J827" s="27"/>
      <c r="K827" s="28"/>
      <c r="L827" s="28"/>
      <c r="M827" s="27"/>
      <c r="N827" s="31"/>
      <c r="O827" s="31"/>
      <c r="P827" s="8"/>
      <c r="Q827" s="8"/>
      <c r="R827" s="8"/>
      <c r="S827" s="8"/>
      <c r="T827" s="8"/>
      <c r="U827" s="8"/>
      <c r="V827" s="8"/>
      <c r="W827" s="8"/>
      <c r="X827" s="8"/>
      <c r="Y827" s="8"/>
      <c r="Z827" s="8"/>
    </row>
    <row r="828" ht="16.5" customHeight="1">
      <c r="A828" s="8"/>
      <c r="B828" s="27"/>
      <c r="C828" s="27"/>
      <c r="D828" s="27"/>
      <c r="E828" s="28"/>
      <c r="F828" s="31"/>
      <c r="G828" s="28"/>
      <c r="H828" s="157"/>
      <c r="I828" s="158"/>
      <c r="J828" s="27"/>
      <c r="K828" s="28"/>
      <c r="L828" s="28"/>
      <c r="M828" s="27"/>
      <c r="N828" s="31"/>
      <c r="O828" s="31"/>
      <c r="P828" s="8"/>
      <c r="Q828" s="8"/>
      <c r="R828" s="8"/>
      <c r="S828" s="8"/>
      <c r="T828" s="8"/>
      <c r="U828" s="8"/>
      <c r="V828" s="8"/>
      <c r="W828" s="8"/>
      <c r="X828" s="8"/>
      <c r="Y828" s="8"/>
      <c r="Z828" s="8"/>
    </row>
    <row r="829" ht="16.5" customHeight="1">
      <c r="A829" s="8"/>
      <c r="B829" s="27"/>
      <c r="C829" s="27"/>
      <c r="D829" s="27"/>
      <c r="E829" s="28"/>
      <c r="F829" s="31"/>
      <c r="G829" s="28"/>
      <c r="H829" s="157"/>
      <c r="I829" s="158"/>
      <c r="J829" s="27"/>
      <c r="K829" s="28"/>
      <c r="L829" s="28"/>
      <c r="M829" s="27"/>
      <c r="N829" s="31"/>
      <c r="O829" s="31"/>
      <c r="P829" s="8"/>
      <c r="Q829" s="8"/>
      <c r="R829" s="8"/>
      <c r="S829" s="8"/>
      <c r="T829" s="8"/>
      <c r="U829" s="8"/>
      <c r="V829" s="8"/>
      <c r="W829" s="8"/>
      <c r="X829" s="8"/>
      <c r="Y829" s="8"/>
      <c r="Z829" s="8"/>
    </row>
    <row r="830" ht="16.5" customHeight="1">
      <c r="A830" s="8"/>
      <c r="B830" s="27"/>
      <c r="C830" s="27"/>
      <c r="D830" s="27"/>
      <c r="E830" s="28"/>
      <c r="F830" s="31"/>
      <c r="G830" s="28"/>
      <c r="H830" s="157"/>
      <c r="I830" s="158"/>
      <c r="J830" s="27"/>
      <c r="K830" s="28"/>
      <c r="L830" s="28"/>
      <c r="M830" s="27"/>
      <c r="N830" s="31"/>
      <c r="O830" s="31"/>
      <c r="P830" s="8"/>
      <c r="Q830" s="8"/>
      <c r="R830" s="8"/>
      <c r="S830" s="8"/>
      <c r="T830" s="8"/>
      <c r="U830" s="8"/>
      <c r="V830" s="8"/>
      <c r="W830" s="8"/>
      <c r="X830" s="8"/>
      <c r="Y830" s="8"/>
      <c r="Z830" s="8"/>
    </row>
    <row r="831" ht="16.5" customHeight="1">
      <c r="A831" s="8"/>
      <c r="B831" s="27"/>
      <c r="C831" s="27"/>
      <c r="D831" s="27"/>
      <c r="E831" s="28"/>
      <c r="F831" s="31"/>
      <c r="G831" s="28"/>
      <c r="H831" s="157"/>
      <c r="I831" s="158"/>
      <c r="J831" s="27"/>
      <c r="K831" s="28"/>
      <c r="L831" s="28"/>
      <c r="M831" s="27"/>
      <c r="N831" s="31"/>
      <c r="O831" s="31"/>
      <c r="P831" s="8"/>
      <c r="Q831" s="8"/>
      <c r="R831" s="8"/>
      <c r="S831" s="8"/>
      <c r="T831" s="8"/>
      <c r="U831" s="8"/>
      <c r="V831" s="8"/>
      <c r="W831" s="8"/>
      <c r="X831" s="8"/>
      <c r="Y831" s="8"/>
      <c r="Z831" s="8"/>
    </row>
    <row r="832" ht="16.5" customHeight="1">
      <c r="A832" s="8"/>
      <c r="B832" s="27"/>
      <c r="C832" s="27"/>
      <c r="D832" s="27"/>
      <c r="E832" s="28"/>
      <c r="F832" s="31"/>
      <c r="G832" s="28"/>
      <c r="H832" s="157"/>
      <c r="I832" s="158"/>
      <c r="J832" s="27"/>
      <c r="K832" s="28"/>
      <c r="L832" s="28"/>
      <c r="M832" s="27"/>
      <c r="N832" s="31"/>
      <c r="O832" s="31"/>
      <c r="P832" s="8"/>
      <c r="Q832" s="8"/>
      <c r="R832" s="8"/>
      <c r="S832" s="8"/>
      <c r="T832" s="8"/>
      <c r="U832" s="8"/>
      <c r="V832" s="8"/>
      <c r="W832" s="8"/>
      <c r="X832" s="8"/>
      <c r="Y832" s="8"/>
      <c r="Z832" s="8"/>
    </row>
    <row r="833" ht="16.5" customHeight="1">
      <c r="A833" s="8"/>
      <c r="B833" s="27"/>
      <c r="C833" s="27"/>
      <c r="D833" s="27"/>
      <c r="E833" s="28"/>
      <c r="F833" s="31"/>
      <c r="G833" s="28"/>
      <c r="H833" s="157"/>
      <c r="I833" s="158"/>
      <c r="J833" s="27"/>
      <c r="K833" s="28"/>
      <c r="L833" s="28"/>
      <c r="M833" s="27"/>
      <c r="N833" s="31"/>
      <c r="O833" s="31"/>
      <c r="P833" s="8"/>
      <c r="Q833" s="8"/>
      <c r="R833" s="8"/>
      <c r="S833" s="8"/>
      <c r="T833" s="8"/>
      <c r="U833" s="8"/>
      <c r="V833" s="8"/>
      <c r="W833" s="8"/>
      <c r="X833" s="8"/>
      <c r="Y833" s="8"/>
      <c r="Z833" s="8"/>
    </row>
    <row r="834" ht="16.5" customHeight="1">
      <c r="A834" s="8"/>
      <c r="B834" s="27"/>
      <c r="C834" s="27"/>
      <c r="D834" s="27"/>
      <c r="E834" s="28"/>
      <c r="F834" s="31"/>
      <c r="G834" s="28"/>
      <c r="H834" s="157"/>
      <c r="I834" s="158"/>
      <c r="J834" s="27"/>
      <c r="K834" s="28"/>
      <c r="L834" s="28"/>
      <c r="M834" s="27"/>
      <c r="N834" s="31"/>
      <c r="O834" s="31"/>
      <c r="P834" s="8"/>
      <c r="Q834" s="8"/>
      <c r="R834" s="8"/>
      <c r="S834" s="8"/>
      <c r="T834" s="8"/>
      <c r="U834" s="8"/>
      <c r="V834" s="8"/>
      <c r="W834" s="8"/>
      <c r="X834" s="8"/>
      <c r="Y834" s="8"/>
      <c r="Z834" s="8"/>
    </row>
    <row r="835" ht="16.5" customHeight="1">
      <c r="A835" s="8"/>
      <c r="B835" s="27"/>
      <c r="C835" s="27"/>
      <c r="D835" s="27"/>
      <c r="E835" s="28"/>
      <c r="F835" s="31"/>
      <c r="G835" s="28"/>
      <c r="H835" s="157"/>
      <c r="I835" s="158"/>
      <c r="J835" s="27"/>
      <c r="K835" s="28"/>
      <c r="L835" s="28"/>
      <c r="M835" s="27"/>
      <c r="N835" s="31"/>
      <c r="O835" s="31"/>
      <c r="P835" s="8"/>
      <c r="Q835" s="8"/>
      <c r="R835" s="8"/>
      <c r="S835" s="8"/>
      <c r="T835" s="8"/>
      <c r="U835" s="8"/>
      <c r="V835" s="8"/>
      <c r="W835" s="8"/>
      <c r="X835" s="8"/>
      <c r="Y835" s="8"/>
      <c r="Z835" s="8"/>
    </row>
    <row r="836" ht="16.5" customHeight="1">
      <c r="A836" s="8"/>
      <c r="B836" s="27"/>
      <c r="C836" s="27"/>
      <c r="D836" s="27"/>
      <c r="E836" s="28"/>
      <c r="F836" s="31"/>
      <c r="G836" s="28"/>
      <c r="H836" s="157"/>
      <c r="I836" s="158"/>
      <c r="J836" s="27"/>
      <c r="K836" s="28"/>
      <c r="L836" s="28"/>
      <c r="M836" s="27"/>
      <c r="N836" s="31"/>
      <c r="O836" s="31"/>
      <c r="P836" s="8"/>
      <c r="Q836" s="8"/>
      <c r="R836" s="8"/>
      <c r="S836" s="8"/>
      <c r="T836" s="8"/>
      <c r="U836" s="8"/>
      <c r="V836" s="8"/>
      <c r="W836" s="8"/>
      <c r="X836" s="8"/>
      <c r="Y836" s="8"/>
      <c r="Z836" s="8"/>
    </row>
    <row r="837" ht="16.5" customHeight="1">
      <c r="A837" s="8"/>
      <c r="B837" s="27"/>
      <c r="C837" s="27"/>
      <c r="D837" s="27"/>
      <c r="E837" s="28"/>
      <c r="F837" s="31"/>
      <c r="G837" s="28"/>
      <c r="H837" s="157"/>
      <c r="I837" s="158"/>
      <c r="J837" s="27"/>
      <c r="K837" s="28"/>
      <c r="L837" s="28"/>
      <c r="M837" s="27"/>
      <c r="N837" s="31"/>
      <c r="O837" s="31"/>
      <c r="P837" s="8"/>
      <c r="Q837" s="8"/>
      <c r="R837" s="8"/>
      <c r="S837" s="8"/>
      <c r="T837" s="8"/>
      <c r="U837" s="8"/>
      <c r="V837" s="8"/>
      <c r="W837" s="8"/>
      <c r="X837" s="8"/>
      <c r="Y837" s="8"/>
      <c r="Z837" s="8"/>
    </row>
    <row r="838" ht="16.5" customHeight="1">
      <c r="A838" s="8"/>
      <c r="B838" s="27"/>
      <c r="C838" s="27"/>
      <c r="D838" s="27"/>
      <c r="E838" s="28"/>
      <c r="F838" s="31"/>
      <c r="G838" s="28"/>
      <c r="H838" s="157"/>
      <c r="I838" s="158"/>
      <c r="J838" s="27"/>
      <c r="K838" s="28"/>
      <c r="L838" s="28"/>
      <c r="M838" s="27"/>
      <c r="N838" s="31"/>
      <c r="O838" s="31"/>
      <c r="P838" s="8"/>
      <c r="Q838" s="8"/>
      <c r="R838" s="8"/>
      <c r="S838" s="8"/>
      <c r="T838" s="8"/>
      <c r="U838" s="8"/>
      <c r="V838" s="8"/>
      <c r="W838" s="8"/>
      <c r="X838" s="8"/>
      <c r="Y838" s="8"/>
      <c r="Z838" s="8"/>
    </row>
    <row r="839" ht="16.5" customHeight="1">
      <c r="A839" s="8"/>
      <c r="B839" s="27"/>
      <c r="C839" s="27"/>
      <c r="D839" s="27"/>
      <c r="E839" s="28"/>
      <c r="F839" s="31"/>
      <c r="G839" s="28"/>
      <c r="H839" s="157"/>
      <c r="I839" s="158"/>
      <c r="J839" s="27"/>
      <c r="K839" s="28"/>
      <c r="L839" s="28"/>
      <c r="M839" s="27"/>
      <c r="N839" s="31"/>
      <c r="O839" s="31"/>
      <c r="P839" s="8"/>
      <c r="Q839" s="8"/>
      <c r="R839" s="8"/>
      <c r="S839" s="8"/>
      <c r="T839" s="8"/>
      <c r="U839" s="8"/>
      <c r="V839" s="8"/>
      <c r="W839" s="8"/>
      <c r="X839" s="8"/>
      <c r="Y839" s="8"/>
      <c r="Z839" s="8"/>
    </row>
    <row r="840" ht="16.5" customHeight="1">
      <c r="A840" s="8"/>
      <c r="B840" s="27"/>
      <c r="C840" s="27"/>
      <c r="D840" s="27"/>
      <c r="E840" s="28"/>
      <c r="F840" s="31"/>
      <c r="G840" s="28"/>
      <c r="H840" s="157"/>
      <c r="I840" s="158"/>
      <c r="J840" s="27"/>
      <c r="K840" s="28"/>
      <c r="L840" s="28"/>
      <c r="M840" s="27"/>
      <c r="N840" s="31"/>
      <c r="O840" s="31"/>
      <c r="P840" s="8"/>
      <c r="Q840" s="8"/>
      <c r="R840" s="8"/>
      <c r="S840" s="8"/>
      <c r="T840" s="8"/>
      <c r="U840" s="8"/>
      <c r="V840" s="8"/>
      <c r="W840" s="8"/>
      <c r="X840" s="8"/>
      <c r="Y840" s="8"/>
      <c r="Z840" s="8"/>
    </row>
    <row r="841" ht="16.5" customHeight="1">
      <c r="A841" s="8"/>
      <c r="B841" s="27"/>
      <c r="C841" s="27"/>
      <c r="D841" s="27"/>
      <c r="E841" s="28"/>
      <c r="F841" s="31"/>
      <c r="G841" s="28"/>
      <c r="H841" s="157"/>
      <c r="I841" s="158"/>
      <c r="J841" s="27"/>
      <c r="K841" s="28"/>
      <c r="L841" s="28"/>
      <c r="M841" s="27"/>
      <c r="N841" s="31"/>
      <c r="O841" s="31"/>
      <c r="P841" s="8"/>
      <c r="Q841" s="8"/>
      <c r="R841" s="8"/>
      <c r="S841" s="8"/>
      <c r="T841" s="8"/>
      <c r="U841" s="8"/>
      <c r="V841" s="8"/>
      <c r="W841" s="8"/>
      <c r="X841" s="8"/>
      <c r="Y841" s="8"/>
      <c r="Z841" s="8"/>
    </row>
    <row r="842" ht="16.5" customHeight="1">
      <c r="A842" s="8"/>
      <c r="B842" s="27"/>
      <c r="C842" s="27"/>
      <c r="D842" s="27"/>
      <c r="E842" s="28"/>
      <c r="F842" s="31"/>
      <c r="G842" s="28"/>
      <c r="H842" s="157"/>
      <c r="I842" s="158"/>
      <c r="J842" s="27"/>
      <c r="K842" s="28"/>
      <c r="L842" s="28"/>
      <c r="M842" s="27"/>
      <c r="N842" s="31"/>
      <c r="O842" s="31"/>
      <c r="P842" s="8"/>
      <c r="Q842" s="8"/>
      <c r="R842" s="8"/>
      <c r="S842" s="8"/>
      <c r="T842" s="8"/>
      <c r="U842" s="8"/>
      <c r="V842" s="8"/>
      <c r="W842" s="8"/>
      <c r="X842" s="8"/>
      <c r="Y842" s="8"/>
      <c r="Z842" s="8"/>
    </row>
    <row r="843" ht="16.5" customHeight="1">
      <c r="A843" s="8"/>
      <c r="B843" s="27"/>
      <c r="C843" s="27"/>
      <c r="D843" s="27"/>
      <c r="E843" s="28"/>
      <c r="F843" s="31"/>
      <c r="G843" s="28"/>
      <c r="H843" s="157"/>
      <c r="I843" s="158"/>
      <c r="J843" s="27"/>
      <c r="K843" s="28"/>
      <c r="L843" s="28"/>
      <c r="M843" s="27"/>
      <c r="N843" s="31"/>
      <c r="O843" s="31"/>
      <c r="P843" s="8"/>
      <c r="Q843" s="8"/>
      <c r="R843" s="8"/>
      <c r="S843" s="8"/>
      <c r="T843" s="8"/>
      <c r="U843" s="8"/>
      <c r="V843" s="8"/>
      <c r="W843" s="8"/>
      <c r="X843" s="8"/>
      <c r="Y843" s="8"/>
      <c r="Z843" s="8"/>
    </row>
    <row r="844" ht="16.5" customHeight="1">
      <c r="A844" s="8"/>
      <c r="B844" s="27"/>
      <c r="C844" s="27"/>
      <c r="D844" s="27"/>
      <c r="E844" s="28"/>
      <c r="F844" s="31"/>
      <c r="G844" s="28"/>
      <c r="H844" s="157"/>
      <c r="I844" s="158"/>
      <c r="J844" s="27"/>
      <c r="K844" s="28"/>
      <c r="L844" s="28"/>
      <c r="M844" s="27"/>
      <c r="N844" s="31"/>
      <c r="O844" s="31"/>
      <c r="P844" s="8"/>
      <c r="Q844" s="8"/>
      <c r="R844" s="8"/>
      <c r="S844" s="8"/>
      <c r="T844" s="8"/>
      <c r="U844" s="8"/>
      <c r="V844" s="8"/>
      <c r="W844" s="8"/>
      <c r="X844" s="8"/>
      <c r="Y844" s="8"/>
      <c r="Z844" s="8"/>
    </row>
    <row r="845" ht="16.5" customHeight="1">
      <c r="A845" s="8"/>
      <c r="B845" s="27"/>
      <c r="C845" s="27"/>
      <c r="D845" s="27"/>
      <c r="E845" s="28"/>
      <c r="F845" s="31"/>
      <c r="G845" s="28"/>
      <c r="H845" s="157"/>
      <c r="I845" s="158"/>
      <c r="J845" s="27"/>
      <c r="K845" s="28"/>
      <c r="L845" s="28"/>
      <c r="M845" s="27"/>
      <c r="N845" s="31"/>
      <c r="O845" s="31"/>
      <c r="P845" s="8"/>
      <c r="Q845" s="8"/>
      <c r="R845" s="8"/>
      <c r="S845" s="8"/>
      <c r="T845" s="8"/>
      <c r="U845" s="8"/>
      <c r="V845" s="8"/>
      <c r="W845" s="8"/>
      <c r="X845" s="8"/>
      <c r="Y845" s="8"/>
      <c r="Z845" s="8"/>
    </row>
    <row r="846" ht="16.5" customHeight="1">
      <c r="A846" s="8"/>
      <c r="B846" s="27"/>
      <c r="C846" s="27"/>
      <c r="D846" s="27"/>
      <c r="E846" s="28"/>
      <c r="F846" s="31"/>
      <c r="G846" s="28"/>
      <c r="H846" s="157"/>
      <c r="I846" s="158"/>
      <c r="J846" s="27"/>
      <c r="K846" s="28"/>
      <c r="L846" s="28"/>
      <c r="M846" s="27"/>
      <c r="N846" s="31"/>
      <c r="O846" s="31"/>
      <c r="P846" s="8"/>
      <c r="Q846" s="8"/>
      <c r="R846" s="8"/>
      <c r="S846" s="8"/>
      <c r="T846" s="8"/>
      <c r="U846" s="8"/>
      <c r="V846" s="8"/>
      <c r="W846" s="8"/>
      <c r="X846" s="8"/>
      <c r="Y846" s="8"/>
      <c r="Z846" s="8"/>
    </row>
    <row r="847" ht="16.5" customHeight="1">
      <c r="A847" s="8"/>
      <c r="B847" s="27"/>
      <c r="C847" s="27"/>
      <c r="D847" s="27"/>
      <c r="E847" s="28"/>
      <c r="F847" s="31"/>
      <c r="G847" s="28"/>
      <c r="H847" s="157"/>
      <c r="I847" s="158"/>
      <c r="J847" s="27"/>
      <c r="K847" s="28"/>
      <c r="L847" s="28"/>
      <c r="M847" s="27"/>
      <c r="N847" s="31"/>
      <c r="O847" s="31"/>
      <c r="P847" s="8"/>
      <c r="Q847" s="8"/>
      <c r="R847" s="8"/>
      <c r="S847" s="8"/>
      <c r="T847" s="8"/>
      <c r="U847" s="8"/>
      <c r="V847" s="8"/>
      <c r="W847" s="8"/>
      <c r="X847" s="8"/>
      <c r="Y847" s="8"/>
      <c r="Z847" s="8"/>
    </row>
    <row r="848" ht="16.5" customHeight="1">
      <c r="A848" s="8"/>
      <c r="B848" s="27"/>
      <c r="C848" s="27"/>
      <c r="D848" s="27"/>
      <c r="E848" s="28"/>
      <c r="F848" s="31"/>
      <c r="G848" s="28"/>
      <c r="H848" s="157"/>
      <c r="I848" s="158"/>
      <c r="J848" s="27"/>
      <c r="K848" s="28"/>
      <c r="L848" s="28"/>
      <c r="M848" s="27"/>
      <c r="N848" s="31"/>
      <c r="O848" s="31"/>
      <c r="P848" s="8"/>
      <c r="Q848" s="8"/>
      <c r="R848" s="8"/>
      <c r="S848" s="8"/>
      <c r="T848" s="8"/>
      <c r="U848" s="8"/>
      <c r="V848" s="8"/>
      <c r="W848" s="8"/>
      <c r="X848" s="8"/>
      <c r="Y848" s="8"/>
      <c r="Z848" s="8"/>
    </row>
    <row r="849" ht="16.5" customHeight="1">
      <c r="A849" s="8"/>
      <c r="B849" s="27"/>
      <c r="C849" s="27"/>
      <c r="D849" s="27"/>
      <c r="E849" s="28"/>
      <c r="F849" s="31"/>
      <c r="G849" s="28"/>
      <c r="H849" s="157"/>
      <c r="I849" s="158"/>
      <c r="J849" s="27"/>
      <c r="K849" s="28"/>
      <c r="L849" s="28"/>
      <c r="M849" s="27"/>
      <c r="N849" s="31"/>
      <c r="O849" s="31"/>
      <c r="P849" s="8"/>
      <c r="Q849" s="8"/>
      <c r="R849" s="8"/>
      <c r="S849" s="8"/>
      <c r="T849" s="8"/>
      <c r="U849" s="8"/>
      <c r="V849" s="8"/>
      <c r="W849" s="8"/>
      <c r="X849" s="8"/>
      <c r="Y849" s="8"/>
      <c r="Z849" s="8"/>
    </row>
    <row r="850" ht="16.5" customHeight="1">
      <c r="A850" s="8"/>
      <c r="B850" s="27"/>
      <c r="C850" s="27"/>
      <c r="D850" s="27"/>
      <c r="E850" s="28"/>
      <c r="F850" s="31"/>
      <c r="G850" s="28"/>
      <c r="H850" s="157"/>
      <c r="I850" s="158"/>
      <c r="J850" s="27"/>
      <c r="K850" s="28"/>
      <c r="L850" s="28"/>
      <c r="M850" s="27"/>
      <c r="N850" s="31"/>
      <c r="O850" s="31"/>
      <c r="P850" s="8"/>
      <c r="Q850" s="8"/>
      <c r="R850" s="8"/>
      <c r="S850" s="8"/>
      <c r="T850" s="8"/>
      <c r="U850" s="8"/>
      <c r="V850" s="8"/>
      <c r="W850" s="8"/>
      <c r="X850" s="8"/>
      <c r="Y850" s="8"/>
      <c r="Z850" s="8"/>
    </row>
    <row r="851" ht="16.5" customHeight="1">
      <c r="A851" s="8"/>
      <c r="B851" s="27"/>
      <c r="C851" s="27"/>
      <c r="D851" s="27"/>
      <c r="E851" s="28"/>
      <c r="F851" s="31"/>
      <c r="G851" s="28"/>
      <c r="H851" s="157"/>
      <c r="I851" s="158"/>
      <c r="J851" s="27"/>
      <c r="K851" s="28"/>
      <c r="L851" s="28"/>
      <c r="M851" s="27"/>
      <c r="N851" s="31"/>
      <c r="O851" s="31"/>
      <c r="P851" s="8"/>
      <c r="Q851" s="8"/>
      <c r="R851" s="8"/>
      <c r="S851" s="8"/>
      <c r="T851" s="8"/>
      <c r="U851" s="8"/>
      <c r="V851" s="8"/>
      <c r="W851" s="8"/>
      <c r="X851" s="8"/>
      <c r="Y851" s="8"/>
      <c r="Z851" s="8"/>
    </row>
    <row r="852" ht="16.5" customHeight="1">
      <c r="A852" s="8"/>
      <c r="B852" s="27"/>
      <c r="C852" s="27"/>
      <c r="D852" s="27"/>
      <c r="E852" s="28"/>
      <c r="F852" s="31"/>
      <c r="G852" s="28"/>
      <c r="H852" s="157"/>
      <c r="I852" s="158"/>
      <c r="J852" s="27"/>
      <c r="K852" s="28"/>
      <c r="L852" s="28"/>
      <c r="M852" s="27"/>
      <c r="N852" s="31"/>
      <c r="O852" s="31"/>
      <c r="P852" s="8"/>
      <c r="Q852" s="8"/>
      <c r="R852" s="8"/>
      <c r="S852" s="8"/>
      <c r="T852" s="8"/>
      <c r="U852" s="8"/>
      <c r="V852" s="8"/>
      <c r="W852" s="8"/>
      <c r="X852" s="8"/>
      <c r="Y852" s="8"/>
      <c r="Z852" s="8"/>
    </row>
    <row r="853" ht="16.5" customHeight="1">
      <c r="A853" s="8"/>
      <c r="B853" s="27"/>
      <c r="C853" s="27"/>
      <c r="D853" s="27"/>
      <c r="E853" s="28"/>
      <c r="F853" s="31"/>
      <c r="G853" s="28"/>
      <c r="H853" s="157"/>
      <c r="I853" s="158"/>
      <c r="J853" s="27"/>
      <c r="K853" s="28"/>
      <c r="L853" s="28"/>
      <c r="M853" s="27"/>
      <c r="N853" s="31"/>
      <c r="O853" s="31"/>
      <c r="P853" s="8"/>
      <c r="Q853" s="8"/>
      <c r="R853" s="8"/>
      <c r="S853" s="8"/>
      <c r="T853" s="8"/>
      <c r="U853" s="8"/>
      <c r="V853" s="8"/>
      <c r="W853" s="8"/>
      <c r="X853" s="8"/>
      <c r="Y853" s="8"/>
      <c r="Z853" s="8"/>
    </row>
    <row r="854" ht="16.5" customHeight="1">
      <c r="A854" s="8"/>
      <c r="B854" s="27"/>
      <c r="C854" s="27"/>
      <c r="D854" s="27"/>
      <c r="E854" s="28"/>
      <c r="F854" s="31"/>
      <c r="G854" s="28"/>
      <c r="H854" s="157"/>
      <c r="I854" s="158"/>
      <c r="J854" s="27"/>
      <c r="K854" s="28"/>
      <c r="L854" s="28"/>
      <c r="M854" s="27"/>
      <c r="N854" s="31"/>
      <c r="O854" s="31"/>
      <c r="P854" s="8"/>
      <c r="Q854" s="8"/>
      <c r="R854" s="8"/>
      <c r="S854" s="8"/>
      <c r="T854" s="8"/>
      <c r="U854" s="8"/>
      <c r="V854" s="8"/>
      <c r="W854" s="8"/>
      <c r="X854" s="8"/>
      <c r="Y854" s="8"/>
      <c r="Z854" s="8"/>
    </row>
    <row r="855" ht="16.5" customHeight="1">
      <c r="A855" s="8"/>
      <c r="B855" s="27"/>
      <c r="C855" s="27"/>
      <c r="D855" s="27"/>
      <c r="E855" s="28"/>
      <c r="F855" s="31"/>
      <c r="G855" s="28"/>
      <c r="H855" s="157"/>
      <c r="I855" s="158"/>
      <c r="J855" s="27"/>
      <c r="K855" s="28"/>
      <c r="L855" s="28"/>
      <c r="M855" s="27"/>
      <c r="N855" s="31"/>
      <c r="O855" s="31"/>
      <c r="P855" s="8"/>
      <c r="Q855" s="8"/>
      <c r="R855" s="8"/>
      <c r="S855" s="8"/>
      <c r="T855" s="8"/>
      <c r="U855" s="8"/>
      <c r="V855" s="8"/>
      <c r="W855" s="8"/>
      <c r="X855" s="8"/>
      <c r="Y855" s="8"/>
      <c r="Z855" s="8"/>
    </row>
    <row r="856" ht="16.5" customHeight="1">
      <c r="A856" s="8"/>
      <c r="B856" s="27"/>
      <c r="C856" s="27"/>
      <c r="D856" s="27"/>
      <c r="E856" s="28"/>
      <c r="F856" s="31"/>
      <c r="G856" s="28"/>
      <c r="H856" s="157"/>
      <c r="I856" s="158"/>
      <c r="J856" s="27"/>
      <c r="K856" s="28"/>
      <c r="L856" s="28"/>
      <c r="M856" s="27"/>
      <c r="N856" s="31"/>
      <c r="O856" s="31"/>
      <c r="P856" s="8"/>
      <c r="Q856" s="8"/>
      <c r="R856" s="8"/>
      <c r="S856" s="8"/>
      <c r="T856" s="8"/>
      <c r="U856" s="8"/>
      <c r="V856" s="8"/>
      <c r="W856" s="8"/>
      <c r="X856" s="8"/>
      <c r="Y856" s="8"/>
      <c r="Z856" s="8"/>
    </row>
    <row r="857" ht="16.5" customHeight="1">
      <c r="A857" s="8"/>
      <c r="B857" s="27"/>
      <c r="C857" s="27"/>
      <c r="D857" s="27"/>
      <c r="E857" s="28"/>
      <c r="F857" s="31"/>
      <c r="G857" s="28"/>
      <c r="H857" s="157"/>
      <c r="I857" s="158"/>
      <c r="J857" s="27"/>
      <c r="K857" s="28"/>
      <c r="L857" s="28"/>
      <c r="M857" s="27"/>
      <c r="N857" s="31"/>
      <c r="O857" s="31"/>
      <c r="P857" s="8"/>
      <c r="Q857" s="8"/>
      <c r="R857" s="8"/>
      <c r="S857" s="8"/>
      <c r="T857" s="8"/>
      <c r="U857" s="8"/>
      <c r="V857" s="8"/>
      <c r="W857" s="8"/>
      <c r="X857" s="8"/>
      <c r="Y857" s="8"/>
      <c r="Z857" s="8"/>
    </row>
    <row r="858" ht="16.5" customHeight="1">
      <c r="A858" s="8"/>
      <c r="B858" s="27"/>
      <c r="C858" s="27"/>
      <c r="D858" s="27"/>
      <c r="E858" s="28"/>
      <c r="F858" s="31"/>
      <c r="G858" s="28"/>
      <c r="H858" s="157"/>
      <c r="I858" s="158"/>
      <c r="J858" s="27"/>
      <c r="K858" s="28"/>
      <c r="L858" s="28"/>
      <c r="M858" s="27"/>
      <c r="N858" s="31"/>
      <c r="O858" s="31"/>
      <c r="P858" s="8"/>
      <c r="Q858" s="8"/>
      <c r="R858" s="8"/>
      <c r="S858" s="8"/>
      <c r="T858" s="8"/>
      <c r="U858" s="8"/>
      <c r="V858" s="8"/>
      <c r="W858" s="8"/>
      <c r="X858" s="8"/>
      <c r="Y858" s="8"/>
      <c r="Z858" s="8"/>
    </row>
    <row r="859" ht="16.5" customHeight="1">
      <c r="A859" s="8"/>
      <c r="B859" s="27"/>
      <c r="C859" s="27"/>
      <c r="D859" s="27"/>
      <c r="E859" s="28"/>
      <c r="F859" s="31"/>
      <c r="G859" s="28"/>
      <c r="H859" s="157"/>
      <c r="I859" s="158"/>
      <c r="J859" s="27"/>
      <c r="K859" s="28"/>
      <c r="L859" s="28"/>
      <c r="M859" s="27"/>
      <c r="N859" s="31"/>
      <c r="O859" s="31"/>
      <c r="P859" s="8"/>
      <c r="Q859" s="8"/>
      <c r="R859" s="8"/>
      <c r="S859" s="8"/>
      <c r="T859" s="8"/>
      <c r="U859" s="8"/>
      <c r="V859" s="8"/>
      <c r="W859" s="8"/>
      <c r="X859" s="8"/>
      <c r="Y859" s="8"/>
      <c r="Z859" s="8"/>
    </row>
    <row r="860" ht="16.5" customHeight="1">
      <c r="A860" s="8"/>
      <c r="B860" s="27"/>
      <c r="C860" s="27"/>
      <c r="D860" s="27"/>
      <c r="E860" s="28"/>
      <c r="F860" s="31"/>
      <c r="G860" s="28"/>
      <c r="H860" s="157"/>
      <c r="I860" s="158"/>
      <c r="J860" s="27"/>
      <c r="K860" s="28"/>
      <c r="L860" s="28"/>
      <c r="M860" s="27"/>
      <c r="N860" s="31"/>
      <c r="O860" s="31"/>
      <c r="P860" s="8"/>
      <c r="Q860" s="8"/>
      <c r="R860" s="8"/>
      <c r="S860" s="8"/>
      <c r="T860" s="8"/>
      <c r="U860" s="8"/>
      <c r="V860" s="8"/>
      <c r="W860" s="8"/>
      <c r="X860" s="8"/>
      <c r="Y860" s="8"/>
      <c r="Z860" s="8"/>
    </row>
    <row r="861" ht="16.5" customHeight="1">
      <c r="A861" s="8"/>
      <c r="B861" s="27"/>
      <c r="C861" s="27"/>
      <c r="D861" s="27"/>
      <c r="E861" s="28"/>
      <c r="F861" s="31"/>
      <c r="G861" s="28"/>
      <c r="H861" s="157"/>
      <c r="I861" s="158"/>
      <c r="J861" s="27"/>
      <c r="K861" s="28"/>
      <c r="L861" s="28"/>
      <c r="M861" s="27"/>
      <c r="N861" s="31"/>
      <c r="O861" s="31"/>
      <c r="P861" s="8"/>
      <c r="Q861" s="8"/>
      <c r="R861" s="8"/>
      <c r="S861" s="8"/>
      <c r="T861" s="8"/>
      <c r="U861" s="8"/>
      <c r="V861" s="8"/>
      <c r="W861" s="8"/>
      <c r="X861" s="8"/>
      <c r="Y861" s="8"/>
      <c r="Z861" s="8"/>
    </row>
    <row r="862" ht="16.5" customHeight="1">
      <c r="A862" s="8"/>
      <c r="B862" s="27"/>
      <c r="C862" s="27"/>
      <c r="D862" s="27"/>
      <c r="E862" s="28"/>
      <c r="F862" s="31"/>
      <c r="G862" s="28"/>
      <c r="H862" s="157"/>
      <c r="I862" s="158"/>
      <c r="J862" s="27"/>
      <c r="K862" s="28"/>
      <c r="L862" s="28"/>
      <c r="M862" s="27"/>
      <c r="N862" s="31"/>
      <c r="O862" s="31"/>
      <c r="P862" s="8"/>
      <c r="Q862" s="8"/>
      <c r="R862" s="8"/>
      <c r="S862" s="8"/>
      <c r="T862" s="8"/>
      <c r="U862" s="8"/>
      <c r="V862" s="8"/>
      <c r="W862" s="8"/>
      <c r="X862" s="8"/>
      <c r="Y862" s="8"/>
      <c r="Z862" s="8"/>
    </row>
    <row r="863" ht="16.5" customHeight="1">
      <c r="A863" s="8"/>
      <c r="B863" s="27"/>
      <c r="C863" s="27"/>
      <c r="D863" s="27"/>
      <c r="E863" s="28"/>
      <c r="F863" s="31"/>
      <c r="G863" s="28"/>
      <c r="H863" s="157"/>
      <c r="I863" s="158"/>
      <c r="J863" s="27"/>
      <c r="K863" s="28"/>
      <c r="L863" s="28"/>
      <c r="M863" s="27"/>
      <c r="N863" s="31"/>
      <c r="O863" s="31"/>
      <c r="P863" s="8"/>
      <c r="Q863" s="8"/>
      <c r="R863" s="8"/>
      <c r="S863" s="8"/>
      <c r="T863" s="8"/>
      <c r="U863" s="8"/>
      <c r="V863" s="8"/>
      <c r="W863" s="8"/>
      <c r="X863" s="8"/>
      <c r="Y863" s="8"/>
      <c r="Z863" s="8"/>
    </row>
    <row r="864" ht="16.5" customHeight="1">
      <c r="A864" s="8"/>
      <c r="B864" s="27"/>
      <c r="C864" s="27"/>
      <c r="D864" s="27"/>
      <c r="E864" s="28"/>
      <c r="F864" s="31"/>
      <c r="G864" s="28"/>
      <c r="H864" s="157"/>
      <c r="I864" s="158"/>
      <c r="J864" s="27"/>
      <c r="K864" s="28"/>
      <c r="L864" s="28"/>
      <c r="M864" s="27"/>
      <c r="N864" s="31"/>
      <c r="O864" s="31"/>
      <c r="P864" s="8"/>
      <c r="Q864" s="8"/>
      <c r="R864" s="8"/>
      <c r="S864" s="8"/>
      <c r="T864" s="8"/>
      <c r="U864" s="8"/>
      <c r="V864" s="8"/>
      <c r="W864" s="8"/>
      <c r="X864" s="8"/>
      <c r="Y864" s="8"/>
      <c r="Z864" s="8"/>
    </row>
    <row r="865" ht="16.5" customHeight="1">
      <c r="A865" s="8"/>
      <c r="B865" s="27"/>
      <c r="C865" s="27"/>
      <c r="D865" s="27"/>
      <c r="E865" s="28"/>
      <c r="F865" s="31"/>
      <c r="G865" s="28"/>
      <c r="H865" s="157"/>
      <c r="I865" s="158"/>
      <c r="J865" s="27"/>
      <c r="K865" s="28"/>
      <c r="L865" s="28"/>
      <c r="M865" s="27"/>
      <c r="N865" s="31"/>
      <c r="O865" s="31"/>
      <c r="P865" s="8"/>
      <c r="Q865" s="8"/>
      <c r="R865" s="8"/>
      <c r="S865" s="8"/>
      <c r="T865" s="8"/>
      <c r="U865" s="8"/>
      <c r="V865" s="8"/>
      <c r="W865" s="8"/>
      <c r="X865" s="8"/>
      <c r="Y865" s="8"/>
      <c r="Z865" s="8"/>
    </row>
    <row r="866" ht="16.5" customHeight="1">
      <c r="A866" s="8"/>
      <c r="B866" s="27"/>
      <c r="C866" s="27"/>
      <c r="D866" s="27"/>
      <c r="E866" s="28"/>
      <c r="F866" s="31"/>
      <c r="G866" s="28"/>
      <c r="H866" s="157"/>
      <c r="I866" s="158"/>
      <c r="J866" s="27"/>
      <c r="K866" s="28"/>
      <c r="L866" s="28"/>
      <c r="M866" s="27"/>
      <c r="N866" s="31"/>
      <c r="O866" s="31"/>
      <c r="P866" s="8"/>
      <c r="Q866" s="8"/>
      <c r="R866" s="8"/>
      <c r="S866" s="8"/>
      <c r="T866" s="8"/>
      <c r="U866" s="8"/>
      <c r="V866" s="8"/>
      <c r="W866" s="8"/>
      <c r="X866" s="8"/>
      <c r="Y866" s="8"/>
      <c r="Z866" s="8"/>
    </row>
    <row r="867" ht="16.5" customHeight="1">
      <c r="A867" s="8"/>
      <c r="B867" s="27"/>
      <c r="C867" s="27"/>
      <c r="D867" s="27"/>
      <c r="E867" s="28"/>
      <c r="F867" s="31"/>
      <c r="G867" s="28"/>
      <c r="H867" s="157"/>
      <c r="I867" s="158"/>
      <c r="J867" s="27"/>
      <c r="K867" s="28"/>
      <c r="L867" s="28"/>
      <c r="M867" s="27"/>
      <c r="N867" s="31"/>
      <c r="O867" s="31"/>
      <c r="P867" s="8"/>
      <c r="Q867" s="8"/>
      <c r="R867" s="8"/>
      <c r="S867" s="8"/>
      <c r="T867" s="8"/>
      <c r="U867" s="8"/>
      <c r="V867" s="8"/>
      <c r="W867" s="8"/>
      <c r="X867" s="8"/>
      <c r="Y867" s="8"/>
      <c r="Z867" s="8"/>
    </row>
    <row r="868" ht="16.5" customHeight="1">
      <c r="A868" s="8"/>
      <c r="B868" s="27"/>
      <c r="C868" s="27"/>
      <c r="D868" s="27"/>
      <c r="E868" s="28"/>
      <c r="F868" s="31"/>
      <c r="G868" s="28"/>
      <c r="H868" s="157"/>
      <c r="I868" s="158"/>
      <c r="J868" s="27"/>
      <c r="K868" s="28"/>
      <c r="L868" s="28"/>
      <c r="M868" s="27"/>
      <c r="N868" s="31"/>
      <c r="O868" s="31"/>
      <c r="P868" s="8"/>
      <c r="Q868" s="8"/>
      <c r="R868" s="8"/>
      <c r="S868" s="8"/>
      <c r="T868" s="8"/>
      <c r="U868" s="8"/>
      <c r="V868" s="8"/>
      <c r="W868" s="8"/>
      <c r="X868" s="8"/>
      <c r="Y868" s="8"/>
      <c r="Z868" s="8"/>
    </row>
    <row r="869" ht="16.5" customHeight="1">
      <c r="A869" s="8"/>
      <c r="B869" s="27"/>
      <c r="C869" s="27"/>
      <c r="D869" s="27"/>
      <c r="E869" s="28"/>
      <c r="F869" s="31"/>
      <c r="G869" s="28"/>
      <c r="H869" s="157"/>
      <c r="I869" s="158"/>
      <c r="J869" s="27"/>
      <c r="K869" s="28"/>
      <c r="L869" s="28"/>
      <c r="M869" s="27"/>
      <c r="N869" s="31"/>
      <c r="O869" s="31"/>
      <c r="P869" s="8"/>
      <c r="Q869" s="8"/>
      <c r="R869" s="8"/>
      <c r="S869" s="8"/>
      <c r="T869" s="8"/>
      <c r="U869" s="8"/>
      <c r="V869" s="8"/>
      <c r="W869" s="8"/>
      <c r="X869" s="8"/>
      <c r="Y869" s="8"/>
      <c r="Z869" s="8"/>
    </row>
    <row r="870" ht="16.5" customHeight="1">
      <c r="A870" s="8"/>
      <c r="B870" s="27"/>
      <c r="C870" s="27"/>
      <c r="D870" s="27"/>
      <c r="E870" s="28"/>
      <c r="F870" s="31"/>
      <c r="G870" s="28"/>
      <c r="H870" s="157"/>
      <c r="I870" s="158"/>
      <c r="J870" s="27"/>
      <c r="K870" s="28"/>
      <c r="L870" s="28"/>
      <c r="M870" s="27"/>
      <c r="N870" s="31"/>
      <c r="O870" s="31"/>
      <c r="P870" s="8"/>
      <c r="Q870" s="8"/>
      <c r="R870" s="8"/>
      <c r="S870" s="8"/>
      <c r="T870" s="8"/>
      <c r="U870" s="8"/>
      <c r="V870" s="8"/>
      <c r="W870" s="8"/>
      <c r="X870" s="8"/>
      <c r="Y870" s="8"/>
      <c r="Z870" s="8"/>
    </row>
    <row r="871" ht="16.5" customHeight="1">
      <c r="A871" s="8"/>
      <c r="B871" s="27"/>
      <c r="C871" s="27"/>
      <c r="D871" s="27"/>
      <c r="E871" s="28"/>
      <c r="F871" s="31"/>
      <c r="G871" s="28"/>
      <c r="H871" s="157"/>
      <c r="I871" s="158"/>
      <c r="J871" s="27"/>
      <c r="K871" s="28"/>
      <c r="L871" s="28"/>
      <c r="M871" s="27"/>
      <c r="N871" s="31"/>
      <c r="O871" s="31"/>
      <c r="P871" s="8"/>
      <c r="Q871" s="8"/>
      <c r="R871" s="8"/>
      <c r="S871" s="8"/>
      <c r="T871" s="8"/>
      <c r="U871" s="8"/>
      <c r="V871" s="8"/>
      <c r="W871" s="8"/>
      <c r="X871" s="8"/>
      <c r="Y871" s="8"/>
      <c r="Z871" s="8"/>
    </row>
    <row r="872" ht="16.5" customHeight="1">
      <c r="A872" s="8"/>
      <c r="B872" s="27"/>
      <c r="C872" s="27"/>
      <c r="D872" s="27"/>
      <c r="E872" s="28"/>
      <c r="F872" s="31"/>
      <c r="G872" s="28"/>
      <c r="H872" s="157"/>
      <c r="I872" s="158"/>
      <c r="J872" s="27"/>
      <c r="K872" s="28"/>
      <c r="L872" s="28"/>
      <c r="M872" s="27"/>
      <c r="N872" s="31"/>
      <c r="O872" s="31"/>
      <c r="P872" s="8"/>
      <c r="Q872" s="8"/>
      <c r="R872" s="8"/>
      <c r="S872" s="8"/>
      <c r="T872" s="8"/>
      <c r="U872" s="8"/>
      <c r="V872" s="8"/>
      <c r="W872" s="8"/>
      <c r="X872" s="8"/>
      <c r="Y872" s="8"/>
      <c r="Z872" s="8"/>
    </row>
    <row r="873" ht="16.5" customHeight="1">
      <c r="A873" s="8"/>
      <c r="B873" s="27"/>
      <c r="C873" s="27"/>
      <c r="D873" s="27"/>
      <c r="E873" s="28"/>
      <c r="F873" s="31"/>
      <c r="G873" s="28"/>
      <c r="H873" s="157"/>
      <c r="I873" s="158"/>
      <c r="J873" s="27"/>
      <c r="K873" s="28"/>
      <c r="L873" s="28"/>
      <c r="M873" s="27"/>
      <c r="N873" s="31"/>
      <c r="O873" s="31"/>
      <c r="P873" s="8"/>
      <c r="Q873" s="8"/>
      <c r="R873" s="8"/>
      <c r="S873" s="8"/>
      <c r="T873" s="8"/>
      <c r="U873" s="8"/>
      <c r="V873" s="8"/>
      <c r="W873" s="8"/>
      <c r="X873" s="8"/>
      <c r="Y873" s="8"/>
      <c r="Z873" s="8"/>
    </row>
    <row r="874" ht="16.5" customHeight="1">
      <c r="A874" s="8"/>
      <c r="B874" s="27"/>
      <c r="C874" s="27"/>
      <c r="D874" s="27"/>
      <c r="E874" s="28"/>
      <c r="F874" s="31"/>
      <c r="G874" s="28"/>
      <c r="H874" s="157"/>
      <c r="I874" s="158"/>
      <c r="J874" s="27"/>
      <c r="K874" s="28"/>
      <c r="L874" s="28"/>
      <c r="M874" s="27"/>
      <c r="N874" s="31"/>
      <c r="O874" s="31"/>
      <c r="P874" s="8"/>
      <c r="Q874" s="8"/>
      <c r="R874" s="8"/>
      <c r="S874" s="8"/>
      <c r="T874" s="8"/>
      <c r="U874" s="8"/>
      <c r="V874" s="8"/>
      <c r="W874" s="8"/>
      <c r="X874" s="8"/>
      <c r="Y874" s="8"/>
      <c r="Z874" s="8"/>
    </row>
    <row r="875" ht="16.5" customHeight="1">
      <c r="A875" s="8"/>
      <c r="B875" s="27"/>
      <c r="C875" s="27"/>
      <c r="D875" s="27"/>
      <c r="E875" s="28"/>
      <c r="F875" s="31"/>
      <c r="G875" s="28"/>
      <c r="H875" s="157"/>
      <c r="I875" s="158"/>
      <c r="J875" s="27"/>
      <c r="K875" s="28"/>
      <c r="L875" s="28"/>
      <c r="M875" s="27"/>
      <c r="N875" s="31"/>
      <c r="O875" s="31"/>
      <c r="P875" s="8"/>
      <c r="Q875" s="8"/>
      <c r="R875" s="8"/>
      <c r="S875" s="8"/>
      <c r="T875" s="8"/>
      <c r="U875" s="8"/>
      <c r="V875" s="8"/>
      <c r="W875" s="8"/>
      <c r="X875" s="8"/>
      <c r="Y875" s="8"/>
      <c r="Z875" s="8"/>
    </row>
    <row r="876" ht="16.5" customHeight="1">
      <c r="A876" s="8"/>
      <c r="B876" s="27"/>
      <c r="C876" s="27"/>
      <c r="D876" s="27"/>
      <c r="E876" s="28"/>
      <c r="F876" s="31"/>
      <c r="G876" s="28"/>
      <c r="H876" s="157"/>
      <c r="I876" s="158"/>
      <c r="J876" s="27"/>
      <c r="K876" s="28"/>
      <c r="L876" s="28"/>
      <c r="M876" s="27"/>
      <c r="N876" s="31"/>
      <c r="O876" s="31"/>
      <c r="P876" s="8"/>
      <c r="Q876" s="8"/>
      <c r="R876" s="8"/>
      <c r="S876" s="8"/>
      <c r="T876" s="8"/>
      <c r="U876" s="8"/>
      <c r="V876" s="8"/>
      <c r="W876" s="8"/>
      <c r="X876" s="8"/>
      <c r="Y876" s="8"/>
      <c r="Z876" s="8"/>
    </row>
    <row r="877" ht="16.5" customHeight="1">
      <c r="A877" s="8"/>
      <c r="B877" s="27"/>
      <c r="C877" s="27"/>
      <c r="D877" s="27"/>
      <c r="E877" s="28"/>
      <c r="F877" s="31"/>
      <c r="G877" s="28"/>
      <c r="H877" s="157"/>
      <c r="I877" s="158"/>
      <c r="J877" s="27"/>
      <c r="K877" s="28"/>
      <c r="L877" s="28"/>
      <c r="M877" s="27"/>
      <c r="N877" s="31"/>
      <c r="O877" s="31"/>
      <c r="P877" s="8"/>
      <c r="Q877" s="8"/>
      <c r="R877" s="8"/>
      <c r="S877" s="8"/>
      <c r="T877" s="8"/>
      <c r="U877" s="8"/>
      <c r="V877" s="8"/>
      <c r="W877" s="8"/>
      <c r="X877" s="8"/>
      <c r="Y877" s="8"/>
      <c r="Z877" s="8"/>
    </row>
    <row r="878" ht="16.5" customHeight="1">
      <c r="A878" s="8"/>
      <c r="B878" s="27"/>
      <c r="C878" s="27"/>
      <c r="D878" s="27"/>
      <c r="E878" s="28"/>
      <c r="F878" s="31"/>
      <c r="G878" s="28"/>
      <c r="H878" s="157"/>
      <c r="I878" s="158"/>
      <c r="J878" s="27"/>
      <c r="K878" s="28"/>
      <c r="L878" s="28"/>
      <c r="M878" s="27"/>
      <c r="N878" s="31"/>
      <c r="O878" s="31"/>
      <c r="P878" s="8"/>
      <c r="Q878" s="8"/>
      <c r="R878" s="8"/>
      <c r="S878" s="8"/>
      <c r="T878" s="8"/>
      <c r="U878" s="8"/>
      <c r="V878" s="8"/>
      <c r="W878" s="8"/>
      <c r="X878" s="8"/>
      <c r="Y878" s="8"/>
      <c r="Z878" s="8"/>
    </row>
    <row r="879" ht="16.5" customHeight="1">
      <c r="A879" s="8"/>
      <c r="B879" s="27"/>
      <c r="C879" s="27"/>
      <c r="D879" s="27"/>
      <c r="E879" s="28"/>
      <c r="F879" s="31"/>
      <c r="G879" s="28"/>
      <c r="H879" s="157"/>
      <c r="I879" s="158"/>
      <c r="J879" s="27"/>
      <c r="K879" s="28"/>
      <c r="L879" s="28"/>
      <c r="M879" s="27"/>
      <c r="N879" s="31"/>
      <c r="O879" s="31"/>
      <c r="P879" s="8"/>
      <c r="Q879" s="8"/>
      <c r="R879" s="8"/>
      <c r="S879" s="8"/>
      <c r="T879" s="8"/>
      <c r="U879" s="8"/>
      <c r="V879" s="8"/>
      <c r="W879" s="8"/>
      <c r="X879" s="8"/>
      <c r="Y879" s="8"/>
      <c r="Z879" s="8"/>
    </row>
    <row r="880" ht="16.5" customHeight="1">
      <c r="A880" s="8"/>
      <c r="B880" s="27"/>
      <c r="C880" s="27"/>
      <c r="D880" s="27"/>
      <c r="E880" s="28"/>
      <c r="F880" s="31"/>
      <c r="G880" s="28"/>
      <c r="H880" s="157"/>
      <c r="I880" s="158"/>
      <c r="J880" s="27"/>
      <c r="K880" s="28"/>
      <c r="L880" s="28"/>
      <c r="M880" s="27"/>
      <c r="N880" s="31"/>
      <c r="O880" s="31"/>
      <c r="P880" s="8"/>
      <c r="Q880" s="8"/>
      <c r="R880" s="8"/>
      <c r="S880" s="8"/>
      <c r="T880" s="8"/>
      <c r="U880" s="8"/>
      <c r="V880" s="8"/>
      <c r="W880" s="8"/>
      <c r="X880" s="8"/>
      <c r="Y880" s="8"/>
      <c r="Z880" s="8"/>
    </row>
    <row r="881" ht="16.5" customHeight="1">
      <c r="A881" s="8"/>
      <c r="B881" s="27"/>
      <c r="C881" s="27"/>
      <c r="D881" s="27"/>
      <c r="E881" s="28"/>
      <c r="F881" s="31"/>
      <c r="G881" s="28"/>
      <c r="H881" s="157"/>
      <c r="I881" s="158"/>
      <c r="J881" s="27"/>
      <c r="K881" s="28"/>
      <c r="L881" s="28"/>
      <c r="M881" s="27"/>
      <c r="N881" s="31"/>
      <c r="O881" s="31"/>
      <c r="P881" s="8"/>
      <c r="Q881" s="8"/>
      <c r="R881" s="8"/>
      <c r="S881" s="8"/>
      <c r="T881" s="8"/>
      <c r="U881" s="8"/>
      <c r="V881" s="8"/>
      <c r="W881" s="8"/>
      <c r="X881" s="8"/>
      <c r="Y881" s="8"/>
      <c r="Z881" s="8"/>
    </row>
    <row r="882" ht="16.5" customHeight="1">
      <c r="A882" s="8"/>
      <c r="B882" s="27"/>
      <c r="C882" s="27"/>
      <c r="D882" s="27"/>
      <c r="E882" s="28"/>
      <c r="F882" s="31"/>
      <c r="G882" s="28"/>
      <c r="H882" s="157"/>
      <c r="I882" s="158"/>
      <c r="J882" s="27"/>
      <c r="K882" s="28"/>
      <c r="L882" s="28"/>
      <c r="M882" s="27"/>
      <c r="N882" s="31"/>
      <c r="O882" s="31"/>
      <c r="P882" s="8"/>
      <c r="Q882" s="8"/>
      <c r="R882" s="8"/>
      <c r="S882" s="8"/>
      <c r="T882" s="8"/>
      <c r="U882" s="8"/>
      <c r="V882" s="8"/>
      <c r="W882" s="8"/>
      <c r="X882" s="8"/>
      <c r="Y882" s="8"/>
      <c r="Z882" s="8"/>
    </row>
    <row r="883" ht="16.5" customHeight="1">
      <c r="A883" s="8"/>
      <c r="B883" s="27"/>
      <c r="C883" s="27"/>
      <c r="D883" s="27"/>
      <c r="E883" s="28"/>
      <c r="F883" s="31"/>
      <c r="G883" s="28"/>
      <c r="H883" s="157"/>
      <c r="I883" s="158"/>
      <c r="J883" s="27"/>
      <c r="K883" s="28"/>
      <c r="L883" s="28"/>
      <c r="M883" s="27"/>
      <c r="N883" s="31"/>
      <c r="O883" s="31"/>
      <c r="P883" s="8"/>
      <c r="Q883" s="8"/>
      <c r="R883" s="8"/>
      <c r="S883" s="8"/>
      <c r="T883" s="8"/>
      <c r="U883" s="8"/>
      <c r="V883" s="8"/>
      <c r="W883" s="8"/>
      <c r="X883" s="8"/>
      <c r="Y883" s="8"/>
      <c r="Z883" s="8"/>
    </row>
    <row r="884" ht="16.5" customHeight="1">
      <c r="A884" s="8"/>
      <c r="B884" s="27"/>
      <c r="C884" s="27"/>
      <c r="D884" s="27"/>
      <c r="E884" s="28"/>
      <c r="F884" s="31"/>
      <c r="G884" s="28"/>
      <c r="H884" s="157"/>
      <c r="I884" s="158"/>
      <c r="J884" s="27"/>
      <c r="K884" s="28"/>
      <c r="L884" s="28"/>
      <c r="M884" s="27"/>
      <c r="N884" s="31"/>
      <c r="O884" s="31"/>
      <c r="P884" s="8"/>
      <c r="Q884" s="8"/>
      <c r="R884" s="8"/>
      <c r="S884" s="8"/>
      <c r="T884" s="8"/>
      <c r="U884" s="8"/>
      <c r="V884" s="8"/>
      <c r="W884" s="8"/>
      <c r="X884" s="8"/>
      <c r="Y884" s="8"/>
      <c r="Z884" s="8"/>
    </row>
    <row r="885" ht="16.5" customHeight="1">
      <c r="A885" s="8"/>
      <c r="B885" s="27"/>
      <c r="C885" s="27"/>
      <c r="D885" s="27"/>
      <c r="E885" s="28"/>
      <c r="F885" s="31"/>
      <c r="G885" s="28"/>
      <c r="H885" s="157"/>
      <c r="I885" s="158"/>
      <c r="J885" s="27"/>
      <c r="K885" s="28"/>
      <c r="L885" s="28"/>
      <c r="M885" s="27"/>
      <c r="N885" s="31"/>
      <c r="O885" s="31"/>
      <c r="P885" s="8"/>
      <c r="Q885" s="8"/>
      <c r="R885" s="8"/>
      <c r="S885" s="8"/>
      <c r="T885" s="8"/>
      <c r="U885" s="8"/>
      <c r="V885" s="8"/>
      <c r="W885" s="8"/>
      <c r="X885" s="8"/>
      <c r="Y885" s="8"/>
      <c r="Z885" s="8"/>
    </row>
    <row r="886" ht="16.5" customHeight="1">
      <c r="A886" s="8"/>
      <c r="B886" s="27"/>
      <c r="C886" s="27"/>
      <c r="D886" s="27"/>
      <c r="E886" s="28"/>
      <c r="F886" s="31"/>
      <c r="G886" s="28"/>
      <c r="H886" s="157"/>
      <c r="I886" s="158"/>
      <c r="J886" s="27"/>
      <c r="K886" s="28"/>
      <c r="L886" s="28"/>
      <c r="M886" s="27"/>
      <c r="N886" s="31"/>
      <c r="O886" s="31"/>
      <c r="P886" s="8"/>
      <c r="Q886" s="8"/>
      <c r="R886" s="8"/>
      <c r="S886" s="8"/>
      <c r="T886" s="8"/>
      <c r="U886" s="8"/>
      <c r="V886" s="8"/>
      <c r="W886" s="8"/>
      <c r="X886" s="8"/>
      <c r="Y886" s="8"/>
      <c r="Z886" s="8"/>
    </row>
    <row r="887" ht="16.5" customHeight="1">
      <c r="A887" s="8"/>
      <c r="B887" s="27"/>
      <c r="C887" s="27"/>
      <c r="D887" s="27"/>
      <c r="E887" s="28"/>
      <c r="F887" s="31"/>
      <c r="G887" s="28"/>
      <c r="H887" s="157"/>
      <c r="I887" s="158"/>
      <c r="J887" s="27"/>
      <c r="K887" s="28"/>
      <c r="L887" s="28"/>
      <c r="M887" s="27"/>
      <c r="N887" s="31"/>
      <c r="O887" s="31"/>
      <c r="P887" s="8"/>
      <c r="Q887" s="8"/>
      <c r="R887" s="8"/>
      <c r="S887" s="8"/>
      <c r="T887" s="8"/>
      <c r="U887" s="8"/>
      <c r="V887" s="8"/>
      <c r="W887" s="8"/>
      <c r="X887" s="8"/>
      <c r="Y887" s="8"/>
      <c r="Z887" s="8"/>
    </row>
    <row r="888" ht="16.5" customHeight="1">
      <c r="A888" s="8"/>
      <c r="B888" s="27"/>
      <c r="C888" s="27"/>
      <c r="D888" s="27"/>
      <c r="E888" s="28"/>
      <c r="F888" s="31"/>
      <c r="G888" s="28"/>
      <c r="H888" s="157"/>
      <c r="I888" s="158"/>
      <c r="J888" s="27"/>
      <c r="K888" s="28"/>
      <c r="L888" s="28"/>
      <c r="M888" s="27"/>
      <c r="N888" s="31"/>
      <c r="O888" s="31"/>
      <c r="P888" s="8"/>
      <c r="Q888" s="8"/>
      <c r="R888" s="8"/>
      <c r="S888" s="8"/>
      <c r="T888" s="8"/>
      <c r="U888" s="8"/>
      <c r="V888" s="8"/>
      <c r="W888" s="8"/>
      <c r="X888" s="8"/>
      <c r="Y888" s="8"/>
      <c r="Z888" s="8"/>
    </row>
    <row r="889" ht="16.5" customHeight="1">
      <c r="A889" s="8"/>
      <c r="B889" s="27"/>
      <c r="C889" s="27"/>
      <c r="D889" s="27"/>
      <c r="E889" s="28"/>
      <c r="F889" s="31"/>
      <c r="G889" s="28"/>
      <c r="H889" s="157"/>
      <c r="I889" s="158"/>
      <c r="J889" s="27"/>
      <c r="K889" s="28"/>
      <c r="L889" s="28"/>
      <c r="M889" s="27"/>
      <c r="N889" s="31"/>
      <c r="O889" s="31"/>
      <c r="P889" s="8"/>
      <c r="Q889" s="8"/>
      <c r="R889" s="8"/>
      <c r="S889" s="8"/>
      <c r="T889" s="8"/>
      <c r="U889" s="8"/>
      <c r="V889" s="8"/>
      <c r="W889" s="8"/>
      <c r="X889" s="8"/>
      <c r="Y889" s="8"/>
      <c r="Z889" s="8"/>
    </row>
    <row r="890" ht="16.5" customHeight="1">
      <c r="A890" s="8"/>
      <c r="B890" s="27"/>
      <c r="C890" s="27"/>
      <c r="D890" s="27"/>
      <c r="E890" s="28"/>
      <c r="F890" s="31"/>
      <c r="G890" s="28"/>
      <c r="H890" s="157"/>
      <c r="I890" s="158"/>
      <c r="J890" s="27"/>
      <c r="K890" s="28"/>
      <c r="L890" s="28"/>
      <c r="M890" s="27"/>
      <c r="N890" s="31"/>
      <c r="O890" s="31"/>
      <c r="P890" s="8"/>
      <c r="Q890" s="8"/>
      <c r="R890" s="8"/>
      <c r="S890" s="8"/>
      <c r="T890" s="8"/>
      <c r="U890" s="8"/>
      <c r="V890" s="8"/>
      <c r="W890" s="8"/>
      <c r="X890" s="8"/>
      <c r="Y890" s="8"/>
      <c r="Z890" s="8"/>
    </row>
    <row r="891" ht="16.5" customHeight="1">
      <c r="A891" s="8"/>
      <c r="B891" s="27"/>
      <c r="C891" s="27"/>
      <c r="D891" s="27"/>
      <c r="E891" s="28"/>
      <c r="F891" s="31"/>
      <c r="G891" s="28"/>
      <c r="H891" s="157"/>
      <c r="I891" s="158"/>
      <c r="J891" s="27"/>
      <c r="K891" s="28"/>
      <c r="L891" s="28"/>
      <c r="M891" s="27"/>
      <c r="N891" s="31"/>
      <c r="O891" s="31"/>
      <c r="P891" s="8"/>
      <c r="Q891" s="8"/>
      <c r="R891" s="8"/>
      <c r="S891" s="8"/>
      <c r="T891" s="8"/>
      <c r="U891" s="8"/>
      <c r="V891" s="8"/>
      <c r="W891" s="8"/>
      <c r="X891" s="8"/>
      <c r="Y891" s="8"/>
      <c r="Z891" s="8"/>
    </row>
    <row r="892" ht="16.5" customHeight="1">
      <c r="A892" s="8"/>
      <c r="B892" s="27"/>
      <c r="C892" s="27"/>
      <c r="D892" s="27"/>
      <c r="E892" s="28"/>
      <c r="F892" s="31"/>
      <c r="G892" s="28"/>
      <c r="H892" s="157"/>
      <c r="I892" s="158"/>
      <c r="J892" s="27"/>
      <c r="K892" s="28"/>
      <c r="L892" s="28"/>
      <c r="M892" s="27"/>
      <c r="N892" s="31"/>
      <c r="O892" s="31"/>
      <c r="P892" s="8"/>
      <c r="Q892" s="8"/>
      <c r="R892" s="8"/>
      <c r="S892" s="8"/>
      <c r="T892" s="8"/>
      <c r="U892" s="8"/>
      <c r="V892" s="8"/>
      <c r="W892" s="8"/>
      <c r="X892" s="8"/>
      <c r="Y892" s="8"/>
      <c r="Z892" s="8"/>
    </row>
    <row r="893" ht="16.5" customHeight="1">
      <c r="A893" s="8"/>
      <c r="B893" s="27"/>
      <c r="C893" s="27"/>
      <c r="D893" s="27"/>
      <c r="E893" s="28"/>
      <c r="F893" s="31"/>
      <c r="G893" s="28"/>
      <c r="H893" s="157"/>
      <c r="I893" s="158"/>
      <c r="J893" s="27"/>
      <c r="K893" s="28"/>
      <c r="L893" s="28"/>
      <c r="M893" s="27"/>
      <c r="N893" s="31"/>
      <c r="O893" s="31"/>
      <c r="P893" s="8"/>
      <c r="Q893" s="8"/>
      <c r="R893" s="8"/>
      <c r="S893" s="8"/>
      <c r="T893" s="8"/>
      <c r="U893" s="8"/>
      <c r="V893" s="8"/>
      <c r="W893" s="8"/>
      <c r="X893" s="8"/>
      <c r="Y893" s="8"/>
      <c r="Z893" s="8"/>
    </row>
    <row r="894" ht="16.5" customHeight="1">
      <c r="A894" s="8"/>
      <c r="B894" s="27"/>
      <c r="C894" s="27"/>
      <c r="D894" s="27"/>
      <c r="E894" s="28"/>
      <c r="F894" s="31"/>
      <c r="G894" s="28"/>
      <c r="H894" s="157"/>
      <c r="I894" s="158"/>
      <c r="J894" s="27"/>
      <c r="K894" s="28"/>
      <c r="L894" s="28"/>
      <c r="M894" s="27"/>
      <c r="N894" s="31"/>
      <c r="O894" s="31"/>
      <c r="P894" s="8"/>
      <c r="Q894" s="8"/>
      <c r="R894" s="8"/>
      <c r="S894" s="8"/>
      <c r="T894" s="8"/>
      <c r="U894" s="8"/>
      <c r="V894" s="8"/>
      <c r="W894" s="8"/>
      <c r="X894" s="8"/>
      <c r="Y894" s="8"/>
      <c r="Z894" s="8"/>
    </row>
    <row r="895" ht="16.5" customHeight="1">
      <c r="A895" s="8"/>
      <c r="B895" s="27"/>
      <c r="C895" s="27"/>
      <c r="D895" s="27"/>
      <c r="E895" s="28"/>
      <c r="F895" s="31"/>
      <c r="G895" s="28"/>
      <c r="H895" s="157"/>
      <c r="I895" s="158"/>
      <c r="J895" s="27"/>
      <c r="K895" s="28"/>
      <c r="L895" s="28"/>
      <c r="M895" s="27"/>
      <c r="N895" s="31"/>
      <c r="O895" s="31"/>
      <c r="P895" s="8"/>
      <c r="Q895" s="8"/>
      <c r="R895" s="8"/>
      <c r="S895" s="8"/>
      <c r="T895" s="8"/>
      <c r="U895" s="8"/>
      <c r="V895" s="8"/>
      <c r="W895" s="8"/>
      <c r="X895" s="8"/>
      <c r="Y895" s="8"/>
      <c r="Z895" s="8"/>
    </row>
    <row r="896" ht="16.5" customHeight="1">
      <c r="A896" s="8"/>
      <c r="B896" s="27"/>
      <c r="C896" s="27"/>
      <c r="D896" s="27"/>
      <c r="E896" s="28"/>
      <c r="F896" s="31"/>
      <c r="G896" s="28"/>
      <c r="H896" s="157"/>
      <c r="I896" s="158"/>
      <c r="J896" s="27"/>
      <c r="K896" s="28"/>
      <c r="L896" s="28"/>
      <c r="M896" s="27"/>
      <c r="N896" s="31"/>
      <c r="O896" s="31"/>
      <c r="P896" s="8"/>
      <c r="Q896" s="8"/>
      <c r="R896" s="8"/>
      <c r="S896" s="8"/>
      <c r="T896" s="8"/>
      <c r="U896" s="8"/>
      <c r="V896" s="8"/>
      <c r="W896" s="8"/>
      <c r="X896" s="8"/>
      <c r="Y896" s="8"/>
      <c r="Z896" s="8"/>
    </row>
    <row r="897" ht="16.5" customHeight="1">
      <c r="A897" s="8"/>
      <c r="B897" s="27"/>
      <c r="C897" s="27"/>
      <c r="D897" s="27"/>
      <c r="E897" s="28"/>
      <c r="F897" s="31"/>
      <c r="G897" s="28"/>
      <c r="H897" s="157"/>
      <c r="I897" s="158"/>
      <c r="J897" s="27"/>
      <c r="K897" s="28"/>
      <c r="L897" s="28"/>
      <c r="M897" s="27"/>
      <c r="N897" s="31"/>
      <c r="O897" s="31"/>
      <c r="P897" s="8"/>
      <c r="Q897" s="8"/>
      <c r="R897" s="8"/>
      <c r="S897" s="8"/>
      <c r="T897" s="8"/>
      <c r="U897" s="8"/>
      <c r="V897" s="8"/>
      <c r="W897" s="8"/>
      <c r="X897" s="8"/>
      <c r="Y897" s="8"/>
      <c r="Z897" s="8"/>
    </row>
    <row r="898" ht="16.5" customHeight="1">
      <c r="A898" s="8"/>
      <c r="B898" s="27"/>
      <c r="C898" s="27"/>
      <c r="D898" s="27"/>
      <c r="E898" s="28"/>
      <c r="F898" s="31"/>
      <c r="G898" s="28"/>
      <c r="H898" s="157"/>
      <c r="I898" s="158"/>
      <c r="J898" s="27"/>
      <c r="K898" s="28"/>
      <c r="L898" s="28"/>
      <c r="M898" s="27"/>
      <c r="N898" s="31"/>
      <c r="O898" s="31"/>
      <c r="P898" s="8"/>
      <c r="Q898" s="8"/>
      <c r="R898" s="8"/>
      <c r="S898" s="8"/>
      <c r="T898" s="8"/>
      <c r="U898" s="8"/>
      <c r="V898" s="8"/>
      <c r="W898" s="8"/>
      <c r="X898" s="8"/>
      <c r="Y898" s="8"/>
      <c r="Z898" s="8"/>
    </row>
    <row r="899" ht="16.5" customHeight="1">
      <c r="A899" s="8"/>
      <c r="B899" s="27"/>
      <c r="C899" s="27"/>
      <c r="D899" s="27"/>
      <c r="E899" s="28"/>
      <c r="F899" s="31"/>
      <c r="G899" s="28"/>
      <c r="H899" s="157"/>
      <c r="I899" s="158"/>
      <c r="J899" s="27"/>
      <c r="K899" s="28"/>
      <c r="L899" s="28"/>
      <c r="M899" s="27"/>
      <c r="N899" s="31"/>
      <c r="O899" s="31"/>
      <c r="P899" s="8"/>
      <c r="Q899" s="8"/>
      <c r="R899" s="8"/>
      <c r="S899" s="8"/>
      <c r="T899" s="8"/>
      <c r="U899" s="8"/>
      <c r="V899" s="8"/>
      <c r="W899" s="8"/>
      <c r="X899" s="8"/>
      <c r="Y899" s="8"/>
      <c r="Z899" s="8"/>
    </row>
    <row r="900" ht="16.5" customHeight="1">
      <c r="A900" s="8"/>
      <c r="B900" s="27"/>
      <c r="C900" s="27"/>
      <c r="D900" s="27"/>
      <c r="E900" s="28"/>
      <c r="F900" s="31"/>
      <c r="G900" s="28"/>
      <c r="H900" s="157"/>
      <c r="I900" s="158"/>
      <c r="J900" s="27"/>
      <c r="K900" s="28"/>
      <c r="L900" s="28"/>
      <c r="M900" s="27"/>
      <c r="N900" s="31"/>
      <c r="O900" s="31"/>
      <c r="P900" s="8"/>
      <c r="Q900" s="8"/>
      <c r="R900" s="8"/>
      <c r="S900" s="8"/>
      <c r="T900" s="8"/>
      <c r="U900" s="8"/>
      <c r="V900" s="8"/>
      <c r="W900" s="8"/>
      <c r="X900" s="8"/>
      <c r="Y900" s="8"/>
      <c r="Z900" s="8"/>
    </row>
    <row r="901" ht="16.5" customHeight="1">
      <c r="A901" s="8"/>
      <c r="B901" s="27"/>
      <c r="C901" s="27"/>
      <c r="D901" s="27"/>
      <c r="E901" s="28"/>
      <c r="F901" s="31"/>
      <c r="G901" s="28"/>
      <c r="H901" s="157"/>
      <c r="I901" s="158"/>
      <c r="J901" s="27"/>
      <c r="K901" s="28"/>
      <c r="L901" s="28"/>
      <c r="M901" s="27"/>
      <c r="N901" s="31"/>
      <c r="O901" s="31"/>
      <c r="P901" s="8"/>
      <c r="Q901" s="8"/>
      <c r="R901" s="8"/>
      <c r="S901" s="8"/>
      <c r="T901" s="8"/>
      <c r="U901" s="8"/>
      <c r="V901" s="8"/>
      <c r="W901" s="8"/>
      <c r="X901" s="8"/>
      <c r="Y901" s="8"/>
      <c r="Z901" s="8"/>
    </row>
    <row r="902" ht="16.5" customHeight="1">
      <c r="A902" s="8"/>
      <c r="B902" s="27"/>
      <c r="C902" s="27"/>
      <c r="D902" s="27"/>
      <c r="E902" s="28"/>
      <c r="F902" s="31"/>
      <c r="G902" s="28"/>
      <c r="H902" s="157"/>
      <c r="I902" s="158"/>
      <c r="J902" s="27"/>
      <c r="K902" s="28"/>
      <c r="L902" s="28"/>
      <c r="M902" s="27"/>
      <c r="N902" s="31"/>
      <c r="O902" s="31"/>
      <c r="P902" s="8"/>
      <c r="Q902" s="8"/>
      <c r="R902" s="8"/>
      <c r="S902" s="8"/>
      <c r="T902" s="8"/>
      <c r="U902" s="8"/>
      <c r="V902" s="8"/>
      <c r="W902" s="8"/>
      <c r="X902" s="8"/>
      <c r="Y902" s="8"/>
      <c r="Z902" s="8"/>
    </row>
    <row r="903" ht="16.5" customHeight="1">
      <c r="A903" s="8"/>
      <c r="B903" s="27"/>
      <c r="C903" s="27"/>
      <c r="D903" s="27"/>
      <c r="E903" s="28"/>
      <c r="F903" s="31"/>
      <c r="G903" s="28"/>
      <c r="H903" s="157"/>
      <c r="I903" s="158"/>
      <c r="J903" s="27"/>
      <c r="K903" s="28"/>
      <c r="L903" s="28"/>
      <c r="M903" s="27"/>
      <c r="N903" s="31"/>
      <c r="O903" s="31"/>
      <c r="P903" s="8"/>
      <c r="Q903" s="8"/>
      <c r="R903" s="8"/>
      <c r="S903" s="8"/>
      <c r="T903" s="8"/>
      <c r="U903" s="8"/>
      <c r="V903" s="8"/>
      <c r="W903" s="8"/>
      <c r="X903" s="8"/>
      <c r="Y903" s="8"/>
      <c r="Z903" s="8"/>
    </row>
    <row r="904" ht="16.5" customHeight="1">
      <c r="A904" s="8"/>
      <c r="B904" s="27"/>
      <c r="C904" s="27"/>
      <c r="D904" s="27"/>
      <c r="E904" s="28"/>
      <c r="F904" s="31"/>
      <c r="G904" s="28"/>
      <c r="H904" s="157"/>
      <c r="I904" s="158"/>
      <c r="J904" s="27"/>
      <c r="K904" s="28"/>
      <c r="L904" s="28"/>
      <c r="M904" s="27"/>
      <c r="N904" s="31"/>
      <c r="O904" s="31"/>
      <c r="P904" s="8"/>
      <c r="Q904" s="8"/>
      <c r="R904" s="8"/>
      <c r="S904" s="8"/>
      <c r="T904" s="8"/>
      <c r="U904" s="8"/>
      <c r="V904" s="8"/>
      <c r="W904" s="8"/>
      <c r="X904" s="8"/>
      <c r="Y904" s="8"/>
      <c r="Z904" s="8"/>
    </row>
    <row r="905" ht="16.5" customHeight="1">
      <c r="A905" s="8"/>
      <c r="B905" s="27"/>
      <c r="C905" s="27"/>
      <c r="D905" s="27"/>
      <c r="E905" s="28"/>
      <c r="F905" s="31"/>
      <c r="G905" s="28"/>
      <c r="H905" s="157"/>
      <c r="I905" s="158"/>
      <c r="J905" s="27"/>
      <c r="K905" s="28"/>
      <c r="L905" s="28"/>
      <c r="M905" s="27"/>
      <c r="N905" s="31"/>
      <c r="O905" s="31"/>
      <c r="P905" s="8"/>
      <c r="Q905" s="8"/>
      <c r="R905" s="8"/>
      <c r="S905" s="8"/>
      <c r="T905" s="8"/>
      <c r="U905" s="8"/>
      <c r="V905" s="8"/>
      <c r="W905" s="8"/>
      <c r="X905" s="8"/>
      <c r="Y905" s="8"/>
      <c r="Z905" s="8"/>
    </row>
    <row r="906" ht="16.5" customHeight="1">
      <c r="A906" s="8"/>
      <c r="B906" s="27"/>
      <c r="C906" s="27"/>
      <c r="D906" s="27"/>
      <c r="E906" s="28"/>
      <c r="F906" s="31"/>
      <c r="G906" s="28"/>
      <c r="H906" s="157"/>
      <c r="I906" s="158"/>
      <c r="J906" s="27"/>
      <c r="K906" s="28"/>
      <c r="L906" s="28"/>
      <c r="M906" s="27"/>
      <c r="N906" s="31"/>
      <c r="O906" s="31"/>
      <c r="P906" s="8"/>
      <c r="Q906" s="8"/>
      <c r="R906" s="8"/>
      <c r="S906" s="8"/>
      <c r="T906" s="8"/>
      <c r="U906" s="8"/>
      <c r="V906" s="8"/>
      <c r="W906" s="8"/>
      <c r="X906" s="8"/>
      <c r="Y906" s="8"/>
      <c r="Z906" s="8"/>
    </row>
    <row r="907" ht="16.5" customHeight="1">
      <c r="A907" s="8"/>
      <c r="B907" s="27"/>
      <c r="C907" s="27"/>
      <c r="D907" s="27"/>
      <c r="E907" s="28"/>
      <c r="F907" s="31"/>
      <c r="G907" s="28"/>
      <c r="H907" s="157"/>
      <c r="I907" s="158"/>
      <c r="J907" s="27"/>
      <c r="K907" s="28"/>
      <c r="L907" s="28"/>
      <c r="M907" s="27"/>
      <c r="N907" s="31"/>
      <c r="O907" s="31"/>
      <c r="P907" s="8"/>
      <c r="Q907" s="8"/>
      <c r="R907" s="8"/>
      <c r="S907" s="8"/>
      <c r="T907" s="8"/>
      <c r="U907" s="8"/>
      <c r="V907" s="8"/>
      <c r="W907" s="8"/>
      <c r="X907" s="8"/>
      <c r="Y907" s="8"/>
      <c r="Z907" s="8"/>
    </row>
    <row r="908" ht="16.5" customHeight="1">
      <c r="A908" s="8"/>
      <c r="B908" s="27"/>
      <c r="C908" s="27"/>
      <c r="D908" s="27"/>
      <c r="E908" s="28"/>
      <c r="F908" s="31"/>
      <c r="G908" s="28"/>
      <c r="H908" s="157"/>
      <c r="I908" s="158"/>
      <c r="J908" s="27"/>
      <c r="K908" s="28"/>
      <c r="L908" s="28"/>
      <c r="M908" s="27"/>
      <c r="N908" s="31"/>
      <c r="O908" s="31"/>
      <c r="P908" s="8"/>
      <c r="Q908" s="8"/>
      <c r="R908" s="8"/>
      <c r="S908" s="8"/>
      <c r="T908" s="8"/>
      <c r="U908" s="8"/>
      <c r="V908" s="8"/>
      <c r="W908" s="8"/>
      <c r="X908" s="8"/>
      <c r="Y908" s="8"/>
      <c r="Z908" s="8"/>
    </row>
    <row r="909" ht="16.5" customHeight="1">
      <c r="A909" s="8"/>
      <c r="B909" s="27"/>
      <c r="C909" s="27"/>
      <c r="D909" s="27"/>
      <c r="E909" s="28"/>
      <c r="F909" s="31"/>
      <c r="G909" s="28"/>
      <c r="H909" s="157"/>
      <c r="I909" s="158"/>
      <c r="J909" s="27"/>
      <c r="K909" s="28"/>
      <c r="L909" s="28"/>
      <c r="M909" s="27"/>
      <c r="N909" s="31"/>
      <c r="O909" s="31"/>
      <c r="P909" s="8"/>
      <c r="Q909" s="8"/>
      <c r="R909" s="8"/>
      <c r="S909" s="8"/>
      <c r="T909" s="8"/>
      <c r="U909" s="8"/>
      <c r="V909" s="8"/>
      <c r="W909" s="8"/>
      <c r="X909" s="8"/>
      <c r="Y909" s="8"/>
      <c r="Z909" s="8"/>
    </row>
    <row r="910" ht="16.5" customHeight="1">
      <c r="A910" s="8"/>
      <c r="B910" s="27"/>
      <c r="C910" s="27"/>
      <c r="D910" s="27"/>
      <c r="E910" s="28"/>
      <c r="F910" s="31"/>
      <c r="G910" s="28"/>
      <c r="H910" s="157"/>
      <c r="I910" s="158"/>
      <c r="J910" s="27"/>
      <c r="K910" s="28"/>
      <c r="L910" s="28"/>
      <c r="M910" s="27"/>
      <c r="N910" s="31"/>
      <c r="O910" s="31"/>
      <c r="P910" s="8"/>
      <c r="Q910" s="8"/>
      <c r="R910" s="8"/>
      <c r="S910" s="8"/>
      <c r="T910" s="8"/>
      <c r="U910" s="8"/>
      <c r="V910" s="8"/>
      <c r="W910" s="8"/>
      <c r="X910" s="8"/>
      <c r="Y910" s="8"/>
      <c r="Z910" s="8"/>
    </row>
    <row r="911" ht="16.5" customHeight="1">
      <c r="A911" s="8"/>
      <c r="B911" s="27"/>
      <c r="C911" s="27"/>
      <c r="D911" s="27"/>
      <c r="E911" s="28"/>
      <c r="F911" s="31"/>
      <c r="G911" s="28"/>
      <c r="H911" s="157"/>
      <c r="I911" s="158"/>
      <c r="J911" s="27"/>
      <c r="K911" s="28"/>
      <c r="L911" s="28"/>
      <c r="M911" s="27"/>
      <c r="N911" s="31"/>
      <c r="O911" s="31"/>
      <c r="P911" s="8"/>
      <c r="Q911" s="8"/>
      <c r="R911" s="8"/>
      <c r="S911" s="8"/>
      <c r="T911" s="8"/>
      <c r="U911" s="8"/>
      <c r="V911" s="8"/>
      <c r="W911" s="8"/>
      <c r="X911" s="8"/>
      <c r="Y911" s="8"/>
      <c r="Z911" s="8"/>
    </row>
    <row r="912" ht="16.5" customHeight="1">
      <c r="A912" s="8"/>
      <c r="B912" s="27"/>
      <c r="C912" s="27"/>
      <c r="D912" s="27"/>
      <c r="E912" s="28"/>
      <c r="F912" s="31"/>
      <c r="G912" s="28"/>
      <c r="H912" s="157"/>
      <c r="I912" s="158"/>
      <c r="J912" s="27"/>
      <c r="K912" s="28"/>
      <c r="L912" s="28"/>
      <c r="M912" s="27"/>
      <c r="N912" s="31"/>
      <c r="O912" s="31"/>
      <c r="P912" s="8"/>
      <c r="Q912" s="8"/>
      <c r="R912" s="8"/>
      <c r="S912" s="8"/>
      <c r="T912" s="8"/>
      <c r="U912" s="8"/>
      <c r="V912" s="8"/>
      <c r="W912" s="8"/>
      <c r="X912" s="8"/>
      <c r="Y912" s="8"/>
      <c r="Z912" s="8"/>
    </row>
    <row r="913" ht="16.5" customHeight="1">
      <c r="A913" s="8"/>
      <c r="B913" s="27"/>
      <c r="C913" s="27"/>
      <c r="D913" s="27"/>
      <c r="E913" s="28"/>
      <c r="F913" s="31"/>
      <c r="G913" s="28"/>
      <c r="H913" s="157"/>
      <c r="I913" s="158"/>
      <c r="J913" s="27"/>
      <c r="K913" s="28"/>
      <c r="L913" s="28"/>
      <c r="M913" s="27"/>
      <c r="N913" s="31"/>
      <c r="O913" s="31"/>
      <c r="P913" s="8"/>
      <c r="Q913" s="8"/>
      <c r="R913" s="8"/>
      <c r="S913" s="8"/>
      <c r="T913" s="8"/>
      <c r="U913" s="8"/>
      <c r="V913" s="8"/>
      <c r="W913" s="8"/>
      <c r="X913" s="8"/>
      <c r="Y913" s="8"/>
      <c r="Z913" s="8"/>
    </row>
    <row r="914" ht="16.5" customHeight="1">
      <c r="A914" s="8"/>
      <c r="B914" s="27"/>
      <c r="C914" s="27"/>
      <c r="D914" s="27"/>
      <c r="E914" s="28"/>
      <c r="F914" s="31"/>
      <c r="G914" s="28"/>
      <c r="H914" s="157"/>
      <c r="I914" s="158"/>
      <c r="J914" s="27"/>
      <c r="K914" s="28"/>
      <c r="L914" s="28"/>
      <c r="M914" s="27"/>
      <c r="N914" s="31"/>
      <c r="O914" s="31"/>
      <c r="P914" s="8"/>
      <c r="Q914" s="8"/>
      <c r="R914" s="8"/>
      <c r="S914" s="8"/>
      <c r="T914" s="8"/>
      <c r="U914" s="8"/>
      <c r="V914" s="8"/>
      <c r="W914" s="8"/>
      <c r="X914" s="8"/>
      <c r="Y914" s="8"/>
      <c r="Z914" s="8"/>
    </row>
    <row r="915" ht="16.5" customHeight="1">
      <c r="A915" s="8"/>
      <c r="B915" s="27"/>
      <c r="C915" s="27"/>
      <c r="D915" s="27"/>
      <c r="E915" s="28"/>
      <c r="F915" s="31"/>
      <c r="G915" s="28"/>
      <c r="H915" s="157"/>
      <c r="I915" s="158"/>
      <c r="J915" s="27"/>
      <c r="K915" s="28"/>
      <c r="L915" s="28"/>
      <c r="M915" s="27"/>
      <c r="N915" s="31"/>
      <c r="O915" s="31"/>
      <c r="P915" s="8"/>
      <c r="Q915" s="8"/>
      <c r="R915" s="8"/>
      <c r="S915" s="8"/>
      <c r="T915" s="8"/>
      <c r="U915" s="8"/>
      <c r="V915" s="8"/>
      <c r="W915" s="8"/>
      <c r="X915" s="8"/>
      <c r="Y915" s="8"/>
      <c r="Z915" s="8"/>
    </row>
    <row r="916" ht="16.5" customHeight="1">
      <c r="A916" s="8"/>
      <c r="B916" s="27"/>
      <c r="C916" s="27"/>
      <c r="D916" s="27"/>
      <c r="E916" s="28"/>
      <c r="F916" s="31"/>
      <c r="G916" s="28"/>
      <c r="H916" s="157"/>
      <c r="I916" s="158"/>
      <c r="J916" s="27"/>
      <c r="K916" s="28"/>
      <c r="L916" s="28"/>
      <c r="M916" s="27"/>
      <c r="N916" s="31"/>
      <c r="O916" s="31"/>
      <c r="P916" s="8"/>
      <c r="Q916" s="8"/>
      <c r="R916" s="8"/>
      <c r="S916" s="8"/>
      <c r="T916" s="8"/>
      <c r="U916" s="8"/>
      <c r="V916" s="8"/>
      <c r="W916" s="8"/>
      <c r="X916" s="8"/>
      <c r="Y916" s="8"/>
      <c r="Z916" s="8"/>
    </row>
    <row r="917" ht="16.5" customHeight="1">
      <c r="A917" s="8"/>
      <c r="B917" s="27"/>
      <c r="C917" s="27"/>
      <c r="D917" s="27"/>
      <c r="E917" s="28"/>
      <c r="F917" s="31"/>
      <c r="G917" s="28"/>
      <c r="H917" s="157"/>
      <c r="I917" s="158"/>
      <c r="J917" s="27"/>
      <c r="K917" s="28"/>
      <c r="L917" s="28"/>
      <c r="M917" s="27"/>
      <c r="N917" s="31"/>
      <c r="O917" s="31"/>
      <c r="P917" s="8"/>
      <c r="Q917" s="8"/>
      <c r="R917" s="8"/>
      <c r="S917" s="8"/>
      <c r="T917" s="8"/>
      <c r="U917" s="8"/>
      <c r="V917" s="8"/>
      <c r="W917" s="8"/>
      <c r="X917" s="8"/>
      <c r="Y917" s="8"/>
      <c r="Z917" s="8"/>
    </row>
    <row r="918" ht="16.5" customHeight="1">
      <c r="A918" s="8"/>
      <c r="B918" s="27"/>
      <c r="C918" s="27"/>
      <c r="D918" s="27"/>
      <c r="E918" s="28"/>
      <c r="F918" s="31"/>
      <c r="G918" s="28"/>
      <c r="H918" s="157"/>
      <c r="I918" s="158"/>
      <c r="J918" s="27"/>
      <c r="K918" s="28"/>
      <c r="L918" s="28"/>
      <c r="M918" s="27"/>
      <c r="N918" s="31"/>
      <c r="O918" s="31"/>
      <c r="P918" s="8"/>
      <c r="Q918" s="8"/>
      <c r="R918" s="8"/>
      <c r="S918" s="8"/>
      <c r="T918" s="8"/>
      <c r="U918" s="8"/>
      <c r="V918" s="8"/>
      <c r="W918" s="8"/>
      <c r="X918" s="8"/>
      <c r="Y918" s="8"/>
      <c r="Z918" s="8"/>
    </row>
    <row r="919" ht="16.5" customHeight="1">
      <c r="A919" s="8"/>
      <c r="B919" s="27"/>
      <c r="C919" s="27"/>
      <c r="D919" s="27"/>
      <c r="E919" s="28"/>
      <c r="F919" s="31"/>
      <c r="G919" s="28"/>
      <c r="H919" s="157"/>
      <c r="I919" s="158"/>
      <c r="J919" s="27"/>
      <c r="K919" s="28"/>
      <c r="L919" s="28"/>
      <c r="M919" s="27"/>
      <c r="N919" s="31"/>
      <c r="O919" s="31"/>
      <c r="P919" s="8"/>
      <c r="Q919" s="8"/>
      <c r="R919" s="8"/>
      <c r="S919" s="8"/>
      <c r="T919" s="8"/>
      <c r="U919" s="8"/>
      <c r="V919" s="8"/>
      <c r="W919" s="8"/>
      <c r="X919" s="8"/>
      <c r="Y919" s="8"/>
      <c r="Z919" s="8"/>
    </row>
    <row r="920" ht="16.5" customHeight="1">
      <c r="A920" s="8"/>
      <c r="B920" s="27"/>
      <c r="C920" s="27"/>
      <c r="D920" s="27"/>
      <c r="E920" s="28"/>
      <c r="F920" s="31"/>
      <c r="G920" s="28"/>
      <c r="H920" s="157"/>
      <c r="I920" s="158"/>
      <c r="J920" s="27"/>
      <c r="K920" s="28"/>
      <c r="L920" s="28"/>
      <c r="M920" s="27"/>
      <c r="N920" s="31"/>
      <c r="O920" s="31"/>
      <c r="P920" s="8"/>
      <c r="Q920" s="8"/>
      <c r="R920" s="8"/>
      <c r="S920" s="8"/>
      <c r="T920" s="8"/>
      <c r="U920" s="8"/>
      <c r="V920" s="8"/>
      <c r="W920" s="8"/>
      <c r="X920" s="8"/>
      <c r="Y920" s="8"/>
      <c r="Z920" s="8"/>
    </row>
    <row r="921" ht="16.5" customHeight="1">
      <c r="A921" s="8"/>
      <c r="B921" s="27"/>
      <c r="C921" s="27"/>
      <c r="D921" s="27"/>
      <c r="E921" s="28"/>
      <c r="F921" s="31"/>
      <c r="G921" s="28"/>
      <c r="H921" s="157"/>
      <c r="I921" s="158"/>
      <c r="J921" s="27"/>
      <c r="K921" s="28"/>
      <c r="L921" s="28"/>
      <c r="M921" s="27"/>
      <c r="N921" s="31"/>
      <c r="O921" s="31"/>
      <c r="P921" s="8"/>
      <c r="Q921" s="8"/>
      <c r="R921" s="8"/>
      <c r="S921" s="8"/>
      <c r="T921" s="8"/>
      <c r="U921" s="8"/>
      <c r="V921" s="8"/>
      <c r="W921" s="8"/>
      <c r="X921" s="8"/>
      <c r="Y921" s="8"/>
      <c r="Z921" s="8"/>
    </row>
    <row r="922" ht="16.5" customHeight="1">
      <c r="A922" s="8"/>
      <c r="B922" s="27"/>
      <c r="C922" s="27"/>
      <c r="D922" s="27"/>
      <c r="E922" s="28"/>
      <c r="F922" s="31"/>
      <c r="G922" s="28"/>
      <c r="H922" s="157"/>
      <c r="I922" s="158"/>
      <c r="J922" s="27"/>
      <c r="K922" s="28"/>
      <c r="L922" s="28"/>
      <c r="M922" s="27"/>
      <c r="N922" s="31"/>
      <c r="O922" s="31"/>
      <c r="P922" s="8"/>
      <c r="Q922" s="8"/>
      <c r="R922" s="8"/>
      <c r="S922" s="8"/>
      <c r="T922" s="8"/>
      <c r="U922" s="8"/>
      <c r="V922" s="8"/>
      <c r="W922" s="8"/>
      <c r="X922" s="8"/>
      <c r="Y922" s="8"/>
      <c r="Z922" s="8"/>
    </row>
    <row r="923" ht="16.5" customHeight="1">
      <c r="A923" s="8"/>
      <c r="B923" s="27"/>
      <c r="C923" s="27"/>
      <c r="D923" s="27"/>
      <c r="E923" s="28"/>
      <c r="F923" s="31"/>
      <c r="G923" s="28"/>
      <c r="H923" s="157"/>
      <c r="I923" s="158"/>
      <c r="J923" s="27"/>
      <c r="K923" s="28"/>
      <c r="L923" s="28"/>
      <c r="M923" s="27"/>
      <c r="N923" s="31"/>
      <c r="O923" s="31"/>
      <c r="P923" s="8"/>
      <c r="Q923" s="8"/>
      <c r="R923" s="8"/>
      <c r="S923" s="8"/>
      <c r="T923" s="8"/>
      <c r="U923" s="8"/>
      <c r="V923" s="8"/>
      <c r="W923" s="8"/>
      <c r="X923" s="8"/>
      <c r="Y923" s="8"/>
      <c r="Z923" s="8"/>
    </row>
    <row r="924" ht="16.5" customHeight="1">
      <c r="A924" s="8"/>
      <c r="B924" s="27"/>
      <c r="C924" s="27"/>
      <c r="D924" s="27"/>
      <c r="E924" s="28"/>
      <c r="F924" s="31"/>
      <c r="G924" s="28"/>
      <c r="H924" s="157"/>
      <c r="I924" s="158"/>
      <c r="J924" s="27"/>
      <c r="K924" s="28"/>
      <c r="L924" s="28"/>
      <c r="M924" s="27"/>
      <c r="N924" s="31"/>
      <c r="O924" s="31"/>
      <c r="P924" s="8"/>
      <c r="Q924" s="8"/>
      <c r="R924" s="8"/>
      <c r="S924" s="8"/>
      <c r="T924" s="8"/>
      <c r="U924" s="8"/>
      <c r="V924" s="8"/>
      <c r="W924" s="8"/>
      <c r="X924" s="8"/>
      <c r="Y924" s="8"/>
      <c r="Z924" s="8"/>
    </row>
    <row r="925" ht="16.5" customHeight="1">
      <c r="A925" s="8"/>
      <c r="B925" s="27"/>
      <c r="C925" s="27"/>
      <c r="D925" s="27"/>
      <c r="E925" s="28"/>
      <c r="F925" s="31"/>
      <c r="G925" s="28"/>
      <c r="H925" s="157"/>
      <c r="I925" s="158"/>
      <c r="J925" s="27"/>
      <c r="K925" s="28"/>
      <c r="L925" s="28"/>
      <c r="M925" s="27"/>
      <c r="N925" s="31"/>
      <c r="O925" s="31"/>
      <c r="P925" s="8"/>
      <c r="Q925" s="8"/>
      <c r="R925" s="8"/>
      <c r="S925" s="8"/>
      <c r="T925" s="8"/>
      <c r="U925" s="8"/>
      <c r="V925" s="8"/>
      <c r="W925" s="8"/>
      <c r="X925" s="8"/>
      <c r="Y925" s="8"/>
      <c r="Z925" s="8"/>
    </row>
    <row r="926" ht="16.5" customHeight="1">
      <c r="A926" s="8"/>
      <c r="B926" s="27"/>
      <c r="C926" s="27"/>
      <c r="D926" s="27"/>
      <c r="E926" s="28"/>
      <c r="F926" s="31"/>
      <c r="G926" s="28"/>
      <c r="H926" s="157"/>
      <c r="I926" s="158"/>
      <c r="J926" s="27"/>
      <c r="K926" s="28"/>
      <c r="L926" s="28"/>
      <c r="M926" s="27"/>
      <c r="N926" s="31"/>
      <c r="O926" s="31"/>
      <c r="P926" s="8"/>
      <c r="Q926" s="8"/>
      <c r="R926" s="8"/>
      <c r="S926" s="8"/>
      <c r="T926" s="8"/>
      <c r="U926" s="8"/>
      <c r="V926" s="8"/>
      <c r="W926" s="8"/>
      <c r="X926" s="8"/>
      <c r="Y926" s="8"/>
      <c r="Z926" s="8"/>
    </row>
    <row r="927" ht="16.5" customHeight="1">
      <c r="A927" s="8"/>
      <c r="B927" s="27"/>
      <c r="C927" s="27"/>
      <c r="D927" s="27"/>
      <c r="E927" s="28"/>
      <c r="F927" s="31"/>
      <c r="G927" s="28"/>
      <c r="H927" s="157"/>
      <c r="I927" s="158"/>
      <c r="J927" s="27"/>
      <c r="K927" s="28"/>
      <c r="L927" s="28"/>
      <c r="M927" s="27"/>
      <c r="N927" s="31"/>
      <c r="O927" s="31"/>
      <c r="P927" s="8"/>
      <c r="Q927" s="8"/>
      <c r="R927" s="8"/>
      <c r="S927" s="8"/>
      <c r="T927" s="8"/>
      <c r="U927" s="8"/>
      <c r="V927" s="8"/>
      <c r="W927" s="8"/>
      <c r="X927" s="8"/>
      <c r="Y927" s="8"/>
      <c r="Z927" s="8"/>
    </row>
    <row r="928" ht="16.5" customHeight="1">
      <c r="A928" s="8"/>
      <c r="B928" s="27"/>
      <c r="C928" s="27"/>
      <c r="D928" s="27"/>
      <c r="E928" s="28"/>
      <c r="F928" s="31"/>
      <c r="G928" s="28"/>
      <c r="H928" s="157"/>
      <c r="I928" s="158"/>
      <c r="J928" s="27"/>
      <c r="K928" s="28"/>
      <c r="L928" s="28"/>
      <c r="M928" s="27"/>
      <c r="N928" s="31"/>
      <c r="O928" s="31"/>
      <c r="P928" s="8"/>
      <c r="Q928" s="8"/>
      <c r="R928" s="8"/>
      <c r="S928" s="8"/>
      <c r="T928" s="8"/>
      <c r="U928" s="8"/>
      <c r="V928" s="8"/>
      <c r="W928" s="8"/>
      <c r="X928" s="8"/>
      <c r="Y928" s="8"/>
      <c r="Z928" s="8"/>
    </row>
    <row r="929" ht="16.5" customHeight="1">
      <c r="A929" s="8"/>
      <c r="B929" s="27"/>
      <c r="C929" s="27"/>
      <c r="D929" s="27"/>
      <c r="E929" s="28"/>
      <c r="F929" s="31"/>
      <c r="G929" s="28"/>
      <c r="H929" s="157"/>
      <c r="I929" s="158"/>
      <c r="J929" s="27"/>
      <c r="K929" s="28"/>
      <c r="L929" s="28"/>
      <c r="M929" s="27"/>
      <c r="N929" s="31"/>
      <c r="O929" s="31"/>
      <c r="P929" s="8"/>
      <c r="Q929" s="8"/>
      <c r="R929" s="8"/>
      <c r="S929" s="8"/>
      <c r="T929" s="8"/>
      <c r="U929" s="8"/>
      <c r="V929" s="8"/>
      <c r="W929" s="8"/>
      <c r="X929" s="8"/>
      <c r="Y929" s="8"/>
      <c r="Z929" s="8"/>
    </row>
    <row r="930" ht="16.5" customHeight="1">
      <c r="A930" s="8"/>
      <c r="B930" s="27"/>
      <c r="C930" s="27"/>
      <c r="D930" s="27"/>
      <c r="E930" s="28"/>
      <c r="F930" s="31"/>
      <c r="G930" s="28"/>
      <c r="H930" s="157"/>
      <c r="I930" s="158"/>
      <c r="J930" s="27"/>
      <c r="K930" s="28"/>
      <c r="L930" s="28"/>
      <c r="M930" s="27"/>
      <c r="N930" s="31"/>
      <c r="O930" s="31"/>
      <c r="P930" s="8"/>
      <c r="Q930" s="8"/>
      <c r="R930" s="8"/>
      <c r="S930" s="8"/>
      <c r="T930" s="8"/>
      <c r="U930" s="8"/>
      <c r="V930" s="8"/>
      <c r="W930" s="8"/>
      <c r="X930" s="8"/>
      <c r="Y930" s="8"/>
      <c r="Z930" s="8"/>
    </row>
    <row r="931" ht="16.5" customHeight="1">
      <c r="A931" s="8"/>
      <c r="B931" s="27"/>
      <c r="C931" s="27"/>
      <c r="D931" s="27"/>
      <c r="E931" s="28"/>
      <c r="F931" s="31"/>
      <c r="G931" s="28"/>
      <c r="H931" s="157"/>
      <c r="I931" s="158"/>
      <c r="J931" s="27"/>
      <c r="K931" s="28"/>
      <c r="L931" s="28"/>
      <c r="M931" s="27"/>
      <c r="N931" s="31"/>
      <c r="O931" s="31"/>
      <c r="P931" s="8"/>
      <c r="Q931" s="8"/>
      <c r="R931" s="8"/>
      <c r="S931" s="8"/>
      <c r="T931" s="8"/>
      <c r="U931" s="8"/>
      <c r="V931" s="8"/>
      <c r="W931" s="8"/>
      <c r="X931" s="8"/>
      <c r="Y931" s="8"/>
      <c r="Z931" s="8"/>
    </row>
    <row r="932" ht="16.5" customHeight="1">
      <c r="A932" s="8"/>
      <c r="B932" s="27"/>
      <c r="C932" s="27"/>
      <c r="D932" s="27"/>
      <c r="E932" s="28"/>
      <c r="F932" s="31"/>
      <c r="G932" s="28"/>
      <c r="H932" s="157"/>
      <c r="I932" s="158"/>
      <c r="J932" s="27"/>
      <c r="K932" s="28"/>
      <c r="L932" s="28"/>
      <c r="M932" s="27"/>
      <c r="N932" s="31"/>
      <c r="O932" s="31"/>
      <c r="P932" s="8"/>
      <c r="Q932" s="8"/>
      <c r="R932" s="8"/>
      <c r="S932" s="8"/>
      <c r="T932" s="8"/>
      <c r="U932" s="8"/>
      <c r="V932" s="8"/>
      <c r="W932" s="8"/>
      <c r="X932" s="8"/>
      <c r="Y932" s="8"/>
      <c r="Z932" s="8"/>
    </row>
    <row r="933" ht="16.5" customHeight="1">
      <c r="A933" s="8"/>
      <c r="B933" s="27"/>
      <c r="C933" s="27"/>
      <c r="D933" s="27"/>
      <c r="E933" s="28"/>
      <c r="F933" s="31"/>
      <c r="G933" s="28"/>
      <c r="H933" s="157"/>
      <c r="I933" s="158"/>
      <c r="J933" s="27"/>
      <c r="K933" s="28"/>
      <c r="L933" s="28"/>
      <c r="M933" s="27"/>
      <c r="N933" s="31"/>
      <c r="O933" s="31"/>
      <c r="P933" s="8"/>
      <c r="Q933" s="8"/>
      <c r="R933" s="8"/>
      <c r="S933" s="8"/>
      <c r="T933" s="8"/>
      <c r="U933" s="8"/>
      <c r="V933" s="8"/>
      <c r="W933" s="8"/>
      <c r="X933" s="8"/>
      <c r="Y933" s="8"/>
      <c r="Z933" s="8"/>
    </row>
    <row r="934" ht="16.5" customHeight="1">
      <c r="A934" s="8"/>
      <c r="B934" s="27"/>
      <c r="C934" s="27"/>
      <c r="D934" s="27"/>
      <c r="E934" s="28"/>
      <c r="F934" s="31"/>
      <c r="G934" s="28"/>
      <c r="H934" s="157"/>
      <c r="I934" s="158"/>
      <c r="J934" s="27"/>
      <c r="K934" s="28"/>
      <c r="L934" s="28"/>
      <c r="M934" s="27"/>
      <c r="N934" s="31"/>
      <c r="O934" s="31"/>
      <c r="P934" s="8"/>
      <c r="Q934" s="8"/>
      <c r="R934" s="8"/>
      <c r="S934" s="8"/>
      <c r="T934" s="8"/>
      <c r="U934" s="8"/>
      <c r="V934" s="8"/>
      <c r="W934" s="8"/>
      <c r="X934" s="8"/>
      <c r="Y934" s="8"/>
      <c r="Z934" s="8"/>
    </row>
    <row r="935" ht="16.5" customHeight="1">
      <c r="A935" s="8"/>
      <c r="B935" s="27"/>
      <c r="C935" s="27"/>
      <c r="D935" s="27"/>
      <c r="E935" s="28"/>
      <c r="F935" s="31"/>
      <c r="G935" s="28"/>
      <c r="H935" s="157"/>
      <c r="I935" s="158"/>
      <c r="J935" s="27"/>
      <c r="K935" s="28"/>
      <c r="L935" s="28"/>
      <c r="M935" s="27"/>
      <c r="N935" s="31"/>
      <c r="O935" s="31"/>
      <c r="P935" s="8"/>
      <c r="Q935" s="8"/>
      <c r="R935" s="8"/>
      <c r="S935" s="8"/>
      <c r="T935" s="8"/>
      <c r="U935" s="8"/>
      <c r="V935" s="8"/>
      <c r="W935" s="8"/>
      <c r="X935" s="8"/>
      <c r="Y935" s="8"/>
      <c r="Z935" s="8"/>
    </row>
    <row r="936" ht="16.5" customHeight="1">
      <c r="A936" s="8"/>
      <c r="B936" s="27"/>
      <c r="C936" s="27"/>
      <c r="D936" s="27"/>
      <c r="E936" s="28"/>
      <c r="F936" s="31"/>
      <c r="G936" s="28"/>
      <c r="H936" s="157"/>
      <c r="I936" s="158"/>
      <c r="J936" s="27"/>
      <c r="K936" s="28"/>
      <c r="L936" s="28"/>
      <c r="M936" s="27"/>
      <c r="N936" s="31"/>
      <c r="O936" s="31"/>
      <c r="P936" s="8"/>
      <c r="Q936" s="8"/>
      <c r="R936" s="8"/>
      <c r="S936" s="8"/>
      <c r="T936" s="8"/>
      <c r="U936" s="8"/>
      <c r="V936" s="8"/>
      <c r="W936" s="8"/>
      <c r="X936" s="8"/>
      <c r="Y936" s="8"/>
      <c r="Z936" s="8"/>
    </row>
    <row r="937" ht="16.5" customHeight="1">
      <c r="A937" s="8"/>
      <c r="B937" s="27"/>
      <c r="C937" s="27"/>
      <c r="D937" s="27"/>
      <c r="E937" s="28"/>
      <c r="F937" s="31"/>
      <c r="G937" s="28"/>
      <c r="H937" s="157"/>
      <c r="I937" s="158"/>
      <c r="J937" s="27"/>
      <c r="K937" s="28"/>
      <c r="L937" s="28"/>
      <c r="M937" s="27"/>
      <c r="N937" s="31"/>
      <c r="O937" s="31"/>
      <c r="P937" s="8"/>
      <c r="Q937" s="8"/>
      <c r="R937" s="8"/>
      <c r="S937" s="8"/>
      <c r="T937" s="8"/>
      <c r="U937" s="8"/>
      <c r="V937" s="8"/>
      <c r="W937" s="8"/>
      <c r="X937" s="8"/>
      <c r="Y937" s="8"/>
      <c r="Z937" s="8"/>
    </row>
    <row r="938" ht="16.5" customHeight="1">
      <c r="A938" s="8"/>
      <c r="B938" s="27"/>
      <c r="C938" s="27"/>
      <c r="D938" s="27"/>
      <c r="E938" s="28"/>
      <c r="F938" s="31"/>
      <c r="G938" s="28"/>
      <c r="H938" s="157"/>
      <c r="I938" s="158"/>
      <c r="J938" s="27"/>
      <c r="K938" s="28"/>
      <c r="L938" s="28"/>
      <c r="M938" s="27"/>
      <c r="N938" s="31"/>
      <c r="O938" s="31"/>
      <c r="P938" s="8"/>
      <c r="Q938" s="8"/>
      <c r="R938" s="8"/>
      <c r="S938" s="8"/>
      <c r="T938" s="8"/>
      <c r="U938" s="8"/>
      <c r="V938" s="8"/>
      <c r="W938" s="8"/>
      <c r="X938" s="8"/>
      <c r="Y938" s="8"/>
      <c r="Z938" s="8"/>
    </row>
    <row r="939" ht="16.5" customHeight="1">
      <c r="A939" s="8"/>
      <c r="B939" s="27"/>
      <c r="C939" s="27"/>
      <c r="D939" s="27"/>
      <c r="E939" s="28"/>
      <c r="F939" s="31"/>
      <c r="G939" s="28"/>
      <c r="H939" s="157"/>
      <c r="I939" s="158"/>
      <c r="J939" s="27"/>
      <c r="K939" s="28"/>
      <c r="L939" s="28"/>
      <c r="M939" s="27"/>
      <c r="N939" s="31"/>
      <c r="O939" s="31"/>
      <c r="P939" s="8"/>
      <c r="Q939" s="8"/>
      <c r="R939" s="8"/>
      <c r="S939" s="8"/>
      <c r="T939" s="8"/>
      <c r="U939" s="8"/>
      <c r="V939" s="8"/>
      <c r="W939" s="8"/>
      <c r="X939" s="8"/>
      <c r="Y939" s="8"/>
      <c r="Z939" s="8"/>
    </row>
    <row r="940" ht="16.5" customHeight="1">
      <c r="A940" s="8"/>
      <c r="B940" s="27"/>
      <c r="C940" s="27"/>
      <c r="D940" s="27"/>
      <c r="E940" s="28"/>
      <c r="F940" s="31"/>
      <c r="G940" s="28"/>
      <c r="H940" s="157"/>
      <c r="I940" s="158"/>
      <c r="J940" s="27"/>
      <c r="K940" s="28"/>
      <c r="L940" s="28"/>
      <c r="M940" s="27"/>
      <c r="N940" s="31"/>
      <c r="O940" s="31"/>
      <c r="P940" s="8"/>
      <c r="Q940" s="8"/>
      <c r="R940" s="8"/>
      <c r="S940" s="8"/>
      <c r="T940" s="8"/>
      <c r="U940" s="8"/>
      <c r="V940" s="8"/>
      <c r="W940" s="8"/>
      <c r="X940" s="8"/>
      <c r="Y940" s="8"/>
      <c r="Z940" s="8"/>
    </row>
    <row r="941" ht="16.5" customHeight="1">
      <c r="A941" s="8"/>
      <c r="B941" s="27"/>
      <c r="C941" s="27"/>
      <c r="D941" s="27"/>
      <c r="E941" s="28"/>
      <c r="F941" s="31"/>
      <c r="G941" s="28"/>
      <c r="H941" s="157"/>
      <c r="I941" s="158"/>
      <c r="J941" s="27"/>
      <c r="K941" s="28"/>
      <c r="L941" s="28"/>
      <c r="M941" s="27"/>
      <c r="N941" s="31"/>
      <c r="O941" s="31"/>
      <c r="P941" s="8"/>
      <c r="Q941" s="8"/>
      <c r="R941" s="8"/>
      <c r="S941" s="8"/>
      <c r="T941" s="8"/>
      <c r="U941" s="8"/>
      <c r="V941" s="8"/>
      <c r="W941" s="8"/>
      <c r="X941" s="8"/>
      <c r="Y941" s="8"/>
      <c r="Z941" s="8"/>
    </row>
    <row r="942" ht="16.5" customHeight="1">
      <c r="A942" s="8"/>
      <c r="B942" s="27"/>
      <c r="C942" s="27"/>
      <c r="D942" s="27"/>
      <c r="E942" s="28"/>
      <c r="F942" s="31"/>
      <c r="G942" s="28"/>
      <c r="H942" s="157"/>
      <c r="I942" s="158"/>
      <c r="J942" s="27"/>
      <c r="K942" s="28"/>
      <c r="L942" s="28"/>
      <c r="M942" s="27"/>
      <c r="N942" s="31"/>
      <c r="O942" s="31"/>
      <c r="P942" s="8"/>
      <c r="Q942" s="8"/>
      <c r="R942" s="8"/>
      <c r="S942" s="8"/>
      <c r="T942" s="8"/>
      <c r="U942" s="8"/>
      <c r="V942" s="8"/>
      <c r="W942" s="8"/>
      <c r="X942" s="8"/>
      <c r="Y942" s="8"/>
      <c r="Z942" s="8"/>
    </row>
    <row r="943" ht="16.5" customHeight="1">
      <c r="A943" s="8"/>
      <c r="B943" s="27"/>
      <c r="C943" s="27"/>
      <c r="D943" s="27"/>
      <c r="E943" s="28"/>
      <c r="F943" s="31"/>
      <c r="G943" s="28"/>
      <c r="H943" s="157"/>
      <c r="I943" s="158"/>
      <c r="J943" s="27"/>
      <c r="K943" s="28"/>
      <c r="L943" s="28"/>
      <c r="M943" s="27"/>
      <c r="N943" s="31"/>
      <c r="O943" s="31"/>
      <c r="P943" s="8"/>
      <c r="Q943" s="8"/>
      <c r="R943" s="8"/>
      <c r="S943" s="8"/>
      <c r="T943" s="8"/>
      <c r="U943" s="8"/>
      <c r="V943" s="8"/>
      <c r="W943" s="8"/>
      <c r="X943" s="8"/>
      <c r="Y943" s="8"/>
      <c r="Z943" s="8"/>
    </row>
    <row r="944" ht="16.5" customHeight="1">
      <c r="A944" s="8"/>
      <c r="B944" s="27"/>
      <c r="C944" s="27"/>
      <c r="D944" s="27"/>
      <c r="E944" s="28"/>
      <c r="F944" s="31"/>
      <c r="G944" s="28"/>
      <c r="H944" s="157"/>
      <c r="I944" s="158"/>
      <c r="J944" s="27"/>
      <c r="K944" s="28"/>
      <c r="L944" s="28"/>
      <c r="M944" s="27"/>
      <c r="N944" s="31"/>
      <c r="O944" s="31"/>
      <c r="P944" s="8"/>
      <c r="Q944" s="8"/>
      <c r="R944" s="8"/>
      <c r="S944" s="8"/>
      <c r="T944" s="8"/>
      <c r="U944" s="8"/>
      <c r="V944" s="8"/>
      <c r="W944" s="8"/>
      <c r="X944" s="8"/>
      <c r="Y944" s="8"/>
      <c r="Z944" s="8"/>
    </row>
    <row r="945" ht="16.5" customHeight="1">
      <c r="A945" s="8"/>
      <c r="B945" s="27"/>
      <c r="C945" s="27"/>
      <c r="D945" s="27"/>
      <c r="E945" s="28"/>
      <c r="F945" s="31"/>
      <c r="G945" s="28"/>
      <c r="H945" s="157"/>
      <c r="I945" s="158"/>
      <c r="J945" s="27"/>
      <c r="K945" s="28"/>
      <c r="L945" s="28"/>
      <c r="M945" s="27"/>
      <c r="N945" s="31"/>
      <c r="O945" s="31"/>
      <c r="P945" s="8"/>
      <c r="Q945" s="8"/>
      <c r="R945" s="8"/>
      <c r="S945" s="8"/>
      <c r="T945" s="8"/>
      <c r="U945" s="8"/>
      <c r="V945" s="8"/>
      <c r="W945" s="8"/>
      <c r="X945" s="8"/>
      <c r="Y945" s="8"/>
      <c r="Z945" s="8"/>
    </row>
    <row r="946" ht="16.5" customHeight="1">
      <c r="A946" s="8"/>
      <c r="B946" s="27"/>
      <c r="C946" s="27"/>
      <c r="D946" s="27"/>
      <c r="E946" s="28"/>
      <c r="F946" s="31"/>
      <c r="G946" s="28"/>
      <c r="H946" s="157"/>
      <c r="I946" s="158"/>
      <c r="J946" s="27"/>
      <c r="K946" s="28"/>
      <c r="L946" s="28"/>
      <c r="M946" s="27"/>
      <c r="N946" s="31"/>
      <c r="O946" s="31"/>
      <c r="P946" s="8"/>
      <c r="Q946" s="8"/>
      <c r="R946" s="8"/>
      <c r="S946" s="8"/>
      <c r="T946" s="8"/>
      <c r="U946" s="8"/>
      <c r="V946" s="8"/>
      <c r="W946" s="8"/>
      <c r="X946" s="8"/>
      <c r="Y946" s="8"/>
      <c r="Z946" s="8"/>
    </row>
    <row r="947" ht="16.5" customHeight="1">
      <c r="A947" s="8"/>
      <c r="B947" s="27"/>
      <c r="C947" s="27"/>
      <c r="D947" s="27"/>
      <c r="E947" s="28"/>
      <c r="F947" s="31"/>
      <c r="G947" s="28"/>
      <c r="H947" s="157"/>
      <c r="I947" s="158"/>
      <c r="J947" s="27"/>
      <c r="K947" s="28"/>
      <c r="L947" s="28"/>
      <c r="M947" s="27"/>
      <c r="N947" s="31"/>
      <c r="O947" s="31"/>
      <c r="P947" s="8"/>
      <c r="Q947" s="8"/>
      <c r="R947" s="8"/>
      <c r="S947" s="8"/>
      <c r="T947" s="8"/>
      <c r="U947" s="8"/>
      <c r="V947" s="8"/>
      <c r="W947" s="8"/>
      <c r="X947" s="8"/>
      <c r="Y947" s="8"/>
      <c r="Z947" s="8"/>
    </row>
    <row r="948" ht="16.5" customHeight="1">
      <c r="A948" s="8"/>
      <c r="B948" s="27"/>
      <c r="C948" s="27"/>
      <c r="D948" s="27"/>
      <c r="E948" s="28"/>
      <c r="F948" s="31"/>
      <c r="G948" s="28"/>
      <c r="H948" s="157"/>
      <c r="I948" s="158"/>
      <c r="J948" s="27"/>
      <c r="K948" s="28"/>
      <c r="L948" s="28"/>
      <c r="M948" s="27"/>
      <c r="N948" s="31"/>
      <c r="O948" s="31"/>
      <c r="P948" s="8"/>
      <c r="Q948" s="8"/>
      <c r="R948" s="8"/>
      <c r="S948" s="8"/>
      <c r="T948" s="8"/>
      <c r="U948" s="8"/>
      <c r="V948" s="8"/>
      <c r="W948" s="8"/>
      <c r="X948" s="8"/>
      <c r="Y948" s="8"/>
      <c r="Z948" s="8"/>
    </row>
    <row r="949" ht="16.5" customHeight="1">
      <c r="A949" s="8"/>
      <c r="B949" s="27"/>
      <c r="C949" s="27"/>
      <c r="D949" s="27"/>
      <c r="E949" s="28"/>
      <c r="F949" s="31"/>
      <c r="G949" s="28"/>
      <c r="H949" s="157"/>
      <c r="I949" s="158"/>
      <c r="J949" s="27"/>
      <c r="K949" s="28"/>
      <c r="L949" s="28"/>
      <c r="M949" s="27"/>
      <c r="N949" s="31"/>
      <c r="O949" s="31"/>
      <c r="P949" s="8"/>
      <c r="Q949" s="8"/>
      <c r="R949" s="8"/>
      <c r="S949" s="8"/>
      <c r="T949" s="8"/>
      <c r="U949" s="8"/>
      <c r="V949" s="8"/>
      <c r="W949" s="8"/>
      <c r="X949" s="8"/>
      <c r="Y949" s="8"/>
      <c r="Z949" s="8"/>
    </row>
    <row r="950" ht="16.5" customHeight="1">
      <c r="A950" s="8"/>
      <c r="B950" s="27"/>
      <c r="C950" s="27"/>
      <c r="D950" s="27"/>
      <c r="E950" s="28"/>
      <c r="F950" s="31"/>
      <c r="G950" s="28"/>
      <c r="H950" s="157"/>
      <c r="I950" s="158"/>
      <c r="J950" s="27"/>
      <c r="K950" s="28"/>
      <c r="L950" s="28"/>
      <c r="M950" s="27"/>
      <c r="N950" s="31"/>
      <c r="O950" s="31"/>
      <c r="P950" s="8"/>
      <c r="Q950" s="8"/>
      <c r="R950" s="8"/>
      <c r="S950" s="8"/>
      <c r="T950" s="8"/>
      <c r="U950" s="8"/>
      <c r="V950" s="8"/>
      <c r="W950" s="8"/>
      <c r="X950" s="8"/>
      <c r="Y950" s="8"/>
      <c r="Z950" s="8"/>
    </row>
    <row r="951" ht="16.5" customHeight="1">
      <c r="A951" s="8"/>
      <c r="B951" s="27"/>
      <c r="C951" s="27"/>
      <c r="D951" s="27"/>
      <c r="E951" s="28"/>
      <c r="F951" s="31"/>
      <c r="G951" s="28"/>
      <c r="H951" s="157"/>
      <c r="I951" s="158"/>
      <c r="J951" s="27"/>
      <c r="K951" s="28"/>
      <c r="L951" s="28"/>
      <c r="M951" s="27"/>
      <c r="N951" s="31"/>
      <c r="O951" s="31"/>
      <c r="P951" s="8"/>
      <c r="Q951" s="8"/>
      <c r="R951" s="8"/>
      <c r="S951" s="8"/>
      <c r="T951" s="8"/>
      <c r="U951" s="8"/>
      <c r="V951" s="8"/>
      <c r="W951" s="8"/>
      <c r="X951" s="8"/>
      <c r="Y951" s="8"/>
      <c r="Z951" s="8"/>
    </row>
    <row r="952" ht="16.5" customHeight="1">
      <c r="A952" s="8"/>
      <c r="B952" s="27"/>
      <c r="C952" s="27"/>
      <c r="D952" s="27"/>
      <c r="E952" s="28"/>
      <c r="F952" s="31"/>
      <c r="G952" s="28"/>
      <c r="H952" s="157"/>
      <c r="I952" s="158"/>
      <c r="J952" s="27"/>
      <c r="K952" s="28"/>
      <c r="L952" s="28"/>
      <c r="M952" s="27"/>
      <c r="N952" s="31"/>
      <c r="O952" s="31"/>
      <c r="P952" s="8"/>
      <c r="Q952" s="8"/>
      <c r="R952" s="8"/>
      <c r="S952" s="8"/>
      <c r="T952" s="8"/>
      <c r="U952" s="8"/>
      <c r="V952" s="8"/>
      <c r="W952" s="8"/>
      <c r="X952" s="8"/>
      <c r="Y952" s="8"/>
      <c r="Z952" s="8"/>
    </row>
    <row r="953" ht="16.5" customHeight="1">
      <c r="A953" s="8"/>
      <c r="B953" s="27"/>
      <c r="C953" s="27"/>
      <c r="D953" s="27"/>
      <c r="E953" s="28"/>
      <c r="F953" s="31"/>
      <c r="G953" s="28"/>
      <c r="H953" s="157"/>
      <c r="I953" s="158"/>
      <c r="J953" s="27"/>
      <c r="K953" s="28"/>
      <c r="L953" s="28"/>
      <c r="M953" s="27"/>
      <c r="N953" s="31"/>
      <c r="O953" s="31"/>
      <c r="P953" s="8"/>
      <c r="Q953" s="8"/>
      <c r="R953" s="8"/>
      <c r="S953" s="8"/>
      <c r="T953" s="8"/>
      <c r="U953" s="8"/>
      <c r="V953" s="8"/>
      <c r="W953" s="8"/>
      <c r="X953" s="8"/>
      <c r="Y953" s="8"/>
      <c r="Z953" s="8"/>
    </row>
    <row r="954" ht="16.5" customHeight="1">
      <c r="A954" s="8"/>
      <c r="B954" s="27"/>
      <c r="C954" s="27"/>
      <c r="D954" s="27"/>
      <c r="E954" s="28"/>
      <c r="F954" s="31"/>
      <c r="G954" s="28"/>
      <c r="H954" s="157"/>
      <c r="I954" s="158"/>
      <c r="J954" s="27"/>
      <c r="K954" s="28"/>
      <c r="L954" s="28"/>
      <c r="M954" s="27"/>
      <c r="N954" s="31"/>
      <c r="O954" s="31"/>
      <c r="P954" s="8"/>
      <c r="Q954" s="8"/>
      <c r="R954" s="8"/>
      <c r="S954" s="8"/>
      <c r="T954" s="8"/>
      <c r="U954" s="8"/>
      <c r="V954" s="8"/>
      <c r="W954" s="8"/>
      <c r="X954" s="8"/>
      <c r="Y954" s="8"/>
      <c r="Z954" s="8"/>
    </row>
    <row r="955" ht="16.5" customHeight="1">
      <c r="A955" s="8"/>
      <c r="B955" s="27"/>
      <c r="C955" s="27"/>
      <c r="D955" s="27"/>
      <c r="E955" s="28"/>
      <c r="F955" s="31"/>
      <c r="G955" s="28"/>
      <c r="H955" s="157"/>
      <c r="I955" s="158"/>
      <c r="J955" s="27"/>
      <c r="K955" s="28"/>
      <c r="L955" s="28"/>
      <c r="M955" s="27"/>
      <c r="N955" s="31"/>
      <c r="O955" s="31"/>
      <c r="P955" s="8"/>
      <c r="Q955" s="8"/>
      <c r="R955" s="8"/>
      <c r="S955" s="8"/>
      <c r="T955" s="8"/>
      <c r="U955" s="8"/>
      <c r="V955" s="8"/>
      <c r="W955" s="8"/>
      <c r="X955" s="8"/>
      <c r="Y955" s="8"/>
      <c r="Z955" s="8"/>
    </row>
    <row r="956" ht="16.5" customHeight="1">
      <c r="A956" s="8"/>
      <c r="B956" s="27"/>
      <c r="C956" s="27"/>
      <c r="D956" s="27"/>
      <c r="E956" s="28"/>
      <c r="F956" s="31"/>
      <c r="G956" s="28"/>
      <c r="H956" s="157"/>
      <c r="I956" s="158"/>
      <c r="J956" s="27"/>
      <c r="K956" s="28"/>
      <c r="L956" s="28"/>
      <c r="M956" s="27"/>
      <c r="N956" s="31"/>
      <c r="O956" s="31"/>
      <c r="P956" s="8"/>
      <c r="Q956" s="8"/>
      <c r="R956" s="8"/>
      <c r="S956" s="8"/>
      <c r="T956" s="8"/>
      <c r="U956" s="8"/>
      <c r="V956" s="8"/>
      <c r="W956" s="8"/>
      <c r="X956" s="8"/>
      <c r="Y956" s="8"/>
      <c r="Z956" s="8"/>
    </row>
    <row r="957" ht="16.5" customHeight="1">
      <c r="A957" s="8"/>
      <c r="B957" s="27"/>
      <c r="C957" s="27"/>
      <c r="D957" s="27"/>
      <c r="E957" s="28"/>
      <c r="F957" s="31"/>
      <c r="G957" s="28"/>
      <c r="H957" s="157"/>
      <c r="I957" s="158"/>
      <c r="J957" s="27"/>
      <c r="K957" s="28"/>
      <c r="L957" s="28"/>
      <c r="M957" s="27"/>
      <c r="N957" s="31"/>
      <c r="O957" s="31"/>
      <c r="P957" s="8"/>
      <c r="Q957" s="8"/>
      <c r="R957" s="8"/>
      <c r="S957" s="8"/>
      <c r="T957" s="8"/>
      <c r="U957" s="8"/>
      <c r="V957" s="8"/>
      <c r="W957" s="8"/>
      <c r="X957" s="8"/>
      <c r="Y957" s="8"/>
      <c r="Z957" s="8"/>
    </row>
    <row r="958" ht="16.5" customHeight="1">
      <c r="A958" s="8"/>
      <c r="B958" s="27"/>
      <c r="C958" s="27"/>
      <c r="D958" s="27"/>
      <c r="E958" s="28"/>
      <c r="F958" s="31"/>
      <c r="G958" s="28"/>
      <c r="H958" s="157"/>
      <c r="I958" s="158"/>
      <c r="J958" s="27"/>
      <c r="K958" s="28"/>
      <c r="L958" s="28"/>
      <c r="M958" s="27"/>
      <c r="N958" s="31"/>
      <c r="O958" s="31"/>
      <c r="P958" s="8"/>
      <c r="Q958" s="8"/>
      <c r="R958" s="8"/>
      <c r="S958" s="8"/>
      <c r="T958" s="8"/>
      <c r="U958" s="8"/>
      <c r="V958" s="8"/>
      <c r="W958" s="8"/>
      <c r="X958" s="8"/>
      <c r="Y958" s="8"/>
      <c r="Z958" s="8"/>
    </row>
    <row r="959" ht="16.5" customHeight="1">
      <c r="A959" s="8"/>
      <c r="B959" s="27"/>
      <c r="C959" s="27"/>
      <c r="D959" s="27"/>
      <c r="E959" s="28"/>
      <c r="F959" s="31"/>
      <c r="G959" s="28"/>
      <c r="H959" s="157"/>
      <c r="I959" s="158"/>
      <c r="J959" s="27"/>
      <c r="K959" s="28"/>
      <c r="L959" s="28"/>
      <c r="M959" s="27"/>
      <c r="N959" s="31"/>
      <c r="O959" s="31"/>
      <c r="P959" s="8"/>
      <c r="Q959" s="8"/>
      <c r="R959" s="8"/>
      <c r="S959" s="8"/>
      <c r="T959" s="8"/>
      <c r="U959" s="8"/>
      <c r="V959" s="8"/>
      <c r="W959" s="8"/>
      <c r="X959" s="8"/>
      <c r="Y959" s="8"/>
      <c r="Z959" s="8"/>
    </row>
    <row r="960" ht="16.5" customHeight="1">
      <c r="A960" s="8"/>
      <c r="B960" s="27"/>
      <c r="C960" s="27"/>
      <c r="D960" s="27"/>
      <c r="E960" s="28"/>
      <c r="F960" s="31"/>
      <c r="G960" s="28"/>
      <c r="H960" s="157"/>
      <c r="I960" s="158"/>
      <c r="J960" s="27"/>
      <c r="K960" s="28"/>
      <c r="L960" s="28"/>
      <c r="M960" s="27"/>
      <c r="N960" s="31"/>
      <c r="O960" s="31"/>
      <c r="P960" s="8"/>
      <c r="Q960" s="8"/>
      <c r="R960" s="8"/>
      <c r="S960" s="8"/>
      <c r="T960" s="8"/>
      <c r="U960" s="8"/>
      <c r="V960" s="8"/>
      <c r="W960" s="8"/>
      <c r="X960" s="8"/>
      <c r="Y960" s="8"/>
      <c r="Z960" s="8"/>
    </row>
    <row r="961" ht="16.5" customHeight="1">
      <c r="A961" s="8"/>
      <c r="B961" s="27"/>
      <c r="C961" s="27"/>
      <c r="D961" s="27"/>
      <c r="E961" s="28"/>
      <c r="F961" s="31"/>
      <c r="G961" s="28"/>
      <c r="H961" s="157"/>
      <c r="I961" s="158"/>
      <c r="J961" s="27"/>
      <c r="K961" s="28"/>
      <c r="L961" s="28"/>
      <c r="M961" s="27"/>
      <c r="N961" s="31"/>
      <c r="O961" s="31"/>
      <c r="P961" s="8"/>
      <c r="Q961" s="8"/>
      <c r="R961" s="8"/>
      <c r="S961" s="8"/>
      <c r="T961" s="8"/>
      <c r="U961" s="8"/>
      <c r="V961" s="8"/>
      <c r="W961" s="8"/>
      <c r="X961" s="8"/>
      <c r="Y961" s="8"/>
      <c r="Z961" s="8"/>
    </row>
    <row r="962" ht="16.5" customHeight="1">
      <c r="A962" s="8"/>
      <c r="B962" s="27"/>
      <c r="C962" s="27"/>
      <c r="D962" s="27"/>
      <c r="E962" s="28"/>
      <c r="F962" s="31"/>
      <c r="G962" s="28"/>
      <c r="H962" s="157"/>
      <c r="I962" s="158"/>
      <c r="J962" s="27"/>
      <c r="K962" s="28"/>
      <c r="L962" s="28"/>
      <c r="M962" s="27"/>
      <c r="N962" s="31"/>
      <c r="O962" s="31"/>
      <c r="P962" s="8"/>
      <c r="Q962" s="8"/>
      <c r="R962" s="8"/>
      <c r="S962" s="8"/>
      <c r="T962" s="8"/>
      <c r="U962" s="8"/>
      <c r="V962" s="8"/>
      <c r="W962" s="8"/>
      <c r="X962" s="8"/>
      <c r="Y962" s="8"/>
      <c r="Z962" s="8"/>
    </row>
    <row r="963" ht="16.5" customHeight="1">
      <c r="A963" s="8"/>
      <c r="B963" s="27"/>
      <c r="C963" s="27"/>
      <c r="D963" s="27"/>
      <c r="E963" s="28"/>
      <c r="F963" s="31"/>
      <c r="G963" s="28"/>
      <c r="H963" s="157"/>
      <c r="I963" s="158"/>
      <c r="J963" s="27"/>
      <c r="K963" s="28"/>
      <c r="L963" s="28"/>
      <c r="M963" s="27"/>
      <c r="N963" s="31"/>
      <c r="O963" s="31"/>
      <c r="P963" s="8"/>
      <c r="Q963" s="8"/>
      <c r="R963" s="8"/>
      <c r="S963" s="8"/>
      <c r="T963" s="8"/>
      <c r="U963" s="8"/>
      <c r="V963" s="8"/>
      <c r="W963" s="8"/>
      <c r="X963" s="8"/>
      <c r="Y963" s="8"/>
      <c r="Z963" s="8"/>
    </row>
    <row r="964" ht="16.5" customHeight="1">
      <c r="A964" s="8"/>
      <c r="B964" s="27"/>
      <c r="C964" s="27"/>
      <c r="D964" s="27"/>
      <c r="E964" s="28"/>
      <c r="F964" s="31"/>
      <c r="G964" s="28"/>
      <c r="H964" s="157"/>
      <c r="I964" s="158"/>
      <c r="J964" s="27"/>
      <c r="K964" s="28"/>
      <c r="L964" s="28"/>
      <c r="M964" s="27"/>
      <c r="N964" s="31"/>
      <c r="O964" s="31"/>
      <c r="P964" s="8"/>
      <c r="Q964" s="8"/>
      <c r="R964" s="8"/>
      <c r="S964" s="8"/>
      <c r="T964" s="8"/>
      <c r="U964" s="8"/>
      <c r="V964" s="8"/>
      <c r="W964" s="8"/>
      <c r="X964" s="8"/>
      <c r="Y964" s="8"/>
      <c r="Z964" s="8"/>
    </row>
    <row r="965" ht="16.5" customHeight="1">
      <c r="A965" s="8"/>
      <c r="B965" s="27"/>
      <c r="C965" s="27"/>
      <c r="D965" s="27"/>
      <c r="E965" s="28"/>
      <c r="F965" s="31"/>
      <c r="G965" s="28"/>
      <c r="H965" s="157"/>
      <c r="I965" s="158"/>
      <c r="J965" s="27"/>
      <c r="K965" s="28"/>
      <c r="L965" s="28"/>
      <c r="M965" s="27"/>
      <c r="N965" s="31"/>
      <c r="O965" s="31"/>
      <c r="P965" s="8"/>
      <c r="Q965" s="8"/>
      <c r="R965" s="8"/>
      <c r="S965" s="8"/>
      <c r="T965" s="8"/>
      <c r="U965" s="8"/>
      <c r="V965" s="8"/>
      <c r="W965" s="8"/>
      <c r="X965" s="8"/>
      <c r="Y965" s="8"/>
      <c r="Z965" s="8"/>
    </row>
    <row r="966" ht="16.5" customHeight="1">
      <c r="A966" s="8"/>
      <c r="B966" s="27"/>
      <c r="C966" s="27"/>
      <c r="D966" s="27"/>
      <c r="E966" s="28"/>
      <c r="F966" s="31"/>
      <c r="G966" s="28"/>
      <c r="H966" s="157"/>
      <c r="I966" s="158"/>
      <c r="J966" s="27"/>
      <c r="K966" s="28"/>
      <c r="L966" s="28"/>
      <c r="M966" s="27"/>
      <c r="N966" s="31"/>
      <c r="O966" s="31"/>
      <c r="P966" s="8"/>
      <c r="Q966" s="8"/>
      <c r="R966" s="8"/>
      <c r="S966" s="8"/>
      <c r="T966" s="8"/>
      <c r="U966" s="8"/>
      <c r="V966" s="8"/>
      <c r="W966" s="8"/>
      <c r="X966" s="8"/>
      <c r="Y966" s="8"/>
      <c r="Z966" s="8"/>
    </row>
    <row r="967" ht="16.5" customHeight="1">
      <c r="A967" s="8"/>
      <c r="B967" s="27"/>
      <c r="C967" s="27"/>
      <c r="D967" s="27"/>
      <c r="E967" s="28"/>
      <c r="F967" s="31"/>
      <c r="G967" s="28"/>
      <c r="H967" s="157"/>
      <c r="I967" s="158"/>
      <c r="J967" s="27"/>
      <c r="K967" s="28"/>
      <c r="L967" s="28"/>
      <c r="M967" s="27"/>
      <c r="N967" s="31"/>
      <c r="O967" s="31"/>
      <c r="P967" s="8"/>
      <c r="Q967" s="8"/>
      <c r="R967" s="8"/>
      <c r="S967" s="8"/>
      <c r="T967" s="8"/>
      <c r="U967" s="8"/>
      <c r="V967" s="8"/>
      <c r="W967" s="8"/>
      <c r="X967" s="8"/>
      <c r="Y967" s="8"/>
      <c r="Z967" s="8"/>
    </row>
    <row r="968" ht="16.5" customHeight="1">
      <c r="A968" s="8"/>
      <c r="B968" s="27"/>
      <c r="C968" s="27"/>
      <c r="D968" s="27"/>
      <c r="E968" s="28"/>
      <c r="F968" s="31"/>
      <c r="G968" s="28"/>
      <c r="H968" s="157"/>
      <c r="I968" s="158"/>
      <c r="J968" s="27"/>
      <c r="K968" s="28"/>
      <c r="L968" s="28"/>
      <c r="M968" s="27"/>
      <c r="N968" s="31"/>
      <c r="O968" s="31"/>
      <c r="P968" s="8"/>
      <c r="Q968" s="8"/>
      <c r="R968" s="8"/>
      <c r="S968" s="8"/>
      <c r="T968" s="8"/>
      <c r="U968" s="8"/>
      <c r="V968" s="8"/>
      <c r="W968" s="8"/>
      <c r="X968" s="8"/>
      <c r="Y968" s="8"/>
      <c r="Z968" s="8"/>
    </row>
    <row r="969" ht="16.5" customHeight="1">
      <c r="A969" s="8"/>
      <c r="B969" s="27"/>
      <c r="C969" s="27"/>
      <c r="D969" s="27"/>
      <c r="E969" s="28"/>
      <c r="F969" s="31"/>
      <c r="G969" s="28"/>
      <c r="H969" s="157"/>
      <c r="I969" s="158"/>
      <c r="J969" s="27"/>
      <c r="K969" s="28"/>
      <c r="L969" s="28"/>
      <c r="M969" s="27"/>
      <c r="N969" s="31"/>
      <c r="O969" s="31"/>
      <c r="P969" s="8"/>
      <c r="Q969" s="8"/>
      <c r="R969" s="8"/>
      <c r="S969" s="8"/>
      <c r="T969" s="8"/>
      <c r="U969" s="8"/>
      <c r="V969" s="8"/>
      <c r="W969" s="8"/>
      <c r="X969" s="8"/>
      <c r="Y969" s="8"/>
      <c r="Z969" s="8"/>
    </row>
    <row r="970" ht="16.5" customHeight="1">
      <c r="A970" s="8"/>
      <c r="B970" s="27"/>
      <c r="C970" s="27"/>
      <c r="D970" s="27"/>
      <c r="E970" s="28"/>
      <c r="F970" s="31"/>
      <c r="G970" s="28"/>
      <c r="H970" s="157"/>
      <c r="I970" s="158"/>
      <c r="J970" s="27"/>
      <c r="K970" s="28"/>
      <c r="L970" s="28"/>
      <c r="M970" s="27"/>
      <c r="N970" s="31"/>
      <c r="O970" s="31"/>
      <c r="P970" s="8"/>
      <c r="Q970" s="8"/>
      <c r="R970" s="8"/>
      <c r="S970" s="8"/>
      <c r="T970" s="8"/>
      <c r="U970" s="8"/>
      <c r="V970" s="8"/>
      <c r="W970" s="8"/>
      <c r="X970" s="8"/>
      <c r="Y970" s="8"/>
      <c r="Z970" s="8"/>
    </row>
    <row r="971" ht="16.5" customHeight="1">
      <c r="A971" s="8"/>
      <c r="B971" s="27"/>
      <c r="C971" s="27"/>
      <c r="D971" s="27"/>
      <c r="E971" s="28"/>
      <c r="F971" s="31"/>
      <c r="G971" s="28"/>
      <c r="H971" s="157"/>
      <c r="I971" s="158"/>
      <c r="J971" s="27"/>
      <c r="K971" s="28"/>
      <c r="L971" s="28"/>
      <c r="M971" s="27"/>
      <c r="N971" s="31"/>
      <c r="O971" s="31"/>
      <c r="P971" s="8"/>
      <c r="Q971" s="8"/>
      <c r="R971" s="8"/>
      <c r="S971" s="8"/>
      <c r="T971" s="8"/>
      <c r="U971" s="8"/>
      <c r="V971" s="8"/>
      <c r="W971" s="8"/>
      <c r="X971" s="8"/>
      <c r="Y971" s="8"/>
      <c r="Z971" s="8"/>
    </row>
    <row r="972" ht="16.5" customHeight="1">
      <c r="A972" s="8"/>
      <c r="B972" s="27"/>
      <c r="C972" s="27"/>
      <c r="D972" s="27"/>
      <c r="E972" s="28"/>
      <c r="F972" s="31"/>
      <c r="G972" s="28"/>
      <c r="H972" s="157"/>
      <c r="I972" s="158"/>
      <c r="J972" s="27"/>
      <c r="K972" s="28"/>
      <c r="L972" s="28"/>
      <c r="M972" s="27"/>
      <c r="N972" s="31"/>
      <c r="O972" s="31"/>
      <c r="P972" s="8"/>
      <c r="Q972" s="8"/>
      <c r="R972" s="8"/>
      <c r="S972" s="8"/>
      <c r="T972" s="8"/>
      <c r="U972" s="8"/>
      <c r="V972" s="8"/>
      <c r="W972" s="8"/>
      <c r="X972" s="8"/>
      <c r="Y972" s="8"/>
      <c r="Z972" s="8"/>
    </row>
    <row r="973" ht="16.5" customHeight="1">
      <c r="A973" s="8"/>
      <c r="B973" s="27"/>
      <c r="C973" s="27"/>
      <c r="D973" s="27"/>
      <c r="E973" s="28"/>
      <c r="F973" s="31"/>
      <c r="G973" s="28"/>
      <c r="H973" s="157"/>
      <c r="I973" s="158"/>
      <c r="J973" s="27"/>
      <c r="K973" s="28"/>
      <c r="L973" s="28"/>
      <c r="M973" s="27"/>
      <c r="N973" s="31"/>
      <c r="O973" s="31"/>
      <c r="P973" s="8"/>
      <c r="Q973" s="8"/>
      <c r="R973" s="8"/>
      <c r="S973" s="8"/>
      <c r="T973" s="8"/>
      <c r="U973" s="8"/>
      <c r="V973" s="8"/>
      <c r="W973" s="8"/>
      <c r="X973" s="8"/>
      <c r="Y973" s="8"/>
      <c r="Z973" s="8"/>
    </row>
    <row r="974" ht="16.5" customHeight="1">
      <c r="A974" s="8"/>
      <c r="B974" s="27"/>
      <c r="C974" s="27"/>
      <c r="D974" s="27"/>
      <c r="E974" s="28"/>
      <c r="F974" s="31"/>
      <c r="G974" s="28"/>
      <c r="H974" s="157"/>
      <c r="I974" s="158"/>
      <c r="J974" s="27"/>
      <c r="K974" s="28"/>
      <c r="L974" s="28"/>
      <c r="M974" s="27"/>
      <c r="N974" s="31"/>
      <c r="O974" s="31"/>
      <c r="P974" s="8"/>
      <c r="Q974" s="8"/>
      <c r="R974" s="8"/>
      <c r="S974" s="8"/>
      <c r="T974" s="8"/>
      <c r="U974" s="8"/>
      <c r="V974" s="8"/>
      <c r="W974" s="8"/>
      <c r="X974" s="8"/>
      <c r="Y974" s="8"/>
      <c r="Z974" s="8"/>
    </row>
    <row r="975" ht="16.5" customHeight="1">
      <c r="A975" s="8"/>
      <c r="B975" s="27"/>
      <c r="C975" s="27"/>
      <c r="D975" s="27"/>
      <c r="E975" s="28"/>
      <c r="F975" s="31"/>
      <c r="G975" s="28"/>
      <c r="H975" s="157"/>
      <c r="I975" s="158"/>
      <c r="J975" s="27"/>
      <c r="K975" s="28"/>
      <c r="L975" s="28"/>
      <c r="M975" s="27"/>
      <c r="N975" s="31"/>
      <c r="O975" s="31"/>
      <c r="P975" s="8"/>
      <c r="Q975" s="8"/>
      <c r="R975" s="8"/>
      <c r="S975" s="8"/>
      <c r="T975" s="8"/>
      <c r="U975" s="8"/>
      <c r="V975" s="8"/>
      <c r="W975" s="8"/>
      <c r="X975" s="8"/>
      <c r="Y975" s="8"/>
      <c r="Z975" s="8"/>
    </row>
    <row r="976" ht="16.5" customHeight="1">
      <c r="A976" s="8"/>
      <c r="B976" s="27"/>
      <c r="C976" s="27"/>
      <c r="D976" s="27"/>
      <c r="E976" s="28"/>
      <c r="F976" s="31"/>
      <c r="G976" s="28"/>
      <c r="H976" s="157"/>
      <c r="I976" s="158"/>
      <c r="J976" s="27"/>
      <c r="K976" s="28"/>
      <c r="L976" s="28"/>
      <c r="M976" s="27"/>
      <c r="N976" s="31"/>
      <c r="O976" s="31"/>
      <c r="P976" s="8"/>
      <c r="Q976" s="8"/>
      <c r="R976" s="8"/>
      <c r="S976" s="8"/>
      <c r="T976" s="8"/>
      <c r="U976" s="8"/>
      <c r="V976" s="8"/>
      <c r="W976" s="8"/>
      <c r="X976" s="8"/>
      <c r="Y976" s="8"/>
      <c r="Z976" s="8"/>
    </row>
    <row r="977" ht="16.5" customHeight="1">
      <c r="A977" s="8"/>
      <c r="B977" s="27"/>
      <c r="C977" s="27"/>
      <c r="D977" s="27"/>
      <c r="E977" s="28"/>
      <c r="F977" s="31"/>
      <c r="G977" s="28"/>
      <c r="H977" s="157"/>
      <c r="I977" s="158"/>
      <c r="J977" s="27"/>
      <c r="K977" s="28"/>
      <c r="L977" s="28"/>
      <c r="M977" s="27"/>
      <c r="N977" s="31"/>
      <c r="O977" s="31"/>
      <c r="P977" s="8"/>
      <c r="Q977" s="8"/>
      <c r="R977" s="8"/>
      <c r="S977" s="8"/>
      <c r="T977" s="8"/>
      <c r="U977" s="8"/>
      <c r="V977" s="8"/>
      <c r="W977" s="8"/>
      <c r="X977" s="8"/>
      <c r="Y977" s="8"/>
      <c r="Z977" s="8"/>
    </row>
    <row r="978" ht="16.5" customHeight="1">
      <c r="A978" s="8"/>
      <c r="B978" s="27"/>
      <c r="C978" s="27"/>
      <c r="D978" s="27"/>
      <c r="E978" s="28"/>
      <c r="F978" s="31"/>
      <c r="G978" s="28"/>
      <c r="H978" s="157"/>
      <c r="I978" s="158"/>
      <c r="J978" s="27"/>
      <c r="K978" s="28"/>
      <c r="L978" s="28"/>
      <c r="M978" s="27"/>
      <c r="N978" s="31"/>
      <c r="O978" s="31"/>
      <c r="P978" s="8"/>
      <c r="Q978" s="8"/>
      <c r="R978" s="8"/>
      <c r="S978" s="8"/>
      <c r="T978" s="8"/>
      <c r="U978" s="8"/>
      <c r="V978" s="8"/>
      <c r="W978" s="8"/>
      <c r="X978" s="8"/>
      <c r="Y978" s="8"/>
      <c r="Z978" s="8"/>
    </row>
    <row r="979" ht="16.5" customHeight="1">
      <c r="A979" s="8"/>
      <c r="B979" s="27"/>
      <c r="C979" s="27"/>
      <c r="D979" s="27"/>
      <c r="E979" s="28"/>
      <c r="F979" s="31"/>
      <c r="G979" s="28"/>
      <c r="H979" s="157"/>
      <c r="I979" s="158"/>
      <c r="J979" s="27"/>
      <c r="K979" s="28"/>
      <c r="L979" s="28"/>
      <c r="M979" s="27"/>
      <c r="N979" s="31"/>
      <c r="O979" s="31"/>
      <c r="P979" s="8"/>
      <c r="Q979" s="8"/>
      <c r="R979" s="8"/>
      <c r="S979" s="8"/>
      <c r="T979" s="8"/>
      <c r="U979" s="8"/>
      <c r="V979" s="8"/>
      <c r="W979" s="8"/>
      <c r="X979" s="8"/>
      <c r="Y979" s="8"/>
      <c r="Z979" s="8"/>
    </row>
    <row r="980" ht="16.5" customHeight="1">
      <c r="A980" s="8"/>
      <c r="B980" s="27"/>
      <c r="C980" s="27"/>
      <c r="D980" s="27"/>
      <c r="E980" s="28"/>
      <c r="F980" s="31"/>
      <c r="G980" s="28"/>
      <c r="H980" s="157"/>
      <c r="I980" s="158"/>
      <c r="J980" s="27"/>
      <c r="K980" s="28"/>
      <c r="L980" s="28"/>
      <c r="M980" s="27"/>
      <c r="N980" s="31"/>
      <c r="O980" s="31"/>
      <c r="P980" s="8"/>
      <c r="Q980" s="8"/>
      <c r="R980" s="8"/>
      <c r="S980" s="8"/>
      <c r="T980" s="8"/>
      <c r="U980" s="8"/>
      <c r="V980" s="8"/>
      <c r="W980" s="8"/>
      <c r="X980" s="8"/>
      <c r="Y980" s="8"/>
      <c r="Z980" s="8"/>
    </row>
    <row r="981" ht="16.5" customHeight="1">
      <c r="A981" s="8"/>
      <c r="B981" s="27"/>
      <c r="C981" s="27"/>
      <c r="D981" s="27"/>
      <c r="E981" s="28"/>
      <c r="F981" s="31"/>
      <c r="G981" s="28"/>
      <c r="H981" s="157"/>
      <c r="I981" s="158"/>
      <c r="J981" s="27"/>
      <c r="K981" s="28"/>
      <c r="L981" s="28"/>
      <c r="M981" s="27"/>
      <c r="N981" s="31"/>
      <c r="O981" s="31"/>
      <c r="P981" s="8"/>
      <c r="Q981" s="8"/>
      <c r="R981" s="8"/>
      <c r="S981" s="8"/>
      <c r="T981" s="8"/>
      <c r="U981" s="8"/>
      <c r="V981" s="8"/>
      <c r="W981" s="8"/>
      <c r="X981" s="8"/>
      <c r="Y981" s="8"/>
      <c r="Z981" s="8"/>
    </row>
    <row r="982" ht="16.5" customHeight="1">
      <c r="A982" s="8"/>
      <c r="B982" s="27"/>
      <c r="C982" s="27"/>
      <c r="D982" s="27"/>
      <c r="E982" s="28"/>
      <c r="F982" s="31"/>
      <c r="G982" s="28"/>
      <c r="H982" s="157"/>
      <c r="I982" s="158"/>
      <c r="J982" s="27"/>
      <c r="K982" s="28"/>
      <c r="L982" s="28"/>
      <c r="M982" s="27"/>
      <c r="N982" s="31"/>
      <c r="O982" s="31"/>
      <c r="P982" s="8"/>
      <c r="Q982" s="8"/>
      <c r="R982" s="8"/>
      <c r="S982" s="8"/>
      <c r="T982" s="8"/>
      <c r="U982" s="8"/>
      <c r="V982" s="8"/>
      <c r="W982" s="8"/>
      <c r="X982" s="8"/>
      <c r="Y982" s="8"/>
      <c r="Z982" s="8"/>
    </row>
    <row r="983" ht="16.5" customHeight="1">
      <c r="A983" s="8"/>
      <c r="B983" s="27"/>
      <c r="C983" s="27"/>
      <c r="D983" s="27"/>
      <c r="E983" s="28"/>
      <c r="F983" s="31"/>
      <c r="G983" s="28"/>
      <c r="H983" s="157"/>
      <c r="I983" s="158"/>
      <c r="J983" s="27"/>
      <c r="K983" s="28"/>
      <c r="L983" s="28"/>
      <c r="M983" s="27"/>
      <c r="N983" s="31"/>
      <c r="O983" s="31"/>
      <c r="P983" s="8"/>
      <c r="Q983" s="8"/>
      <c r="R983" s="8"/>
      <c r="S983" s="8"/>
      <c r="T983" s="8"/>
      <c r="U983" s="8"/>
      <c r="V983" s="8"/>
      <c r="W983" s="8"/>
      <c r="X983" s="8"/>
      <c r="Y983" s="8"/>
      <c r="Z983" s="8"/>
    </row>
    <row r="984" ht="16.5" customHeight="1">
      <c r="A984" s="8"/>
      <c r="B984" s="27"/>
      <c r="C984" s="27"/>
      <c r="D984" s="27"/>
      <c r="E984" s="28"/>
      <c r="F984" s="31"/>
      <c r="G984" s="28"/>
      <c r="H984" s="157"/>
      <c r="I984" s="158"/>
      <c r="J984" s="27"/>
      <c r="K984" s="28"/>
      <c r="L984" s="28"/>
      <c r="M984" s="27"/>
      <c r="N984" s="31"/>
      <c r="O984" s="31"/>
      <c r="P984" s="8"/>
      <c r="Q984" s="8"/>
      <c r="R984" s="8"/>
      <c r="S984" s="8"/>
      <c r="T984" s="8"/>
      <c r="U984" s="8"/>
      <c r="V984" s="8"/>
      <c r="W984" s="8"/>
      <c r="X984" s="8"/>
      <c r="Y984" s="8"/>
      <c r="Z984" s="8"/>
    </row>
    <row r="985" ht="16.5" customHeight="1">
      <c r="A985" s="8"/>
      <c r="B985" s="27"/>
      <c r="C985" s="27"/>
      <c r="D985" s="27"/>
      <c r="E985" s="28"/>
      <c r="F985" s="31"/>
      <c r="G985" s="28"/>
      <c r="H985" s="157"/>
      <c r="I985" s="158"/>
      <c r="J985" s="27"/>
      <c r="K985" s="28"/>
      <c r="L985" s="28"/>
      <c r="M985" s="27"/>
      <c r="N985" s="31"/>
      <c r="O985" s="31"/>
      <c r="P985" s="8"/>
      <c r="Q985" s="8"/>
      <c r="R985" s="8"/>
      <c r="S985" s="8"/>
      <c r="T985" s="8"/>
      <c r="U985" s="8"/>
      <c r="V985" s="8"/>
      <c r="W985" s="8"/>
      <c r="X985" s="8"/>
      <c r="Y985" s="8"/>
      <c r="Z985" s="8"/>
    </row>
    <row r="986" ht="16.5" customHeight="1">
      <c r="A986" s="8"/>
      <c r="B986" s="27"/>
      <c r="C986" s="27"/>
      <c r="D986" s="27"/>
      <c r="E986" s="28"/>
      <c r="F986" s="31"/>
      <c r="G986" s="28"/>
      <c r="H986" s="157"/>
      <c r="I986" s="158"/>
      <c r="J986" s="27"/>
      <c r="K986" s="28"/>
      <c r="L986" s="28"/>
      <c r="M986" s="27"/>
      <c r="N986" s="31"/>
      <c r="O986" s="31"/>
      <c r="P986" s="8"/>
      <c r="Q986" s="8"/>
      <c r="R986" s="8"/>
      <c r="S986" s="8"/>
      <c r="T986" s="8"/>
      <c r="U986" s="8"/>
      <c r="V986" s="8"/>
      <c r="W986" s="8"/>
      <c r="X986" s="8"/>
      <c r="Y986" s="8"/>
      <c r="Z986" s="8"/>
    </row>
    <row r="987" ht="16.5" customHeight="1">
      <c r="A987" s="8"/>
      <c r="B987" s="27"/>
      <c r="C987" s="27"/>
      <c r="D987" s="27"/>
      <c r="E987" s="28"/>
      <c r="F987" s="31"/>
      <c r="G987" s="28"/>
      <c r="H987" s="157"/>
      <c r="I987" s="158"/>
      <c r="J987" s="27"/>
      <c r="K987" s="28"/>
      <c r="L987" s="28"/>
      <c r="M987" s="27"/>
      <c r="N987" s="31"/>
      <c r="O987" s="31"/>
      <c r="P987" s="8"/>
      <c r="Q987" s="8"/>
      <c r="R987" s="8"/>
      <c r="S987" s="8"/>
      <c r="T987" s="8"/>
      <c r="U987" s="8"/>
      <c r="V987" s="8"/>
      <c r="W987" s="8"/>
      <c r="X987" s="8"/>
      <c r="Y987" s="8"/>
      <c r="Z987" s="8"/>
    </row>
    <row r="988" ht="16.5" customHeight="1">
      <c r="A988" s="8"/>
      <c r="B988" s="27"/>
      <c r="C988" s="27"/>
      <c r="D988" s="27"/>
      <c r="E988" s="28"/>
      <c r="F988" s="31"/>
      <c r="G988" s="28"/>
      <c r="H988" s="157"/>
      <c r="I988" s="158"/>
      <c r="J988" s="27"/>
      <c r="K988" s="28"/>
      <c r="L988" s="28"/>
      <c r="M988" s="27"/>
      <c r="N988" s="31"/>
      <c r="O988" s="31"/>
      <c r="P988" s="8"/>
      <c r="Q988" s="8"/>
      <c r="R988" s="8"/>
      <c r="S988" s="8"/>
      <c r="T988" s="8"/>
      <c r="U988" s="8"/>
      <c r="V988" s="8"/>
      <c r="W988" s="8"/>
      <c r="X988" s="8"/>
      <c r="Y988" s="8"/>
      <c r="Z988" s="8"/>
    </row>
    <row r="989" ht="16.5" customHeight="1">
      <c r="A989" s="8"/>
      <c r="B989" s="27"/>
      <c r="C989" s="27"/>
      <c r="D989" s="27"/>
      <c r="E989" s="28"/>
      <c r="F989" s="31"/>
      <c r="G989" s="28"/>
      <c r="H989" s="157"/>
      <c r="I989" s="158"/>
      <c r="J989" s="27"/>
      <c r="K989" s="28"/>
      <c r="L989" s="28"/>
      <c r="M989" s="27"/>
      <c r="N989" s="31"/>
      <c r="O989" s="31"/>
      <c r="P989" s="8"/>
      <c r="Q989" s="8"/>
      <c r="R989" s="8"/>
      <c r="S989" s="8"/>
      <c r="T989" s="8"/>
      <c r="U989" s="8"/>
      <c r="V989" s="8"/>
      <c r="W989" s="8"/>
      <c r="X989" s="8"/>
      <c r="Y989" s="8"/>
      <c r="Z989" s="8"/>
    </row>
    <row r="990" ht="16.5" customHeight="1">
      <c r="A990" s="8"/>
      <c r="B990" s="27"/>
      <c r="C990" s="27"/>
      <c r="D990" s="27"/>
      <c r="E990" s="28"/>
      <c r="F990" s="31"/>
      <c r="G990" s="28"/>
      <c r="H990" s="157"/>
      <c r="I990" s="158"/>
      <c r="J990" s="27"/>
      <c r="K990" s="28"/>
      <c r="L990" s="28"/>
      <c r="M990" s="27"/>
      <c r="N990" s="31"/>
      <c r="O990" s="31"/>
      <c r="P990" s="8"/>
      <c r="Q990" s="8"/>
      <c r="R990" s="8"/>
      <c r="S990" s="8"/>
      <c r="T990" s="8"/>
      <c r="U990" s="8"/>
      <c r="V990" s="8"/>
      <c r="W990" s="8"/>
      <c r="X990" s="8"/>
      <c r="Y990" s="8"/>
      <c r="Z990" s="8"/>
    </row>
    <row r="991" ht="16.5" customHeight="1">
      <c r="A991" s="8"/>
      <c r="B991" s="27"/>
      <c r="C991" s="27"/>
      <c r="D991" s="27"/>
      <c r="E991" s="28"/>
      <c r="F991" s="31"/>
      <c r="G991" s="28"/>
      <c r="H991" s="157"/>
      <c r="I991" s="158"/>
      <c r="J991" s="27"/>
      <c r="K991" s="28"/>
      <c r="L991" s="28"/>
      <c r="M991" s="27"/>
      <c r="N991" s="31"/>
      <c r="O991" s="31"/>
      <c r="P991" s="8"/>
      <c r="Q991" s="8"/>
      <c r="R991" s="8"/>
      <c r="S991" s="8"/>
      <c r="T991" s="8"/>
      <c r="U991" s="8"/>
      <c r="V991" s="8"/>
      <c r="W991" s="8"/>
      <c r="X991" s="8"/>
      <c r="Y991" s="8"/>
      <c r="Z991" s="8"/>
    </row>
    <row r="992" ht="16.5" customHeight="1">
      <c r="A992" s="8"/>
      <c r="B992" s="27"/>
      <c r="C992" s="27"/>
      <c r="D992" s="27"/>
      <c r="E992" s="28"/>
      <c r="F992" s="31"/>
      <c r="G992" s="28"/>
      <c r="H992" s="157"/>
      <c r="I992" s="158"/>
      <c r="J992" s="27"/>
      <c r="K992" s="28"/>
      <c r="L992" s="28"/>
      <c r="M992" s="27"/>
      <c r="N992" s="31"/>
      <c r="O992" s="31"/>
      <c r="P992" s="8"/>
      <c r="Q992" s="8"/>
      <c r="R992" s="8"/>
      <c r="S992" s="8"/>
      <c r="T992" s="8"/>
      <c r="U992" s="8"/>
      <c r="V992" s="8"/>
      <c r="W992" s="8"/>
      <c r="X992" s="8"/>
      <c r="Y992" s="8"/>
      <c r="Z992" s="8"/>
    </row>
    <row r="993" ht="16.5" customHeight="1">
      <c r="A993" s="8"/>
      <c r="B993" s="27"/>
      <c r="C993" s="27"/>
      <c r="D993" s="27"/>
      <c r="E993" s="28"/>
      <c r="F993" s="31"/>
      <c r="G993" s="28"/>
      <c r="H993" s="157"/>
      <c r="I993" s="158"/>
      <c r="J993" s="27"/>
      <c r="K993" s="28"/>
      <c r="L993" s="28"/>
      <c r="M993" s="27"/>
      <c r="N993" s="31"/>
      <c r="O993" s="31"/>
      <c r="P993" s="8"/>
      <c r="Q993" s="8"/>
      <c r="R993" s="8"/>
      <c r="S993" s="8"/>
      <c r="T993" s="8"/>
      <c r="U993" s="8"/>
      <c r="V993" s="8"/>
      <c r="W993" s="8"/>
      <c r="X993" s="8"/>
      <c r="Y993" s="8"/>
      <c r="Z993" s="8"/>
    </row>
    <row r="994" ht="16.5" customHeight="1">
      <c r="A994" s="8"/>
      <c r="B994" s="27"/>
      <c r="C994" s="27"/>
      <c r="D994" s="27"/>
      <c r="E994" s="28"/>
      <c r="F994" s="31"/>
      <c r="G994" s="28"/>
      <c r="H994" s="157"/>
      <c r="I994" s="158"/>
      <c r="J994" s="27"/>
      <c r="K994" s="28"/>
      <c r="L994" s="28"/>
      <c r="M994" s="27"/>
      <c r="N994" s="31"/>
      <c r="O994" s="31"/>
      <c r="P994" s="8"/>
      <c r="Q994" s="8"/>
      <c r="R994" s="8"/>
      <c r="S994" s="8"/>
      <c r="T994" s="8"/>
      <c r="U994" s="8"/>
      <c r="V994" s="8"/>
      <c r="W994" s="8"/>
      <c r="X994" s="8"/>
      <c r="Y994" s="8"/>
      <c r="Z994" s="8"/>
    </row>
    <row r="995" ht="16.5" customHeight="1">
      <c r="A995" s="8"/>
      <c r="B995" s="27"/>
      <c r="C995" s="27"/>
      <c r="D995" s="27"/>
      <c r="E995" s="28"/>
      <c r="F995" s="31"/>
      <c r="G995" s="28"/>
      <c r="H995" s="157"/>
      <c r="I995" s="158"/>
      <c r="J995" s="27"/>
      <c r="K995" s="28"/>
      <c r="L995" s="28"/>
      <c r="M995" s="27"/>
      <c r="N995" s="31"/>
      <c r="O995" s="31"/>
      <c r="P995" s="8"/>
      <c r="Q995" s="8"/>
      <c r="R995" s="8"/>
      <c r="S995" s="8"/>
      <c r="T995" s="8"/>
      <c r="U995" s="8"/>
      <c r="V995" s="8"/>
      <c r="W995" s="8"/>
      <c r="X995" s="8"/>
      <c r="Y995" s="8"/>
      <c r="Z995" s="8"/>
    </row>
    <row r="996" ht="16.5" customHeight="1">
      <c r="A996" s="8"/>
      <c r="B996" s="27"/>
      <c r="C996" s="27"/>
      <c r="D996" s="27"/>
      <c r="E996" s="28"/>
      <c r="F996" s="31"/>
      <c r="G996" s="28"/>
      <c r="H996" s="157"/>
      <c r="I996" s="158"/>
      <c r="J996" s="27"/>
      <c r="K996" s="28"/>
      <c r="L996" s="28"/>
      <c r="M996" s="27"/>
      <c r="N996" s="31"/>
      <c r="O996" s="31"/>
      <c r="P996" s="8"/>
      <c r="Q996" s="8"/>
      <c r="R996" s="8"/>
      <c r="S996" s="8"/>
      <c r="T996" s="8"/>
      <c r="U996" s="8"/>
      <c r="V996" s="8"/>
      <c r="W996" s="8"/>
      <c r="X996" s="8"/>
      <c r="Y996" s="8"/>
      <c r="Z996" s="8"/>
    </row>
    <row r="997" ht="16.5" customHeight="1">
      <c r="A997" s="8"/>
      <c r="B997" s="27"/>
      <c r="C997" s="27"/>
      <c r="D997" s="27"/>
      <c r="E997" s="28"/>
      <c r="F997" s="31"/>
      <c r="G997" s="28"/>
      <c r="H997" s="157"/>
      <c r="I997" s="158"/>
      <c r="J997" s="27"/>
      <c r="K997" s="28"/>
      <c r="L997" s="28"/>
      <c r="M997" s="27"/>
      <c r="N997" s="31"/>
      <c r="O997" s="31"/>
      <c r="P997" s="8"/>
      <c r="Q997" s="8"/>
      <c r="R997" s="8"/>
      <c r="S997" s="8"/>
      <c r="T997" s="8"/>
      <c r="U997" s="8"/>
      <c r="V997" s="8"/>
      <c r="W997" s="8"/>
      <c r="X997" s="8"/>
      <c r="Y997" s="8"/>
      <c r="Z997" s="8"/>
    </row>
    <row r="998" ht="16.5" customHeight="1">
      <c r="A998" s="8"/>
      <c r="B998" s="27"/>
      <c r="C998" s="27"/>
      <c r="D998" s="27"/>
      <c r="E998" s="28"/>
      <c r="F998" s="31"/>
      <c r="G998" s="28"/>
      <c r="H998" s="157"/>
      <c r="I998" s="158"/>
      <c r="J998" s="27"/>
      <c r="K998" s="28"/>
      <c r="L998" s="28"/>
      <c r="M998" s="27"/>
      <c r="N998" s="31"/>
      <c r="O998" s="31"/>
      <c r="P998" s="8"/>
      <c r="Q998" s="8"/>
      <c r="R998" s="8"/>
      <c r="S998" s="8"/>
      <c r="T998" s="8"/>
      <c r="U998" s="8"/>
      <c r="V998" s="8"/>
      <c r="W998" s="8"/>
      <c r="X998" s="8"/>
      <c r="Y998" s="8"/>
      <c r="Z998" s="8"/>
    </row>
    <row r="999" ht="16.5" customHeight="1">
      <c r="A999" s="8"/>
      <c r="B999" s="27"/>
      <c r="C999" s="27"/>
      <c r="D999" s="27"/>
      <c r="E999" s="28"/>
      <c r="F999" s="31"/>
      <c r="G999" s="28"/>
      <c r="H999" s="157"/>
      <c r="I999" s="158"/>
      <c r="J999" s="27"/>
      <c r="K999" s="28"/>
      <c r="L999" s="28"/>
      <c r="M999" s="27"/>
      <c r="N999" s="31"/>
      <c r="O999" s="31"/>
      <c r="P999" s="8"/>
      <c r="Q999" s="8"/>
      <c r="R999" s="8"/>
      <c r="S999" s="8"/>
      <c r="T999" s="8"/>
      <c r="U999" s="8"/>
      <c r="V999" s="8"/>
      <c r="W999" s="8"/>
      <c r="X999" s="8"/>
      <c r="Y999" s="8"/>
      <c r="Z999" s="8"/>
    </row>
    <row r="1000" ht="16.5" customHeight="1">
      <c r="A1000" s="8"/>
      <c r="B1000" s="27"/>
      <c r="C1000" s="27"/>
      <c r="D1000" s="27"/>
      <c r="E1000" s="28"/>
      <c r="F1000" s="31"/>
      <c r="G1000" s="28"/>
      <c r="H1000" s="157"/>
      <c r="I1000" s="158"/>
      <c r="J1000" s="27"/>
      <c r="K1000" s="28"/>
      <c r="L1000" s="28"/>
      <c r="M1000" s="27"/>
      <c r="N1000" s="31"/>
      <c r="O1000" s="31"/>
      <c r="P1000" s="8"/>
      <c r="Q1000" s="8"/>
      <c r="R1000" s="8"/>
      <c r="S1000" s="8"/>
      <c r="T1000" s="8"/>
      <c r="U1000" s="8"/>
      <c r="V1000" s="8"/>
      <c r="W1000" s="8"/>
      <c r="X1000" s="8"/>
      <c r="Y1000" s="8"/>
      <c r="Z1000" s="8"/>
    </row>
  </sheetData>
  <autoFilter ref="$B$7:$O$178"/>
  <mergeCells count="1">
    <mergeCell ref="B2:O2"/>
  </mergeCells>
  <conditionalFormatting sqref="H8:H177">
    <cfRule type="containsText" dxfId="0" priority="1" operator="containsText" text="N/A">
      <formula>NOT(ISERROR(SEARCH(("N/A"),(H8))))</formula>
    </cfRule>
  </conditionalFormatting>
  <conditionalFormatting sqref="H8:H177">
    <cfRule type="containsText" dxfId="1" priority="2" operator="containsText" text="N">
      <formula>NOT(ISERROR(SEARCH(("N"),(H8))))</formula>
    </cfRule>
  </conditionalFormatting>
  <conditionalFormatting sqref="H8:H177">
    <cfRule type="containsText" dxfId="2" priority="3" operator="containsText" text="P">
      <formula>NOT(ISERROR(SEARCH(("P"),(H8))))</formula>
    </cfRule>
  </conditionalFormatting>
  <conditionalFormatting sqref="H8:H177">
    <cfRule type="containsText" dxfId="3" priority="4" operator="containsText" text="Y">
      <formula>NOT(ISERROR(SEARCH(("Y"),(H8))))</formula>
    </cfRule>
  </conditionalFormatting>
  <conditionalFormatting sqref="I7:I177">
    <cfRule type="containsText" dxfId="2" priority="5" operator="containsText" text="부분양호">
      <formula>NOT(ISERROR(SEARCH(("부분양호"),(I7))))</formula>
    </cfRule>
  </conditionalFormatting>
  <conditionalFormatting sqref="I7:I177">
    <cfRule type="beginsWith" dxfId="3" priority="6" operator="beginsWith" text="양호">
      <formula>LEFT((I7),LEN("양호"))=("양호")</formula>
    </cfRule>
  </conditionalFormatting>
  <conditionalFormatting sqref="I7:I177">
    <cfRule type="cellIs" dxfId="3" priority="7" operator="equal">
      <formula>"Y"</formula>
    </cfRule>
  </conditionalFormatting>
  <conditionalFormatting sqref="I7:I177">
    <cfRule type="cellIs" dxfId="4" priority="8" operator="equal">
      <formula>"N"</formula>
    </cfRule>
  </conditionalFormatting>
  <conditionalFormatting sqref="I7:I177">
    <cfRule type="cellIs" dxfId="5" priority="9" operator="equal">
      <formula>"N/A"</formula>
    </cfRule>
  </conditionalFormatting>
  <conditionalFormatting sqref="I7:I177">
    <cfRule type="cellIs" dxfId="2" priority="10" operator="equal">
      <formula>"P"</formula>
    </cfRule>
  </conditionalFormatting>
  <printOptions/>
  <pageMargins bottom="0.75" footer="0.0" header="0.0" left="0.6997222304344177" right="0.699722230434417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1.0" ySplit="7.0" topLeftCell="V8" activePane="bottomRight" state="frozen"/>
      <selection activeCell="V1" sqref="V1" pane="topRight"/>
      <selection activeCell="A8" sqref="A8" pane="bottomLeft"/>
      <selection activeCell="V8" sqref="V8" pane="bottomRight"/>
    </sheetView>
  </sheetViews>
  <sheetFormatPr customHeight="1" defaultColWidth="14.43" defaultRowHeight="15.0"/>
  <cols>
    <col customWidth="1" min="1" max="1" width="3.0"/>
    <col customWidth="1" min="2" max="2" width="14.14"/>
    <col customWidth="1" min="3" max="3" width="11.0"/>
    <col customWidth="1" min="4" max="4" width="21.0"/>
    <col customWidth="1" min="5" max="5" width="19.14"/>
    <col customWidth="1" hidden="1" min="6" max="6" width="11.43"/>
    <col customWidth="1" hidden="1" min="7" max="7" width="8.14"/>
    <col customWidth="1" hidden="1" min="8" max="8" width="15.14"/>
    <col customWidth="1" min="9" max="9" width="5.86"/>
    <col customWidth="1" min="10" max="10" width="6.0"/>
    <col customWidth="1" min="11" max="11" width="30.71"/>
    <col customWidth="1" min="12" max="12" width="8.0"/>
    <col customWidth="1" min="13" max="13" width="7.14"/>
    <col customWidth="1" hidden="1" min="14" max="15" width="7.43"/>
    <col customWidth="1" min="16" max="16" width="11.0"/>
    <col customWidth="1" min="17" max="18" width="7.43"/>
    <col customWidth="1" min="19" max="19" width="41.14"/>
    <col customWidth="1" hidden="1" min="20" max="20" width="42.43"/>
    <col customWidth="1" min="21" max="21" width="42.43"/>
    <col customWidth="1" min="22" max="22" width="61.43"/>
    <col customWidth="1" min="23" max="23" width="43.86"/>
    <col customWidth="1" min="24" max="24" width="56.0"/>
    <col customWidth="1" min="25" max="25" width="32.43"/>
    <col customWidth="1" min="26" max="26" width="17.0"/>
    <col customWidth="1" min="27" max="27" width="16.43"/>
    <col customWidth="1" min="28" max="28" width="12.43"/>
    <col customWidth="1" min="29" max="29" width="23.29"/>
    <col customWidth="1" min="30" max="30" width="13.71"/>
    <col customWidth="1" min="31" max="31" width="17.0"/>
    <col customWidth="1" min="32" max="34" width="16.29"/>
    <col customWidth="1" min="35" max="35" width="9.0"/>
  </cols>
  <sheetData>
    <row r="1" ht="16.5" customHeight="1">
      <c r="A1" s="190"/>
      <c r="B1" s="191"/>
      <c r="C1" s="191"/>
      <c r="D1" s="191"/>
      <c r="E1" s="192"/>
      <c r="F1" s="192"/>
      <c r="G1" s="192"/>
      <c r="H1" s="192"/>
      <c r="I1" s="192"/>
      <c r="J1" s="193"/>
      <c r="K1" s="192"/>
      <c r="L1" s="190"/>
      <c r="M1" s="194"/>
      <c r="N1" s="194"/>
      <c r="O1" s="194"/>
      <c r="P1" s="194"/>
      <c r="Q1" s="194"/>
      <c r="R1" s="194"/>
      <c r="S1" s="195"/>
      <c r="T1" s="195"/>
      <c r="U1" s="195"/>
      <c r="V1" s="191"/>
      <c r="W1" s="191"/>
      <c r="X1" s="191"/>
      <c r="Y1" s="191"/>
      <c r="Z1" s="191"/>
      <c r="AA1" s="191"/>
      <c r="AB1" s="193"/>
      <c r="AC1" s="193"/>
      <c r="AD1" s="191"/>
      <c r="AE1" s="194"/>
      <c r="AF1" s="194"/>
      <c r="AG1" s="194"/>
      <c r="AH1" s="194"/>
      <c r="AI1" s="190"/>
    </row>
    <row r="2" ht="16.5" customHeight="1">
      <c r="A2" s="190"/>
      <c r="B2" s="196" t="s">
        <v>981</v>
      </c>
      <c r="C2" s="10"/>
      <c r="D2" s="10"/>
      <c r="E2" s="10"/>
      <c r="F2" s="10"/>
      <c r="G2" s="10"/>
      <c r="H2" s="10"/>
      <c r="I2" s="10"/>
      <c r="J2" s="10"/>
      <c r="K2" s="10"/>
      <c r="L2" s="10"/>
      <c r="M2" s="10"/>
      <c r="N2" s="10"/>
      <c r="O2" s="10"/>
      <c r="P2" s="10"/>
      <c r="Q2" s="10"/>
      <c r="R2" s="10"/>
      <c r="S2" s="10"/>
      <c r="T2" s="10"/>
      <c r="U2" s="10"/>
      <c r="V2" s="10"/>
      <c r="W2" s="10"/>
      <c r="X2" s="10"/>
      <c r="Y2" s="10"/>
      <c r="Z2" s="10"/>
      <c r="AA2" s="10"/>
      <c r="AB2" s="10"/>
      <c r="AC2" s="10"/>
      <c r="AD2" s="10"/>
      <c r="AE2" s="10"/>
      <c r="AF2" s="10"/>
      <c r="AG2" s="197"/>
      <c r="AH2" s="197"/>
      <c r="AI2" s="190"/>
    </row>
    <row r="3" ht="16.5" customHeight="1">
      <c r="A3" s="190"/>
      <c r="B3" s="191"/>
      <c r="C3" s="191"/>
      <c r="D3" s="191"/>
      <c r="E3" s="192"/>
      <c r="F3" s="192"/>
      <c r="G3" s="192"/>
      <c r="H3" s="192"/>
      <c r="I3" s="192"/>
      <c r="J3" s="193"/>
      <c r="K3" s="192"/>
      <c r="L3" s="190"/>
      <c r="M3" s="194"/>
      <c r="N3" s="194"/>
      <c r="O3" s="194"/>
      <c r="P3" s="194"/>
      <c r="Q3" s="194"/>
      <c r="R3" s="194"/>
      <c r="S3" s="195"/>
      <c r="T3" s="195"/>
      <c r="U3" s="195"/>
      <c r="V3" s="191"/>
      <c r="W3" s="191"/>
      <c r="X3" s="191"/>
      <c r="Y3" s="191"/>
      <c r="Z3" s="191"/>
      <c r="AA3" s="191"/>
      <c r="AB3" s="193"/>
      <c r="AC3" s="193"/>
      <c r="AD3" s="191"/>
      <c r="AE3" s="194"/>
      <c r="AF3" s="194"/>
      <c r="AG3" s="194"/>
      <c r="AH3" s="194"/>
      <c r="AI3" s="190"/>
    </row>
    <row r="4" ht="16.5" customHeight="1">
      <c r="A4" s="190"/>
      <c r="B4" s="191"/>
      <c r="C4" s="191"/>
      <c r="D4" s="191"/>
      <c r="E4" s="192"/>
      <c r="F4" s="192"/>
      <c r="G4" s="192"/>
      <c r="H4" s="192"/>
      <c r="I4" s="192"/>
      <c r="J4" s="193"/>
      <c r="K4" s="192"/>
      <c r="L4" s="190"/>
      <c r="M4" s="194"/>
      <c r="N4" s="194"/>
      <c r="O4" s="194"/>
      <c r="P4" s="194"/>
      <c r="Q4" s="194"/>
      <c r="R4" s="194"/>
      <c r="S4" s="195"/>
      <c r="T4" s="195"/>
      <c r="U4" s="195"/>
      <c r="V4" s="191"/>
      <c r="W4" s="191"/>
      <c r="X4" s="191"/>
      <c r="Y4" s="191"/>
      <c r="Z4" s="191"/>
      <c r="AA4" s="191"/>
      <c r="AB4" s="193"/>
      <c r="AC4" s="193"/>
      <c r="AD4" s="191"/>
      <c r="AE4" s="194"/>
      <c r="AF4" s="194"/>
      <c r="AG4" s="194"/>
      <c r="AH4" s="194"/>
      <c r="AI4" s="190"/>
    </row>
    <row r="5" ht="16.5" customHeight="1">
      <c r="A5" s="190"/>
      <c r="B5" s="191"/>
      <c r="C5" s="191"/>
      <c r="D5" s="191"/>
      <c r="E5" s="192"/>
      <c r="F5" s="192"/>
      <c r="G5" s="192"/>
      <c r="H5" s="192"/>
      <c r="I5" s="192"/>
      <c r="J5" s="193"/>
      <c r="K5" s="192"/>
      <c r="L5" s="190"/>
      <c r="M5" s="194"/>
      <c r="N5" s="194"/>
      <c r="O5" s="194"/>
      <c r="P5" s="194"/>
      <c r="Q5" s="194"/>
      <c r="R5" s="194"/>
      <c r="S5" s="195"/>
      <c r="T5" s="195"/>
      <c r="U5" s="195"/>
      <c r="V5" s="191"/>
      <c r="W5" s="191"/>
      <c r="X5" s="191"/>
      <c r="Y5" s="191"/>
      <c r="Z5" s="191"/>
      <c r="AA5" s="191"/>
      <c r="AB5" s="193"/>
      <c r="AC5" s="193"/>
      <c r="AD5" s="191"/>
      <c r="AE5" s="194"/>
      <c r="AF5" s="194"/>
      <c r="AG5" s="194"/>
      <c r="AH5" s="194"/>
      <c r="AI5" s="190"/>
    </row>
    <row r="6" ht="16.5" customHeight="1">
      <c r="A6" s="190"/>
      <c r="B6" s="191"/>
      <c r="C6" s="191"/>
      <c r="D6" s="191"/>
      <c r="E6" s="192"/>
      <c r="F6" s="192"/>
      <c r="G6" s="192"/>
      <c r="H6" s="192"/>
      <c r="I6" s="192"/>
      <c r="J6" s="193"/>
      <c r="K6" s="192"/>
      <c r="L6" s="190"/>
      <c r="M6" s="194"/>
      <c r="N6" s="194"/>
      <c r="O6" s="194"/>
      <c r="P6" s="194"/>
      <c r="Q6" s="194"/>
      <c r="R6" s="194"/>
      <c r="S6" s="195"/>
      <c r="T6" s="195"/>
      <c r="U6" s="195"/>
      <c r="V6" s="191"/>
      <c r="W6" s="191"/>
      <c r="X6" s="191"/>
      <c r="Y6" s="191"/>
      <c r="Z6" s="191"/>
      <c r="AA6" s="191"/>
      <c r="AB6" s="193"/>
      <c r="AC6" s="193"/>
      <c r="AD6" s="191"/>
      <c r="AE6" s="194"/>
      <c r="AF6" s="194"/>
      <c r="AG6" s="194"/>
      <c r="AH6" s="194"/>
      <c r="AI6" s="190"/>
    </row>
    <row r="7" ht="16.5" customHeight="1">
      <c r="A7" s="190"/>
      <c r="B7" s="198" t="s">
        <v>982</v>
      </c>
      <c r="C7" s="198" t="s">
        <v>152</v>
      </c>
      <c r="D7" s="198" t="s">
        <v>153</v>
      </c>
      <c r="E7" s="198" t="s">
        <v>154</v>
      </c>
      <c r="F7" s="198"/>
      <c r="G7" s="198"/>
      <c r="H7" s="198" t="s">
        <v>1629</v>
      </c>
      <c r="I7" s="198"/>
      <c r="J7" s="198" t="s">
        <v>155</v>
      </c>
      <c r="K7" s="198" t="s">
        <v>156</v>
      </c>
      <c r="L7" s="198" t="s">
        <v>1630</v>
      </c>
      <c r="M7" s="198" t="s">
        <v>1631</v>
      </c>
      <c r="N7" s="198" t="s">
        <v>1632</v>
      </c>
      <c r="O7" s="198" t="s">
        <v>1633</v>
      </c>
      <c r="P7" s="198" t="s">
        <v>1634</v>
      </c>
      <c r="Q7" s="198" t="s">
        <v>1635</v>
      </c>
      <c r="R7" s="198" t="s">
        <v>1636</v>
      </c>
      <c r="S7" s="199" t="s">
        <v>157</v>
      </c>
      <c r="T7" s="200" t="s">
        <v>1637</v>
      </c>
      <c r="U7" s="201" t="s">
        <v>1638</v>
      </c>
      <c r="V7" s="198" t="s">
        <v>984</v>
      </c>
      <c r="W7" s="199" t="s">
        <v>985</v>
      </c>
      <c r="X7" s="199" t="s">
        <v>986</v>
      </c>
      <c r="Y7" s="202" t="s">
        <v>1639</v>
      </c>
      <c r="Z7" s="203" t="s">
        <v>1640</v>
      </c>
      <c r="AA7" s="203" t="s">
        <v>5</v>
      </c>
      <c r="AB7" s="203" t="s">
        <v>987</v>
      </c>
      <c r="AC7" s="203" t="s">
        <v>1641</v>
      </c>
      <c r="AD7" s="203" t="s">
        <v>1642</v>
      </c>
      <c r="AE7" s="204" t="s">
        <v>1643</v>
      </c>
      <c r="AF7" s="198" t="s">
        <v>988</v>
      </c>
      <c r="AG7" s="198" t="s">
        <v>1644</v>
      </c>
      <c r="AH7" s="198" t="s">
        <v>1645</v>
      </c>
      <c r="AI7" s="190"/>
    </row>
    <row r="8" ht="408.75" customHeight="1">
      <c r="A8" s="190"/>
      <c r="B8" s="205" t="s">
        <v>158</v>
      </c>
      <c r="C8" s="205" t="s">
        <v>159</v>
      </c>
      <c r="D8" s="205" t="s">
        <v>160</v>
      </c>
      <c r="E8" s="205" t="s">
        <v>161</v>
      </c>
      <c r="F8" s="206" t="s">
        <v>1646</v>
      </c>
      <c r="G8" s="206" t="s">
        <v>1647</v>
      </c>
      <c r="H8" s="206" t="s">
        <v>1648</v>
      </c>
      <c r="I8" s="207" t="s">
        <v>1649</v>
      </c>
      <c r="J8" s="205" t="s">
        <v>1650</v>
      </c>
      <c r="K8" s="205" t="s">
        <v>163</v>
      </c>
      <c r="L8" s="208" t="s">
        <v>22</v>
      </c>
      <c r="M8" s="208" t="s">
        <v>22</v>
      </c>
      <c r="N8" s="209" t="s">
        <v>1651</v>
      </c>
      <c r="O8" s="209"/>
      <c r="P8" s="209" t="s">
        <v>22</v>
      </c>
      <c r="Q8" s="209"/>
      <c r="R8" s="209"/>
      <c r="S8" s="210"/>
      <c r="T8" s="211" t="s">
        <v>1652</v>
      </c>
      <c r="U8" s="175" t="s">
        <v>989</v>
      </c>
      <c r="V8" s="147" t="s">
        <v>990</v>
      </c>
      <c r="W8" s="177" t="s">
        <v>991</v>
      </c>
      <c r="X8" s="177" t="s">
        <v>992</v>
      </c>
      <c r="Y8" s="147"/>
      <c r="Z8" s="212" t="s">
        <v>1653</v>
      </c>
      <c r="AA8" s="213" t="s">
        <v>993</v>
      </c>
      <c r="AB8" s="213" t="s">
        <v>994</v>
      </c>
      <c r="AC8" s="147" t="s">
        <v>1654</v>
      </c>
      <c r="AD8" s="147" t="s">
        <v>1654</v>
      </c>
      <c r="AE8" s="214" t="s">
        <v>1654</v>
      </c>
      <c r="AF8" s="214" t="s">
        <v>1654</v>
      </c>
      <c r="AG8" s="215"/>
      <c r="AH8" s="215" t="s">
        <v>1655</v>
      </c>
      <c r="AI8" s="190"/>
    </row>
    <row r="9" ht="408.75" customHeight="1">
      <c r="A9" s="190"/>
      <c r="B9" s="216" t="s">
        <v>158</v>
      </c>
      <c r="C9" s="216" t="s">
        <v>159</v>
      </c>
      <c r="D9" s="216" t="s">
        <v>160</v>
      </c>
      <c r="E9" s="216" t="s">
        <v>161</v>
      </c>
      <c r="F9" s="217"/>
      <c r="G9" s="217"/>
      <c r="H9" s="217"/>
      <c r="I9" s="218"/>
      <c r="J9" s="216" t="s">
        <v>1656</v>
      </c>
      <c r="K9" s="216" t="s">
        <v>168</v>
      </c>
      <c r="L9" s="208" t="s">
        <v>307</v>
      </c>
      <c r="M9" s="208" t="s">
        <v>974</v>
      </c>
      <c r="N9" s="219" t="s">
        <v>1651</v>
      </c>
      <c r="O9" s="219"/>
      <c r="P9" s="219" t="s">
        <v>22</v>
      </c>
      <c r="Q9" s="219"/>
      <c r="R9" s="219"/>
      <c r="S9" s="210"/>
      <c r="T9" s="211" t="s">
        <v>995</v>
      </c>
      <c r="U9" s="175" t="s">
        <v>1657</v>
      </c>
      <c r="V9" s="220" t="s">
        <v>990</v>
      </c>
      <c r="W9" s="220" t="s">
        <v>996</v>
      </c>
      <c r="X9" s="216" t="s">
        <v>997</v>
      </c>
      <c r="Y9" s="216"/>
      <c r="Z9" s="212" t="s">
        <v>1658</v>
      </c>
      <c r="AA9" s="213" t="s">
        <v>998</v>
      </c>
      <c r="AB9" s="213" t="s">
        <v>999</v>
      </c>
      <c r="AC9" s="220" t="s">
        <v>1659</v>
      </c>
      <c r="AD9" s="213" t="s">
        <v>1660</v>
      </c>
      <c r="AE9" s="221" t="s">
        <v>1661</v>
      </c>
      <c r="AF9" s="221" t="s">
        <v>1662</v>
      </c>
      <c r="AG9" s="221"/>
      <c r="AH9" s="221" t="s">
        <v>1663</v>
      </c>
      <c r="AI9" s="190"/>
    </row>
    <row r="10" ht="408.75" customHeight="1">
      <c r="A10" s="190"/>
      <c r="B10" s="205" t="s">
        <v>158</v>
      </c>
      <c r="C10" s="205" t="s">
        <v>159</v>
      </c>
      <c r="D10" s="205" t="s">
        <v>160</v>
      </c>
      <c r="E10" s="205" t="s">
        <v>161</v>
      </c>
      <c r="F10" s="217"/>
      <c r="G10" s="222"/>
      <c r="H10" s="222"/>
      <c r="I10" s="223"/>
      <c r="J10" s="205" t="s">
        <v>1664</v>
      </c>
      <c r="K10" s="205" t="s">
        <v>172</v>
      </c>
      <c r="L10" s="208" t="s">
        <v>22</v>
      </c>
      <c r="M10" s="208" t="s">
        <v>22</v>
      </c>
      <c r="N10" s="209" t="s">
        <v>1651</v>
      </c>
      <c r="O10" s="209"/>
      <c r="P10" s="209" t="s">
        <v>22</v>
      </c>
      <c r="Q10" s="209"/>
      <c r="R10" s="209"/>
      <c r="S10" s="210"/>
      <c r="T10" s="211" t="s">
        <v>1652</v>
      </c>
      <c r="U10" s="175" t="s">
        <v>1000</v>
      </c>
      <c r="V10" s="147" t="s">
        <v>990</v>
      </c>
      <c r="W10" s="177" t="s">
        <v>1001</v>
      </c>
      <c r="X10" s="147" t="s">
        <v>1002</v>
      </c>
      <c r="Y10" s="147"/>
      <c r="Z10" s="212" t="s">
        <v>1658</v>
      </c>
      <c r="AA10" s="213" t="s">
        <v>998</v>
      </c>
      <c r="AB10" s="213" t="s">
        <v>999</v>
      </c>
      <c r="AC10" s="147" t="s">
        <v>1654</v>
      </c>
      <c r="AD10" s="147" t="s">
        <v>1654</v>
      </c>
      <c r="AE10" s="214" t="s">
        <v>1654</v>
      </c>
      <c r="AF10" s="214" t="s">
        <v>1654</v>
      </c>
      <c r="AG10" s="215"/>
      <c r="AH10" s="215" t="s">
        <v>1655</v>
      </c>
      <c r="AI10" s="190"/>
    </row>
    <row r="11" ht="408.75" customHeight="1">
      <c r="A11" s="190"/>
      <c r="B11" s="205" t="s">
        <v>158</v>
      </c>
      <c r="C11" s="205" t="s">
        <v>159</v>
      </c>
      <c r="D11" s="205" t="s">
        <v>160</v>
      </c>
      <c r="E11" s="205" t="s">
        <v>161</v>
      </c>
      <c r="F11" s="217"/>
      <c r="G11" s="206" t="s">
        <v>1665</v>
      </c>
      <c r="H11" s="206" t="s">
        <v>1666</v>
      </c>
      <c r="I11" s="207" t="s">
        <v>1667</v>
      </c>
      <c r="J11" s="205" t="s">
        <v>1668</v>
      </c>
      <c r="K11" s="205" t="s">
        <v>175</v>
      </c>
      <c r="L11" s="208" t="s">
        <v>22</v>
      </c>
      <c r="M11" s="208" t="s">
        <v>22</v>
      </c>
      <c r="N11" s="219" t="s">
        <v>1651</v>
      </c>
      <c r="O11" s="219"/>
      <c r="P11" s="219" t="s">
        <v>22</v>
      </c>
      <c r="Q11" s="219"/>
      <c r="R11" s="219"/>
      <c r="S11" s="224"/>
      <c r="T11" s="211" t="s">
        <v>1669</v>
      </c>
      <c r="U11" s="225" t="s">
        <v>1003</v>
      </c>
      <c r="V11" s="147" t="s">
        <v>990</v>
      </c>
      <c r="W11" s="147" t="s">
        <v>1001</v>
      </c>
      <c r="X11" s="152" t="s">
        <v>1004</v>
      </c>
      <c r="Y11" s="152"/>
      <c r="Z11" s="212" t="s">
        <v>1658</v>
      </c>
      <c r="AA11" s="213" t="s">
        <v>998</v>
      </c>
      <c r="AB11" s="213" t="s">
        <v>999</v>
      </c>
      <c r="AC11" s="147" t="s">
        <v>1654</v>
      </c>
      <c r="AD11" s="147" t="s">
        <v>1654</v>
      </c>
      <c r="AE11" s="214" t="s">
        <v>1654</v>
      </c>
      <c r="AF11" s="214" t="s">
        <v>1654</v>
      </c>
      <c r="AG11" s="215"/>
      <c r="AH11" s="215" t="s">
        <v>1655</v>
      </c>
      <c r="AI11" s="190"/>
    </row>
    <row r="12" ht="408.75" customHeight="1">
      <c r="A12" s="190"/>
      <c r="B12" s="216" t="s">
        <v>158</v>
      </c>
      <c r="C12" s="216" t="s">
        <v>159</v>
      </c>
      <c r="D12" s="216" t="s">
        <v>160</v>
      </c>
      <c r="E12" s="216" t="s">
        <v>161</v>
      </c>
      <c r="F12" s="222"/>
      <c r="G12" s="222"/>
      <c r="H12" s="222"/>
      <c r="I12" s="223"/>
      <c r="J12" s="216" t="s">
        <v>1670</v>
      </c>
      <c r="K12" s="216" t="s">
        <v>178</v>
      </c>
      <c r="L12" s="208" t="s">
        <v>307</v>
      </c>
      <c r="M12" s="226" t="s">
        <v>22</v>
      </c>
      <c r="N12" s="219"/>
      <c r="O12" s="219" t="s">
        <v>1651</v>
      </c>
      <c r="P12" s="219" t="s">
        <v>22</v>
      </c>
      <c r="Q12" s="219"/>
      <c r="R12" s="219"/>
      <c r="S12" s="224"/>
      <c r="T12" s="227"/>
      <c r="U12" s="228" t="s">
        <v>1006</v>
      </c>
      <c r="V12" s="220" t="s">
        <v>990</v>
      </c>
      <c r="W12" s="220" t="s">
        <v>1007</v>
      </c>
      <c r="X12" s="220" t="s">
        <v>1008</v>
      </c>
      <c r="Y12" s="220"/>
      <c r="Z12" s="212" t="s">
        <v>1658</v>
      </c>
      <c r="AA12" s="213" t="s">
        <v>998</v>
      </c>
      <c r="AB12" s="213" t="s">
        <v>999</v>
      </c>
      <c r="AC12" s="220" t="s">
        <v>1671</v>
      </c>
      <c r="AD12" s="213" t="s">
        <v>1672</v>
      </c>
      <c r="AE12" s="221" t="s">
        <v>1673</v>
      </c>
      <c r="AF12" s="221" t="s">
        <v>1674</v>
      </c>
      <c r="AG12" s="229"/>
      <c r="AH12" s="221" t="s">
        <v>1663</v>
      </c>
      <c r="AI12" s="190"/>
    </row>
    <row r="13" ht="408.75" customHeight="1">
      <c r="A13" s="190"/>
      <c r="B13" s="205" t="s">
        <v>158</v>
      </c>
      <c r="C13" s="205">
        <v>5.2</v>
      </c>
      <c r="D13" s="205" t="s">
        <v>181</v>
      </c>
      <c r="E13" s="205" t="s">
        <v>182</v>
      </c>
      <c r="F13" s="206" t="s">
        <v>1675</v>
      </c>
      <c r="G13" s="206" t="s">
        <v>1676</v>
      </c>
      <c r="H13" s="206" t="s">
        <v>181</v>
      </c>
      <c r="I13" s="207" t="s">
        <v>1677</v>
      </c>
      <c r="J13" s="205" t="s">
        <v>1678</v>
      </c>
      <c r="K13" s="205" t="s">
        <v>184</v>
      </c>
      <c r="L13" s="208" t="s">
        <v>22</v>
      </c>
      <c r="M13" s="208" t="s">
        <v>22</v>
      </c>
      <c r="N13" s="219" t="s">
        <v>1651</v>
      </c>
      <c r="O13" s="219"/>
      <c r="P13" s="219" t="s">
        <v>307</v>
      </c>
      <c r="Q13" s="219"/>
      <c r="R13" s="219"/>
      <c r="S13" s="224"/>
      <c r="T13" s="211" t="s">
        <v>1652</v>
      </c>
      <c r="U13" s="228" t="s">
        <v>1009</v>
      </c>
      <c r="V13" s="147" t="s">
        <v>1010</v>
      </c>
      <c r="W13" s="177" t="s">
        <v>1011</v>
      </c>
      <c r="X13" s="230" t="s">
        <v>1679</v>
      </c>
      <c r="Y13" s="230" t="s">
        <v>1680</v>
      </c>
      <c r="Z13" s="212" t="s">
        <v>1658</v>
      </c>
      <c r="AA13" s="213" t="s">
        <v>998</v>
      </c>
      <c r="AB13" s="213" t="s">
        <v>999</v>
      </c>
      <c r="AC13" s="147" t="s">
        <v>1654</v>
      </c>
      <c r="AD13" s="147" t="s">
        <v>1654</v>
      </c>
      <c r="AE13" s="214" t="s">
        <v>1654</v>
      </c>
      <c r="AF13" s="214" t="s">
        <v>1654</v>
      </c>
      <c r="AG13" s="215" t="s">
        <v>1681</v>
      </c>
      <c r="AH13" s="215" t="s">
        <v>1655</v>
      </c>
      <c r="AI13" s="190"/>
    </row>
    <row r="14" ht="408.75" customHeight="1">
      <c r="A14" s="190"/>
      <c r="B14" s="205" t="s">
        <v>158</v>
      </c>
      <c r="C14" s="205">
        <v>5.2</v>
      </c>
      <c r="D14" s="205" t="s">
        <v>181</v>
      </c>
      <c r="E14" s="205" t="s">
        <v>182</v>
      </c>
      <c r="F14" s="222"/>
      <c r="G14" s="222"/>
      <c r="H14" s="222"/>
      <c r="I14" s="223"/>
      <c r="J14" s="205" t="s">
        <v>188</v>
      </c>
      <c r="K14" s="205" t="s">
        <v>189</v>
      </c>
      <c r="L14" s="208" t="s">
        <v>22</v>
      </c>
      <c r="M14" s="208" t="s">
        <v>22</v>
      </c>
      <c r="N14" s="209" t="s">
        <v>1651</v>
      </c>
      <c r="O14" s="209"/>
      <c r="P14" s="209" t="s">
        <v>22</v>
      </c>
      <c r="Q14" s="209"/>
      <c r="R14" s="209"/>
      <c r="S14" s="231"/>
      <c r="T14" s="211" t="s">
        <v>1652</v>
      </c>
      <c r="U14" s="205" t="s">
        <v>1012</v>
      </c>
      <c r="V14" s="147" t="s">
        <v>990</v>
      </c>
      <c r="W14" s="147" t="s">
        <v>1007</v>
      </c>
      <c r="X14" s="147" t="s">
        <v>1013</v>
      </c>
      <c r="Y14" s="147"/>
      <c r="Z14" s="212" t="s">
        <v>1658</v>
      </c>
      <c r="AA14" s="213" t="s">
        <v>998</v>
      </c>
      <c r="AB14" s="213" t="s">
        <v>999</v>
      </c>
      <c r="AC14" s="147" t="s">
        <v>1654</v>
      </c>
      <c r="AD14" s="147" t="s">
        <v>1654</v>
      </c>
      <c r="AE14" s="214" t="s">
        <v>1654</v>
      </c>
      <c r="AF14" s="214" t="s">
        <v>1654</v>
      </c>
      <c r="AG14" s="215"/>
      <c r="AH14" s="215" t="s">
        <v>1655</v>
      </c>
      <c r="AI14" s="190"/>
    </row>
    <row r="15" ht="408.75" customHeight="1">
      <c r="A15" s="190"/>
      <c r="B15" s="216" t="s">
        <v>158</v>
      </c>
      <c r="C15" s="216">
        <v>5.3</v>
      </c>
      <c r="D15" s="216" t="s">
        <v>192</v>
      </c>
      <c r="E15" s="216" t="s">
        <v>193</v>
      </c>
      <c r="F15" s="206" t="s">
        <v>1675</v>
      </c>
      <c r="G15" s="206" t="s">
        <v>1682</v>
      </c>
      <c r="H15" s="206" t="s">
        <v>192</v>
      </c>
      <c r="I15" s="207" t="s">
        <v>1683</v>
      </c>
      <c r="J15" s="216" t="s">
        <v>194</v>
      </c>
      <c r="K15" s="216" t="s">
        <v>195</v>
      </c>
      <c r="L15" s="208" t="s">
        <v>1684</v>
      </c>
      <c r="M15" s="208" t="s">
        <v>974</v>
      </c>
      <c r="N15" s="219"/>
      <c r="O15" s="219"/>
      <c r="P15" s="219" t="s">
        <v>22</v>
      </c>
      <c r="Q15" s="219"/>
      <c r="R15" s="219"/>
      <c r="S15" s="232"/>
      <c r="T15" s="205" t="s">
        <v>1685</v>
      </c>
      <c r="U15" s="233" t="s">
        <v>1686</v>
      </c>
      <c r="V15" s="220" t="s">
        <v>1015</v>
      </c>
      <c r="W15" s="220" t="s">
        <v>1016</v>
      </c>
      <c r="X15" s="220" t="s">
        <v>1687</v>
      </c>
      <c r="Y15" s="220"/>
      <c r="Z15" s="212" t="s">
        <v>1658</v>
      </c>
      <c r="AA15" s="213" t="s">
        <v>998</v>
      </c>
      <c r="AB15" s="213" t="s">
        <v>999</v>
      </c>
      <c r="AC15" s="220" t="s">
        <v>1688</v>
      </c>
      <c r="AD15" s="213" t="s">
        <v>1689</v>
      </c>
      <c r="AE15" s="221" t="s">
        <v>1690</v>
      </c>
      <c r="AF15" s="221" t="s">
        <v>1691</v>
      </c>
      <c r="AG15" s="221"/>
      <c r="AH15" s="221" t="s">
        <v>1663</v>
      </c>
      <c r="AI15" s="190"/>
    </row>
    <row r="16" ht="408.75" customHeight="1">
      <c r="A16" s="190"/>
      <c r="B16" s="216" t="s">
        <v>158</v>
      </c>
      <c r="C16" s="216">
        <v>5.3</v>
      </c>
      <c r="D16" s="216" t="s">
        <v>192</v>
      </c>
      <c r="E16" s="216" t="s">
        <v>193</v>
      </c>
      <c r="F16" s="222"/>
      <c r="G16" s="222"/>
      <c r="H16" s="222"/>
      <c r="I16" s="223"/>
      <c r="J16" s="216" t="s">
        <v>199</v>
      </c>
      <c r="K16" s="216" t="s">
        <v>200</v>
      </c>
      <c r="L16" s="208" t="s">
        <v>307</v>
      </c>
      <c r="M16" s="208" t="s">
        <v>307</v>
      </c>
      <c r="N16" s="219"/>
      <c r="O16" s="219"/>
      <c r="P16" s="219" t="s">
        <v>22</v>
      </c>
      <c r="Q16" s="219"/>
      <c r="R16" s="219"/>
      <c r="S16" s="234" t="s">
        <v>1692</v>
      </c>
      <c r="T16" s="235" t="s">
        <v>1693</v>
      </c>
      <c r="U16" s="152" t="s">
        <v>1018</v>
      </c>
      <c r="V16" s="220" t="s">
        <v>990</v>
      </c>
      <c r="W16" s="220" t="s">
        <v>1019</v>
      </c>
      <c r="X16" s="220" t="s">
        <v>1020</v>
      </c>
      <c r="Y16" s="220"/>
      <c r="Z16" s="212" t="s">
        <v>1653</v>
      </c>
      <c r="AA16" s="213" t="s">
        <v>1021</v>
      </c>
      <c r="AB16" s="213" t="s">
        <v>1022</v>
      </c>
      <c r="AC16" s="220" t="s">
        <v>1694</v>
      </c>
      <c r="AD16" s="213" t="s">
        <v>1695</v>
      </c>
      <c r="AE16" s="221" t="s">
        <v>1696</v>
      </c>
      <c r="AF16" s="221" t="s">
        <v>1691</v>
      </c>
      <c r="AG16" s="221"/>
      <c r="AH16" s="221" t="s">
        <v>1663</v>
      </c>
      <c r="AI16" s="190"/>
    </row>
    <row r="17" ht="408.75" customHeight="1">
      <c r="A17" s="190"/>
      <c r="B17" s="205" t="s">
        <v>158</v>
      </c>
      <c r="C17" s="205">
        <v>5.4</v>
      </c>
      <c r="D17" s="205" t="s">
        <v>203</v>
      </c>
      <c r="E17" s="152" t="s">
        <v>204</v>
      </c>
      <c r="F17" s="236" t="s">
        <v>1697</v>
      </c>
      <c r="G17" s="236" t="s">
        <v>1698</v>
      </c>
      <c r="H17" s="236" t="s">
        <v>203</v>
      </c>
      <c r="I17" s="237" t="s">
        <v>1699</v>
      </c>
      <c r="J17" s="152" t="s">
        <v>205</v>
      </c>
      <c r="K17" s="152" t="s">
        <v>206</v>
      </c>
      <c r="L17" s="208" t="s">
        <v>22</v>
      </c>
      <c r="M17" s="208" t="s">
        <v>22</v>
      </c>
      <c r="N17" s="209" t="s">
        <v>1651</v>
      </c>
      <c r="O17" s="209"/>
      <c r="P17" s="209" t="s">
        <v>22</v>
      </c>
      <c r="Q17" s="209"/>
      <c r="R17" s="209"/>
      <c r="S17" s="232"/>
      <c r="T17" s="211" t="s">
        <v>1652</v>
      </c>
      <c r="U17" s="147" t="s">
        <v>1023</v>
      </c>
      <c r="V17" s="147" t="s">
        <v>1024</v>
      </c>
      <c r="W17" s="147" t="s">
        <v>1025</v>
      </c>
      <c r="X17" s="147" t="s">
        <v>1026</v>
      </c>
      <c r="Y17" s="147"/>
      <c r="Z17" s="212" t="s">
        <v>1700</v>
      </c>
      <c r="AA17" s="213" t="s">
        <v>1027</v>
      </c>
      <c r="AB17" s="213" t="s">
        <v>1028</v>
      </c>
      <c r="AC17" s="147" t="s">
        <v>1654</v>
      </c>
      <c r="AD17" s="147" t="s">
        <v>1654</v>
      </c>
      <c r="AE17" s="214" t="s">
        <v>1654</v>
      </c>
      <c r="AF17" s="214" t="s">
        <v>1654</v>
      </c>
      <c r="AG17" s="215"/>
      <c r="AH17" s="215" t="s">
        <v>1655</v>
      </c>
      <c r="AI17" s="190"/>
    </row>
    <row r="18" ht="408.75" customHeight="1">
      <c r="A18" s="190"/>
      <c r="B18" s="216" t="s">
        <v>158</v>
      </c>
      <c r="C18" s="216">
        <v>5.5</v>
      </c>
      <c r="D18" s="216" t="s">
        <v>211</v>
      </c>
      <c r="E18" s="216" t="s">
        <v>212</v>
      </c>
      <c r="F18" s="238" t="s">
        <v>1675</v>
      </c>
      <c r="G18" s="236" t="s">
        <v>1701</v>
      </c>
      <c r="H18" s="236" t="s">
        <v>1702</v>
      </c>
      <c r="I18" s="239" t="s">
        <v>1703</v>
      </c>
      <c r="J18" s="216" t="s">
        <v>213</v>
      </c>
      <c r="K18" s="216" t="s">
        <v>214</v>
      </c>
      <c r="L18" s="240" t="s">
        <v>307</v>
      </c>
      <c r="M18" s="240" t="s">
        <v>22</v>
      </c>
      <c r="N18" s="219"/>
      <c r="O18" s="219" t="s">
        <v>1651</v>
      </c>
      <c r="P18" s="219" t="s">
        <v>22</v>
      </c>
      <c r="Q18" s="219"/>
      <c r="R18" s="219"/>
      <c r="S18" s="232"/>
      <c r="T18" s="241"/>
      <c r="U18" s="147" t="s">
        <v>1029</v>
      </c>
      <c r="V18" s="220" t="s">
        <v>1030</v>
      </c>
      <c r="W18" s="220" t="s">
        <v>1031</v>
      </c>
      <c r="X18" s="220" t="s">
        <v>1032</v>
      </c>
      <c r="Y18" s="220"/>
      <c r="Z18" s="212" t="s">
        <v>1658</v>
      </c>
      <c r="AA18" s="213" t="s">
        <v>998</v>
      </c>
      <c r="AB18" s="213" t="s">
        <v>999</v>
      </c>
      <c r="AC18" s="220" t="s">
        <v>1704</v>
      </c>
      <c r="AD18" s="242" t="s">
        <v>1705</v>
      </c>
      <c r="AE18" s="221" t="s">
        <v>1706</v>
      </c>
      <c r="AF18" s="221" t="s">
        <v>1707</v>
      </c>
      <c r="AG18" s="221"/>
      <c r="AH18" s="221" t="s">
        <v>1663</v>
      </c>
      <c r="AI18" s="190"/>
    </row>
    <row r="19" ht="408.75" customHeight="1">
      <c r="A19" s="190"/>
      <c r="B19" s="205" t="s">
        <v>158</v>
      </c>
      <c r="C19" s="205">
        <v>5.6</v>
      </c>
      <c r="D19" s="205" t="s">
        <v>218</v>
      </c>
      <c r="E19" s="205" t="s">
        <v>219</v>
      </c>
      <c r="F19" s="238" t="s">
        <v>1675</v>
      </c>
      <c r="G19" s="236" t="s">
        <v>1708</v>
      </c>
      <c r="H19" s="236" t="s">
        <v>1709</v>
      </c>
      <c r="I19" s="239" t="s">
        <v>1710</v>
      </c>
      <c r="J19" s="205" t="s">
        <v>1711</v>
      </c>
      <c r="K19" s="152" t="s">
        <v>221</v>
      </c>
      <c r="L19" s="208" t="s">
        <v>22</v>
      </c>
      <c r="M19" s="208" t="s">
        <v>22</v>
      </c>
      <c r="N19" s="209" t="s">
        <v>1651</v>
      </c>
      <c r="O19" s="209"/>
      <c r="P19" s="209" t="s">
        <v>22</v>
      </c>
      <c r="Q19" s="209"/>
      <c r="R19" s="209"/>
      <c r="S19" s="243"/>
      <c r="T19" s="211" t="s">
        <v>1652</v>
      </c>
      <c r="U19" s="178" t="s">
        <v>1033</v>
      </c>
      <c r="V19" s="147" t="s">
        <v>1034</v>
      </c>
      <c r="W19" s="147" t="s">
        <v>1035</v>
      </c>
      <c r="X19" s="147" t="s">
        <v>1036</v>
      </c>
      <c r="Y19" s="147"/>
      <c r="Z19" s="212" t="s">
        <v>1653</v>
      </c>
      <c r="AA19" s="213" t="s">
        <v>1021</v>
      </c>
      <c r="AB19" s="213" t="s">
        <v>1022</v>
      </c>
      <c r="AC19" s="147" t="s">
        <v>1654</v>
      </c>
      <c r="AD19" s="147" t="s">
        <v>1654</v>
      </c>
      <c r="AE19" s="214" t="s">
        <v>1654</v>
      </c>
      <c r="AF19" s="214" t="s">
        <v>1654</v>
      </c>
      <c r="AG19" s="215"/>
      <c r="AH19" s="215" t="s">
        <v>1655</v>
      </c>
      <c r="AI19" s="190"/>
    </row>
    <row r="20" ht="408.75" customHeight="1">
      <c r="A20" s="190"/>
      <c r="B20" s="216" t="s">
        <v>158</v>
      </c>
      <c r="C20" s="216">
        <v>5.7</v>
      </c>
      <c r="D20" s="216" t="s">
        <v>223</v>
      </c>
      <c r="E20" s="216" t="s">
        <v>224</v>
      </c>
      <c r="F20" s="244"/>
      <c r="G20" s="244"/>
      <c r="H20" s="245"/>
      <c r="I20" s="245"/>
      <c r="J20" s="216" t="s">
        <v>225</v>
      </c>
      <c r="K20" s="216" t="s">
        <v>226</v>
      </c>
      <c r="L20" s="240" t="s">
        <v>307</v>
      </c>
      <c r="M20" s="240" t="s">
        <v>974</v>
      </c>
      <c r="N20" s="209" t="s">
        <v>1651</v>
      </c>
      <c r="O20" s="209" t="s">
        <v>1651</v>
      </c>
      <c r="P20" s="209" t="s">
        <v>22</v>
      </c>
      <c r="Q20" s="209"/>
      <c r="R20" s="209"/>
      <c r="S20" s="246"/>
      <c r="T20" s="247" t="s">
        <v>1712</v>
      </c>
      <c r="U20" s="235" t="s">
        <v>1713</v>
      </c>
      <c r="V20" s="220" t="s">
        <v>1038</v>
      </c>
      <c r="W20" s="220" t="s">
        <v>1039</v>
      </c>
      <c r="X20" s="220" t="s">
        <v>1040</v>
      </c>
      <c r="Y20" s="220" t="s">
        <v>1714</v>
      </c>
      <c r="Z20" s="212" t="s">
        <v>1715</v>
      </c>
      <c r="AA20" s="213" t="s">
        <v>1021</v>
      </c>
      <c r="AB20" s="213" t="s">
        <v>1022</v>
      </c>
      <c r="AC20" s="220" t="s">
        <v>1716</v>
      </c>
      <c r="AD20" s="213" t="s">
        <v>1717</v>
      </c>
      <c r="AE20" s="221" t="s">
        <v>1718</v>
      </c>
      <c r="AF20" s="221" t="s">
        <v>1707</v>
      </c>
      <c r="AG20" s="221"/>
      <c r="AH20" s="221" t="s">
        <v>1663</v>
      </c>
      <c r="AI20" s="190"/>
    </row>
    <row r="21" ht="408.75" customHeight="1">
      <c r="A21" s="190"/>
      <c r="B21" s="216" t="s">
        <v>158</v>
      </c>
      <c r="C21" s="216" t="s">
        <v>233</v>
      </c>
      <c r="D21" s="216" t="s">
        <v>234</v>
      </c>
      <c r="E21" s="216" t="s">
        <v>235</v>
      </c>
      <c r="F21" s="236" t="s">
        <v>1675</v>
      </c>
      <c r="G21" s="236" t="s">
        <v>1719</v>
      </c>
      <c r="H21" s="236" t="s">
        <v>234</v>
      </c>
      <c r="I21" s="239" t="s">
        <v>1720</v>
      </c>
      <c r="J21" s="216" t="s">
        <v>236</v>
      </c>
      <c r="K21" s="216" t="s">
        <v>237</v>
      </c>
      <c r="L21" s="208" t="s">
        <v>307</v>
      </c>
      <c r="M21" s="208" t="s">
        <v>307</v>
      </c>
      <c r="N21" s="209" t="s">
        <v>1651</v>
      </c>
      <c r="O21" s="209"/>
      <c r="P21" s="248" t="s">
        <v>22</v>
      </c>
      <c r="Q21" s="209"/>
      <c r="R21" s="209"/>
      <c r="S21" s="232"/>
      <c r="T21" s="235" t="s">
        <v>1721</v>
      </c>
      <c r="U21" s="147" t="s">
        <v>1041</v>
      </c>
      <c r="V21" s="220" t="s">
        <v>1042</v>
      </c>
      <c r="W21" s="220" t="s">
        <v>1043</v>
      </c>
      <c r="X21" s="220" t="s">
        <v>1722</v>
      </c>
      <c r="Y21" s="220"/>
      <c r="Z21" s="212" t="s">
        <v>1715</v>
      </c>
      <c r="AA21" s="213" t="s">
        <v>1021</v>
      </c>
      <c r="AB21" s="213" t="s">
        <v>1022</v>
      </c>
      <c r="AC21" s="220" t="s">
        <v>1723</v>
      </c>
      <c r="AD21" s="213" t="s">
        <v>1724</v>
      </c>
      <c r="AE21" s="221" t="s">
        <v>1725</v>
      </c>
      <c r="AF21" s="221" t="s">
        <v>1726</v>
      </c>
      <c r="AG21" s="221"/>
      <c r="AH21" s="221" t="s">
        <v>1727</v>
      </c>
      <c r="AI21" s="194" t="s">
        <v>1728</v>
      </c>
    </row>
    <row r="22" ht="408.75" customHeight="1">
      <c r="A22" s="190"/>
      <c r="B22" s="216" t="s">
        <v>158</v>
      </c>
      <c r="C22" s="216" t="s">
        <v>233</v>
      </c>
      <c r="D22" s="216" t="s">
        <v>234</v>
      </c>
      <c r="E22" s="216" t="s">
        <v>235</v>
      </c>
      <c r="F22" s="236" t="s">
        <v>1729</v>
      </c>
      <c r="G22" s="236" t="s">
        <v>1730</v>
      </c>
      <c r="H22" s="236" t="s">
        <v>1731</v>
      </c>
      <c r="I22" s="239" t="s">
        <v>1732</v>
      </c>
      <c r="J22" s="216" t="s">
        <v>229</v>
      </c>
      <c r="K22" s="216" t="s">
        <v>230</v>
      </c>
      <c r="L22" s="208" t="s">
        <v>307</v>
      </c>
      <c r="M22" s="208" t="s">
        <v>307</v>
      </c>
      <c r="N22" s="219"/>
      <c r="O22" s="219"/>
      <c r="P22" s="248" t="s">
        <v>307</v>
      </c>
      <c r="Q22" s="219"/>
      <c r="R22" s="219"/>
      <c r="S22" s="249" t="s">
        <v>1045</v>
      </c>
      <c r="T22" s="235" t="s">
        <v>1733</v>
      </c>
      <c r="U22" s="147" t="s">
        <v>1734</v>
      </c>
      <c r="V22" s="220" t="s">
        <v>1046</v>
      </c>
      <c r="W22" s="220" t="s">
        <v>1047</v>
      </c>
      <c r="X22" s="220"/>
      <c r="Y22" s="220" t="s">
        <v>1680</v>
      </c>
      <c r="Z22" s="212" t="s">
        <v>1715</v>
      </c>
      <c r="AA22" s="213" t="s">
        <v>1021</v>
      </c>
      <c r="AB22" s="213" t="s">
        <v>1022</v>
      </c>
      <c r="AC22" s="220" t="s">
        <v>1735</v>
      </c>
      <c r="AD22" s="213" t="s">
        <v>1736</v>
      </c>
      <c r="AE22" s="221" t="s">
        <v>1737</v>
      </c>
      <c r="AF22" s="221" t="s">
        <v>1726</v>
      </c>
      <c r="AG22" s="221" t="s">
        <v>1737</v>
      </c>
      <c r="AH22" s="221" t="s">
        <v>1738</v>
      </c>
      <c r="AI22" s="190" t="s">
        <v>1739</v>
      </c>
    </row>
    <row r="23" ht="408.75" customHeight="1">
      <c r="A23" s="190"/>
      <c r="B23" s="216" t="s">
        <v>158</v>
      </c>
      <c r="C23" s="216" t="s">
        <v>241</v>
      </c>
      <c r="D23" s="216" t="s">
        <v>242</v>
      </c>
      <c r="E23" s="216" t="s">
        <v>243</v>
      </c>
      <c r="F23" s="206" t="s">
        <v>1740</v>
      </c>
      <c r="G23" s="206" t="s">
        <v>1741</v>
      </c>
      <c r="H23" s="206" t="s">
        <v>1742</v>
      </c>
      <c r="I23" s="239" t="s">
        <v>1743</v>
      </c>
      <c r="J23" s="216" t="s">
        <v>244</v>
      </c>
      <c r="K23" s="250" t="s">
        <v>245</v>
      </c>
      <c r="L23" s="208" t="s">
        <v>307</v>
      </c>
      <c r="M23" s="208" t="s">
        <v>22</v>
      </c>
      <c r="N23" s="209" t="s">
        <v>1651</v>
      </c>
      <c r="O23" s="209" t="s">
        <v>1651</v>
      </c>
      <c r="P23" s="209" t="s">
        <v>22</v>
      </c>
      <c r="Q23" s="209"/>
      <c r="R23" s="209"/>
      <c r="S23" s="232"/>
      <c r="T23" s="241"/>
      <c r="U23" s="147" t="s">
        <v>1048</v>
      </c>
      <c r="V23" s="220" t="s">
        <v>1049</v>
      </c>
      <c r="W23" s="220" t="s">
        <v>1050</v>
      </c>
      <c r="X23" s="220" t="s">
        <v>1051</v>
      </c>
      <c r="Y23" s="220"/>
      <c r="Z23" s="212" t="s">
        <v>1653</v>
      </c>
      <c r="AA23" s="213" t="s">
        <v>1021</v>
      </c>
      <c r="AB23" s="213" t="s">
        <v>1022</v>
      </c>
      <c r="AC23" s="220" t="s">
        <v>1744</v>
      </c>
      <c r="AD23" s="213" t="s">
        <v>1745</v>
      </c>
      <c r="AE23" s="221" t="s">
        <v>1746</v>
      </c>
      <c r="AF23" s="221" t="s">
        <v>1747</v>
      </c>
      <c r="AG23" s="220"/>
      <c r="AH23" s="221" t="s">
        <v>1663</v>
      </c>
      <c r="AI23" s="190"/>
    </row>
    <row r="24" ht="408.75" customHeight="1">
      <c r="A24" s="190"/>
      <c r="B24" s="216" t="s">
        <v>158</v>
      </c>
      <c r="C24" s="216" t="s">
        <v>241</v>
      </c>
      <c r="D24" s="216" t="s">
        <v>242</v>
      </c>
      <c r="E24" s="216" t="s">
        <v>243</v>
      </c>
      <c r="F24" s="217"/>
      <c r="G24" s="222"/>
      <c r="H24" s="222"/>
      <c r="I24" s="239" t="s">
        <v>1743</v>
      </c>
      <c r="J24" s="216" t="s">
        <v>248</v>
      </c>
      <c r="K24" s="250" t="s">
        <v>249</v>
      </c>
      <c r="L24" s="208" t="s">
        <v>307</v>
      </c>
      <c r="M24" s="208" t="s">
        <v>22</v>
      </c>
      <c r="N24" s="209" t="s">
        <v>1651</v>
      </c>
      <c r="O24" s="209" t="s">
        <v>1651</v>
      </c>
      <c r="P24" s="209" t="s">
        <v>22</v>
      </c>
      <c r="Q24" s="209"/>
      <c r="R24" s="209"/>
      <c r="S24" s="232"/>
      <c r="T24" s="251"/>
      <c r="U24" s="147" t="s">
        <v>1052</v>
      </c>
      <c r="V24" s="220" t="s">
        <v>1053</v>
      </c>
      <c r="W24" s="220" t="s">
        <v>1054</v>
      </c>
      <c r="X24" s="220" t="s">
        <v>1055</v>
      </c>
      <c r="Y24" s="220"/>
      <c r="Z24" s="212" t="s">
        <v>1653</v>
      </c>
      <c r="AA24" s="213" t="s">
        <v>1021</v>
      </c>
      <c r="AB24" s="213" t="s">
        <v>1022</v>
      </c>
      <c r="AC24" s="220" t="s">
        <v>1748</v>
      </c>
      <c r="AD24" s="213" t="s">
        <v>1745</v>
      </c>
      <c r="AE24" s="221" t="s">
        <v>1746</v>
      </c>
      <c r="AF24" s="221" t="s">
        <v>1749</v>
      </c>
      <c r="AG24" s="221"/>
      <c r="AH24" s="221" t="s">
        <v>1663</v>
      </c>
      <c r="AI24" s="190"/>
    </row>
    <row r="25" ht="408.75" customHeight="1">
      <c r="A25" s="190"/>
      <c r="B25" s="216" t="s">
        <v>158</v>
      </c>
      <c r="C25" s="216" t="s">
        <v>241</v>
      </c>
      <c r="D25" s="216" t="s">
        <v>242</v>
      </c>
      <c r="E25" s="216" t="s">
        <v>243</v>
      </c>
      <c r="F25" s="222"/>
      <c r="G25" s="239" t="s">
        <v>1750</v>
      </c>
      <c r="H25" s="236" t="s">
        <v>1751</v>
      </c>
      <c r="I25" s="239" t="s">
        <v>1752</v>
      </c>
      <c r="J25" s="216" t="s">
        <v>251</v>
      </c>
      <c r="K25" s="250" t="s">
        <v>252</v>
      </c>
      <c r="L25" s="208" t="s">
        <v>307</v>
      </c>
      <c r="M25" s="208" t="s">
        <v>307</v>
      </c>
      <c r="N25" s="209" t="s">
        <v>1651</v>
      </c>
      <c r="O25" s="209" t="s">
        <v>1651</v>
      </c>
      <c r="P25" s="209" t="s">
        <v>22</v>
      </c>
      <c r="Q25" s="209"/>
      <c r="R25" s="209"/>
      <c r="S25" s="232"/>
      <c r="T25" s="247" t="s">
        <v>1753</v>
      </c>
      <c r="U25" s="147" t="s">
        <v>1754</v>
      </c>
      <c r="V25" s="220" t="s">
        <v>1057</v>
      </c>
      <c r="W25" s="220" t="s">
        <v>1058</v>
      </c>
      <c r="X25" s="220" t="s">
        <v>1055</v>
      </c>
      <c r="Y25" s="220"/>
      <c r="Z25" s="212" t="s">
        <v>1653</v>
      </c>
      <c r="AA25" s="213" t="s">
        <v>1021</v>
      </c>
      <c r="AB25" s="213" t="s">
        <v>1022</v>
      </c>
      <c r="AC25" s="220" t="s">
        <v>1755</v>
      </c>
      <c r="AD25" s="220" t="s">
        <v>1756</v>
      </c>
      <c r="AE25" s="221" t="s">
        <v>1757</v>
      </c>
      <c r="AF25" s="221" t="s">
        <v>1758</v>
      </c>
      <c r="AG25" s="221"/>
      <c r="AH25" s="221" t="s">
        <v>1663</v>
      </c>
      <c r="AI25" s="190"/>
    </row>
    <row r="26" ht="408.75" customHeight="1">
      <c r="A26" s="190"/>
      <c r="B26" s="216" t="s">
        <v>158</v>
      </c>
      <c r="C26" s="216" t="s">
        <v>254</v>
      </c>
      <c r="D26" s="216" t="s">
        <v>255</v>
      </c>
      <c r="E26" s="216" t="s">
        <v>256</v>
      </c>
      <c r="F26" s="238" t="s">
        <v>1740</v>
      </c>
      <c r="G26" s="236" t="s">
        <v>1759</v>
      </c>
      <c r="H26" s="236" t="s">
        <v>1760</v>
      </c>
      <c r="I26" s="239" t="s">
        <v>1761</v>
      </c>
      <c r="J26" s="216" t="s">
        <v>257</v>
      </c>
      <c r="K26" s="250" t="s">
        <v>258</v>
      </c>
      <c r="L26" s="208" t="s">
        <v>307</v>
      </c>
      <c r="M26" s="208" t="s">
        <v>22</v>
      </c>
      <c r="N26" s="209" t="s">
        <v>1651</v>
      </c>
      <c r="O26" s="209" t="s">
        <v>1651</v>
      </c>
      <c r="P26" s="209" t="s">
        <v>22</v>
      </c>
      <c r="Q26" s="209"/>
      <c r="R26" s="209"/>
      <c r="S26" s="232"/>
      <c r="T26" s="241"/>
      <c r="U26" s="147" t="s">
        <v>1059</v>
      </c>
      <c r="V26" s="220" t="s">
        <v>1057</v>
      </c>
      <c r="W26" s="220" t="s">
        <v>1058</v>
      </c>
      <c r="X26" s="220" t="s">
        <v>1055</v>
      </c>
      <c r="Y26" s="220"/>
      <c r="Z26" s="212" t="s">
        <v>1653</v>
      </c>
      <c r="AA26" s="213" t="s">
        <v>1021</v>
      </c>
      <c r="AB26" s="213" t="s">
        <v>1022</v>
      </c>
      <c r="AC26" s="220"/>
      <c r="AD26" s="213" t="s">
        <v>1745</v>
      </c>
      <c r="AE26" s="221" t="s">
        <v>1746</v>
      </c>
      <c r="AF26" s="221" t="s">
        <v>1747</v>
      </c>
      <c r="AG26" s="221"/>
      <c r="AH26" s="221" t="s">
        <v>1663</v>
      </c>
      <c r="AI26" s="190"/>
    </row>
    <row r="27" ht="408.75" customHeight="1">
      <c r="A27" s="190"/>
      <c r="B27" s="216" t="s">
        <v>158</v>
      </c>
      <c r="C27" s="216" t="s">
        <v>254</v>
      </c>
      <c r="D27" s="216" t="s">
        <v>255</v>
      </c>
      <c r="E27" s="216" t="s">
        <v>256</v>
      </c>
      <c r="F27" s="236" t="s">
        <v>1762</v>
      </c>
      <c r="G27" s="236" t="s">
        <v>1763</v>
      </c>
      <c r="H27" s="236" t="s">
        <v>1764</v>
      </c>
      <c r="I27" s="239" t="s">
        <v>1765</v>
      </c>
      <c r="J27" s="216" t="s">
        <v>260</v>
      </c>
      <c r="K27" s="216" t="s">
        <v>261</v>
      </c>
      <c r="L27" s="208" t="s">
        <v>307</v>
      </c>
      <c r="M27" s="252" t="s">
        <v>22</v>
      </c>
      <c r="N27" s="209" t="s">
        <v>1651</v>
      </c>
      <c r="O27" s="209"/>
      <c r="P27" s="209" t="s">
        <v>22</v>
      </c>
      <c r="Q27" s="209"/>
      <c r="R27" s="209"/>
      <c r="S27" s="232"/>
      <c r="T27" s="235" t="s">
        <v>1766</v>
      </c>
      <c r="U27" s="147" t="s">
        <v>1767</v>
      </c>
      <c r="V27" s="220" t="s">
        <v>1061</v>
      </c>
      <c r="W27" s="220" t="s">
        <v>1062</v>
      </c>
      <c r="X27" s="220" t="s">
        <v>1063</v>
      </c>
      <c r="Y27" s="220"/>
      <c r="Z27" s="212" t="s">
        <v>1653</v>
      </c>
      <c r="AA27" s="213" t="s">
        <v>1021</v>
      </c>
      <c r="AB27" s="213" t="s">
        <v>1022</v>
      </c>
      <c r="AC27" s="220"/>
      <c r="AD27" s="213" t="s">
        <v>1745</v>
      </c>
      <c r="AE27" s="221"/>
      <c r="AF27" s="221" t="s">
        <v>1747</v>
      </c>
      <c r="AG27" s="221"/>
      <c r="AH27" s="221" t="s">
        <v>1655</v>
      </c>
      <c r="AI27" s="190"/>
    </row>
    <row r="28" ht="408.75" customHeight="1">
      <c r="A28" s="190"/>
      <c r="B28" s="216" t="s">
        <v>158</v>
      </c>
      <c r="C28" s="216" t="s">
        <v>263</v>
      </c>
      <c r="D28" s="216" t="s">
        <v>264</v>
      </c>
      <c r="E28" s="216" t="s">
        <v>265</v>
      </c>
      <c r="F28" s="236" t="s">
        <v>1740</v>
      </c>
      <c r="G28" s="236" t="s">
        <v>1768</v>
      </c>
      <c r="H28" s="236" t="s">
        <v>264</v>
      </c>
      <c r="I28" s="239" t="s">
        <v>1769</v>
      </c>
      <c r="J28" s="216" t="s">
        <v>266</v>
      </c>
      <c r="K28" s="216" t="s">
        <v>267</v>
      </c>
      <c r="L28" s="208" t="s">
        <v>307</v>
      </c>
      <c r="M28" s="208" t="s">
        <v>22</v>
      </c>
      <c r="N28" s="209" t="s">
        <v>1651</v>
      </c>
      <c r="O28" s="209" t="s">
        <v>1651</v>
      </c>
      <c r="P28" s="209" t="s">
        <v>22</v>
      </c>
      <c r="Q28" s="209"/>
      <c r="R28" s="209"/>
      <c r="S28" s="232"/>
      <c r="T28" s="241"/>
      <c r="U28" s="147" t="s">
        <v>1064</v>
      </c>
      <c r="V28" s="220" t="s">
        <v>1065</v>
      </c>
      <c r="W28" s="220" t="s">
        <v>1066</v>
      </c>
      <c r="X28" s="220" t="s">
        <v>1067</v>
      </c>
      <c r="Y28" s="220"/>
      <c r="Z28" s="216"/>
      <c r="AA28" s="220"/>
      <c r="AB28" s="220" t="s">
        <v>1770</v>
      </c>
      <c r="AC28" s="220" t="s">
        <v>1771</v>
      </c>
      <c r="AD28" s="220"/>
      <c r="AE28" s="221" t="s">
        <v>1772</v>
      </c>
      <c r="AF28" s="221" t="s">
        <v>1770</v>
      </c>
      <c r="AG28" s="221"/>
      <c r="AH28" s="253" t="s">
        <v>1738</v>
      </c>
      <c r="AI28" s="190" t="s">
        <v>973</v>
      </c>
    </row>
    <row r="29" ht="408.75" customHeight="1">
      <c r="A29" s="190"/>
      <c r="B29" s="205" t="s">
        <v>158</v>
      </c>
      <c r="C29" s="205" t="s">
        <v>270</v>
      </c>
      <c r="D29" s="205" t="s">
        <v>271</v>
      </c>
      <c r="E29" s="205" t="s">
        <v>272</v>
      </c>
      <c r="F29" s="236" t="s">
        <v>1773</v>
      </c>
      <c r="G29" s="236" t="s">
        <v>1774</v>
      </c>
      <c r="H29" s="238" t="s">
        <v>271</v>
      </c>
      <c r="I29" s="239" t="s">
        <v>1775</v>
      </c>
      <c r="J29" s="205" t="s">
        <v>273</v>
      </c>
      <c r="K29" s="205" t="s">
        <v>274</v>
      </c>
      <c r="L29" s="208" t="s">
        <v>22</v>
      </c>
      <c r="M29" s="208" t="s">
        <v>22</v>
      </c>
      <c r="N29" s="219" t="s">
        <v>1651</v>
      </c>
      <c r="O29" s="219"/>
      <c r="P29" s="219" t="s">
        <v>22</v>
      </c>
      <c r="Q29" s="219"/>
      <c r="R29" s="219"/>
      <c r="S29" s="231"/>
      <c r="T29" s="211" t="s">
        <v>1652</v>
      </c>
      <c r="U29" s="205" t="s">
        <v>1070</v>
      </c>
      <c r="V29" s="147" t="s">
        <v>1071</v>
      </c>
      <c r="W29" s="147" t="s">
        <v>1072</v>
      </c>
      <c r="X29" s="147" t="s">
        <v>1073</v>
      </c>
      <c r="Y29" s="147"/>
      <c r="Z29" s="212" t="s">
        <v>1653</v>
      </c>
      <c r="AA29" s="213" t="s">
        <v>1021</v>
      </c>
      <c r="AB29" s="213" t="s">
        <v>1022</v>
      </c>
      <c r="AC29" s="147" t="s">
        <v>1654</v>
      </c>
      <c r="AD29" s="147" t="s">
        <v>1654</v>
      </c>
      <c r="AE29" s="214" t="s">
        <v>1654</v>
      </c>
      <c r="AF29" s="214" t="s">
        <v>1654</v>
      </c>
      <c r="AG29" s="215"/>
      <c r="AH29" s="215" t="s">
        <v>1655</v>
      </c>
      <c r="AI29" s="190"/>
    </row>
    <row r="30" ht="408.75" customHeight="1">
      <c r="A30" s="190"/>
      <c r="B30" s="216" t="s">
        <v>158</v>
      </c>
      <c r="C30" s="216" t="s">
        <v>277</v>
      </c>
      <c r="D30" s="216" t="s">
        <v>278</v>
      </c>
      <c r="E30" s="216" t="s">
        <v>279</v>
      </c>
      <c r="F30" s="236" t="s">
        <v>1773</v>
      </c>
      <c r="G30" s="236" t="s">
        <v>1776</v>
      </c>
      <c r="H30" s="236" t="s">
        <v>278</v>
      </c>
      <c r="I30" s="237" t="s">
        <v>1777</v>
      </c>
      <c r="J30" s="216" t="s">
        <v>280</v>
      </c>
      <c r="K30" s="216" t="s">
        <v>281</v>
      </c>
      <c r="L30" s="208" t="s">
        <v>307</v>
      </c>
      <c r="M30" s="208" t="s">
        <v>22</v>
      </c>
      <c r="N30" s="209" t="s">
        <v>1651</v>
      </c>
      <c r="O30" s="209" t="s">
        <v>1651</v>
      </c>
      <c r="P30" s="209" t="s">
        <v>22</v>
      </c>
      <c r="Q30" s="209"/>
      <c r="R30" s="209"/>
      <c r="S30" s="232"/>
      <c r="T30" s="241"/>
      <c r="U30" s="147" t="s">
        <v>1074</v>
      </c>
      <c r="V30" s="220" t="s">
        <v>1071</v>
      </c>
      <c r="W30" s="220" t="s">
        <v>1072</v>
      </c>
      <c r="X30" s="220" t="s">
        <v>1055</v>
      </c>
      <c r="Y30" s="254"/>
      <c r="Z30" s="212" t="s">
        <v>1653</v>
      </c>
      <c r="AA30" s="213" t="s">
        <v>1021</v>
      </c>
      <c r="AB30" s="213" t="s">
        <v>1022</v>
      </c>
      <c r="AC30" s="220"/>
      <c r="AD30" s="213" t="s">
        <v>1745</v>
      </c>
      <c r="AE30" s="221" t="s">
        <v>1778</v>
      </c>
      <c r="AF30" s="221" t="s">
        <v>1779</v>
      </c>
      <c r="AG30" s="221"/>
      <c r="AH30" s="221" t="s">
        <v>1663</v>
      </c>
      <c r="AI30" s="190"/>
    </row>
    <row r="31" ht="408.75" customHeight="1">
      <c r="A31" s="190"/>
      <c r="B31" s="205" t="s">
        <v>158</v>
      </c>
      <c r="C31" s="205" t="s">
        <v>284</v>
      </c>
      <c r="D31" s="205" t="s">
        <v>285</v>
      </c>
      <c r="E31" s="205" t="s">
        <v>286</v>
      </c>
      <c r="F31" s="206" t="s">
        <v>1780</v>
      </c>
      <c r="G31" s="236" t="s">
        <v>1781</v>
      </c>
      <c r="H31" s="236" t="s">
        <v>1782</v>
      </c>
      <c r="I31" s="239" t="s">
        <v>1783</v>
      </c>
      <c r="J31" s="205" t="s">
        <v>287</v>
      </c>
      <c r="K31" s="205" t="s">
        <v>288</v>
      </c>
      <c r="L31" s="208" t="s">
        <v>22</v>
      </c>
      <c r="M31" s="208" t="s">
        <v>22</v>
      </c>
      <c r="N31" s="209" t="s">
        <v>1651</v>
      </c>
      <c r="O31" s="209"/>
      <c r="P31" s="209" t="s">
        <v>22</v>
      </c>
      <c r="Q31" s="209"/>
      <c r="R31" s="209"/>
      <c r="S31" s="231"/>
      <c r="T31" s="211" t="s">
        <v>1652</v>
      </c>
      <c r="U31" s="205" t="s">
        <v>1075</v>
      </c>
      <c r="V31" s="147" t="s">
        <v>1046</v>
      </c>
      <c r="W31" s="147" t="s">
        <v>1076</v>
      </c>
      <c r="X31" s="147" t="s">
        <v>1077</v>
      </c>
      <c r="Y31" s="147"/>
      <c r="Z31" s="212" t="s">
        <v>1653</v>
      </c>
      <c r="AA31" s="213" t="s">
        <v>1021</v>
      </c>
      <c r="AB31" s="213" t="s">
        <v>1022</v>
      </c>
      <c r="AC31" s="147" t="s">
        <v>1654</v>
      </c>
      <c r="AD31" s="147" t="s">
        <v>1654</v>
      </c>
      <c r="AE31" s="214" t="s">
        <v>1654</v>
      </c>
      <c r="AF31" s="214" t="s">
        <v>1654</v>
      </c>
      <c r="AG31" s="215"/>
      <c r="AH31" s="215" t="s">
        <v>1655</v>
      </c>
      <c r="AI31" s="190"/>
    </row>
    <row r="32" ht="408.75" customHeight="1">
      <c r="A32" s="190"/>
      <c r="B32" s="205" t="s">
        <v>158</v>
      </c>
      <c r="C32" s="205" t="s">
        <v>284</v>
      </c>
      <c r="D32" s="205" t="s">
        <v>285</v>
      </c>
      <c r="E32" s="205" t="s">
        <v>286</v>
      </c>
      <c r="F32" s="217"/>
      <c r="G32" s="236" t="s">
        <v>1784</v>
      </c>
      <c r="H32" s="236" t="s">
        <v>1785</v>
      </c>
      <c r="I32" s="239" t="s">
        <v>1786</v>
      </c>
      <c r="J32" s="205" t="s">
        <v>291</v>
      </c>
      <c r="K32" s="205" t="s">
        <v>292</v>
      </c>
      <c r="L32" s="208" t="s">
        <v>22</v>
      </c>
      <c r="M32" s="208" t="s">
        <v>22</v>
      </c>
      <c r="N32" s="219" t="s">
        <v>1651</v>
      </c>
      <c r="O32" s="219"/>
      <c r="P32" s="219" t="s">
        <v>22</v>
      </c>
      <c r="Q32" s="219"/>
      <c r="R32" s="219"/>
      <c r="S32" s="231"/>
      <c r="T32" s="211" t="s">
        <v>1669</v>
      </c>
      <c r="U32" s="205" t="s">
        <v>1078</v>
      </c>
      <c r="V32" s="147" t="s">
        <v>1079</v>
      </c>
      <c r="W32" s="147" t="s">
        <v>1080</v>
      </c>
      <c r="X32" s="152" t="s">
        <v>1081</v>
      </c>
      <c r="Y32" s="152"/>
      <c r="Z32" s="212" t="s">
        <v>1653</v>
      </c>
      <c r="AA32" s="213" t="s">
        <v>1021</v>
      </c>
      <c r="AB32" s="213" t="s">
        <v>1022</v>
      </c>
      <c r="AC32" s="147" t="s">
        <v>1654</v>
      </c>
      <c r="AD32" s="147" t="s">
        <v>1654</v>
      </c>
      <c r="AE32" s="214" t="s">
        <v>1654</v>
      </c>
      <c r="AF32" s="214" t="s">
        <v>1654</v>
      </c>
      <c r="AG32" s="215"/>
      <c r="AH32" s="215" t="s">
        <v>1655</v>
      </c>
      <c r="AI32" s="190"/>
    </row>
    <row r="33" ht="408.75" customHeight="1">
      <c r="A33" s="190"/>
      <c r="B33" s="216" t="s">
        <v>158</v>
      </c>
      <c r="C33" s="216" t="s">
        <v>284</v>
      </c>
      <c r="D33" s="216" t="s">
        <v>285</v>
      </c>
      <c r="E33" s="216" t="s">
        <v>286</v>
      </c>
      <c r="F33" s="222"/>
      <c r="G33" s="236" t="s">
        <v>1787</v>
      </c>
      <c r="H33" s="236" t="s">
        <v>1788</v>
      </c>
      <c r="I33" s="237" t="s">
        <v>1789</v>
      </c>
      <c r="J33" s="216" t="s">
        <v>293</v>
      </c>
      <c r="K33" s="216" t="s">
        <v>294</v>
      </c>
      <c r="L33" s="208" t="s">
        <v>307</v>
      </c>
      <c r="M33" s="208" t="s">
        <v>973</v>
      </c>
      <c r="N33" s="219"/>
      <c r="O33" s="219"/>
      <c r="P33" s="219" t="s">
        <v>22</v>
      </c>
      <c r="Q33" s="219"/>
      <c r="R33" s="219"/>
      <c r="S33" s="232"/>
      <c r="T33" s="235" t="s">
        <v>1790</v>
      </c>
      <c r="U33" s="147" t="s">
        <v>1082</v>
      </c>
      <c r="V33" s="220" t="s">
        <v>1083</v>
      </c>
      <c r="W33" s="220" t="s">
        <v>1084</v>
      </c>
      <c r="X33" s="220" t="s">
        <v>1085</v>
      </c>
      <c r="Y33" s="220"/>
      <c r="Z33" s="212" t="s">
        <v>1653</v>
      </c>
      <c r="AA33" s="213" t="s">
        <v>1021</v>
      </c>
      <c r="AB33" s="213" t="s">
        <v>1022</v>
      </c>
      <c r="AC33" s="220" t="s">
        <v>1791</v>
      </c>
      <c r="AD33" s="213" t="s">
        <v>1792</v>
      </c>
      <c r="AE33" s="221" t="s">
        <v>1793</v>
      </c>
      <c r="AF33" s="221" t="s">
        <v>1747</v>
      </c>
      <c r="AG33" s="221"/>
      <c r="AH33" s="221" t="s">
        <v>1663</v>
      </c>
      <c r="AI33" s="190"/>
    </row>
    <row r="34" ht="408.75" customHeight="1">
      <c r="A34" s="190"/>
      <c r="B34" s="205" t="s">
        <v>158</v>
      </c>
      <c r="C34" s="205" t="s">
        <v>295</v>
      </c>
      <c r="D34" s="205" t="s">
        <v>296</v>
      </c>
      <c r="E34" s="205" t="s">
        <v>297</v>
      </c>
      <c r="F34" s="206" t="s">
        <v>1794</v>
      </c>
      <c r="G34" s="206" t="s">
        <v>1795</v>
      </c>
      <c r="H34" s="206" t="s">
        <v>1796</v>
      </c>
      <c r="I34" s="207" t="s">
        <v>1797</v>
      </c>
      <c r="J34" s="205" t="s">
        <v>298</v>
      </c>
      <c r="K34" s="205" t="s">
        <v>299</v>
      </c>
      <c r="L34" s="208" t="s">
        <v>22</v>
      </c>
      <c r="M34" s="208" t="s">
        <v>22</v>
      </c>
      <c r="N34" s="209" t="s">
        <v>1651</v>
      </c>
      <c r="O34" s="209"/>
      <c r="P34" s="209" t="s">
        <v>22</v>
      </c>
      <c r="Q34" s="209"/>
      <c r="R34" s="209"/>
      <c r="S34" s="231"/>
      <c r="T34" s="211" t="s">
        <v>1652</v>
      </c>
      <c r="U34" s="205" t="s">
        <v>1086</v>
      </c>
      <c r="V34" s="147" t="s">
        <v>1087</v>
      </c>
      <c r="W34" s="147" t="s">
        <v>1088</v>
      </c>
      <c r="X34" s="147" t="s">
        <v>1089</v>
      </c>
      <c r="Y34" s="147"/>
      <c r="Z34" s="212" t="s">
        <v>1653</v>
      </c>
      <c r="AA34" s="213" t="s">
        <v>1021</v>
      </c>
      <c r="AB34" s="213" t="s">
        <v>1022</v>
      </c>
      <c r="AC34" s="147" t="s">
        <v>1654</v>
      </c>
      <c r="AD34" s="147" t="s">
        <v>1654</v>
      </c>
      <c r="AE34" s="214" t="s">
        <v>1654</v>
      </c>
      <c r="AF34" s="214" t="s">
        <v>1654</v>
      </c>
      <c r="AG34" s="215"/>
      <c r="AH34" s="215" t="s">
        <v>1655</v>
      </c>
      <c r="AI34" s="190"/>
    </row>
    <row r="35" ht="408.75" customHeight="1">
      <c r="A35" s="190"/>
      <c r="B35" s="216" t="s">
        <v>158</v>
      </c>
      <c r="C35" s="216" t="s">
        <v>295</v>
      </c>
      <c r="D35" s="216" t="s">
        <v>296</v>
      </c>
      <c r="E35" s="216" t="s">
        <v>297</v>
      </c>
      <c r="F35" s="217"/>
      <c r="G35" s="217"/>
      <c r="H35" s="217"/>
      <c r="I35" s="218"/>
      <c r="J35" s="216" t="s">
        <v>301</v>
      </c>
      <c r="K35" s="216" t="s">
        <v>302</v>
      </c>
      <c r="L35" s="208" t="s">
        <v>307</v>
      </c>
      <c r="M35" s="208" t="s">
        <v>22</v>
      </c>
      <c r="N35" s="219"/>
      <c r="O35" s="219" t="s">
        <v>1651</v>
      </c>
      <c r="P35" s="219" t="s">
        <v>22</v>
      </c>
      <c r="Q35" s="219"/>
      <c r="R35" s="219"/>
      <c r="S35" s="231"/>
      <c r="T35" s="241"/>
      <c r="U35" s="205" t="s">
        <v>1090</v>
      </c>
      <c r="V35" s="220" t="s">
        <v>1091</v>
      </c>
      <c r="W35" s="220" t="s">
        <v>1092</v>
      </c>
      <c r="X35" s="220" t="s">
        <v>1093</v>
      </c>
      <c r="Y35" s="220"/>
      <c r="Z35" s="234" t="s">
        <v>1798</v>
      </c>
      <c r="AA35" s="213" t="s">
        <v>1799</v>
      </c>
      <c r="AB35" s="213" t="s">
        <v>1800</v>
      </c>
      <c r="AC35" s="220" t="s">
        <v>1801</v>
      </c>
      <c r="AD35" s="220" t="s">
        <v>1802</v>
      </c>
      <c r="AE35" s="221" t="s">
        <v>1803</v>
      </c>
      <c r="AF35" s="221" t="s">
        <v>1747</v>
      </c>
      <c r="AG35" s="221"/>
      <c r="AH35" s="221" t="s">
        <v>1663</v>
      </c>
      <c r="AI35" s="190"/>
    </row>
    <row r="36" ht="408.75" customHeight="1">
      <c r="A36" s="190"/>
      <c r="B36" s="205" t="s">
        <v>158</v>
      </c>
      <c r="C36" s="205" t="s">
        <v>295</v>
      </c>
      <c r="D36" s="205" t="s">
        <v>296</v>
      </c>
      <c r="E36" s="205" t="s">
        <v>297</v>
      </c>
      <c r="F36" s="217"/>
      <c r="G36" s="217"/>
      <c r="H36" s="217"/>
      <c r="I36" s="218"/>
      <c r="J36" s="205" t="s">
        <v>303</v>
      </c>
      <c r="K36" s="205" t="s">
        <v>304</v>
      </c>
      <c r="L36" s="208" t="s">
        <v>22</v>
      </c>
      <c r="M36" s="208" t="s">
        <v>22</v>
      </c>
      <c r="N36" s="219" t="s">
        <v>1651</v>
      </c>
      <c r="O36" s="219"/>
      <c r="P36" s="219" t="s">
        <v>22</v>
      </c>
      <c r="Q36" s="219"/>
      <c r="R36" s="219"/>
      <c r="S36" s="231"/>
      <c r="T36" s="211" t="s">
        <v>1669</v>
      </c>
      <c r="U36" s="205" t="s">
        <v>1096</v>
      </c>
      <c r="V36" s="147" t="s">
        <v>1087</v>
      </c>
      <c r="W36" s="147" t="s">
        <v>1088</v>
      </c>
      <c r="X36" s="152" t="s">
        <v>1097</v>
      </c>
      <c r="Y36" s="152"/>
      <c r="Z36" s="212" t="s">
        <v>1804</v>
      </c>
      <c r="AA36" s="213" t="s">
        <v>1021</v>
      </c>
      <c r="AB36" s="213" t="s">
        <v>1022</v>
      </c>
      <c r="AC36" s="147" t="s">
        <v>1654</v>
      </c>
      <c r="AD36" s="147" t="s">
        <v>1654</v>
      </c>
      <c r="AE36" s="214" t="s">
        <v>1654</v>
      </c>
      <c r="AF36" s="214" t="s">
        <v>1654</v>
      </c>
      <c r="AG36" s="215"/>
      <c r="AH36" s="215" t="s">
        <v>1655</v>
      </c>
      <c r="AI36" s="190"/>
    </row>
    <row r="37" ht="408.75" customHeight="1">
      <c r="A37" s="190"/>
      <c r="B37" s="205" t="s">
        <v>158</v>
      </c>
      <c r="C37" s="205" t="s">
        <v>295</v>
      </c>
      <c r="D37" s="205" t="s">
        <v>296</v>
      </c>
      <c r="E37" s="205" t="s">
        <v>297</v>
      </c>
      <c r="F37" s="217"/>
      <c r="G37" s="222"/>
      <c r="H37" s="222"/>
      <c r="I37" s="223"/>
      <c r="J37" s="205" t="s">
        <v>305</v>
      </c>
      <c r="K37" s="205" t="s">
        <v>306</v>
      </c>
      <c r="L37" s="208" t="s">
        <v>22</v>
      </c>
      <c r="M37" s="208" t="s">
        <v>22</v>
      </c>
      <c r="N37" s="219" t="s">
        <v>1651</v>
      </c>
      <c r="O37" s="219"/>
      <c r="P37" s="219" t="s">
        <v>22</v>
      </c>
      <c r="Q37" s="219"/>
      <c r="R37" s="219"/>
      <c r="S37" s="231"/>
      <c r="T37" s="211" t="s">
        <v>1669</v>
      </c>
      <c r="U37" s="205" t="s">
        <v>1096</v>
      </c>
      <c r="V37" s="147" t="s">
        <v>1087</v>
      </c>
      <c r="W37" s="147" t="s">
        <v>1088</v>
      </c>
      <c r="X37" s="152" t="s">
        <v>1098</v>
      </c>
      <c r="Y37" s="152"/>
      <c r="Z37" s="212" t="s">
        <v>1804</v>
      </c>
      <c r="AA37" s="213" t="s">
        <v>1021</v>
      </c>
      <c r="AB37" s="213" t="s">
        <v>1022</v>
      </c>
      <c r="AC37" s="147" t="s">
        <v>1654</v>
      </c>
      <c r="AD37" s="147" t="s">
        <v>1654</v>
      </c>
      <c r="AE37" s="214" t="s">
        <v>1654</v>
      </c>
      <c r="AF37" s="214" t="s">
        <v>1654</v>
      </c>
      <c r="AG37" s="215"/>
      <c r="AH37" s="215" t="s">
        <v>1655</v>
      </c>
      <c r="AI37" s="190"/>
    </row>
    <row r="38" ht="408.75" customHeight="1">
      <c r="A38" s="190"/>
      <c r="B38" s="205" t="s">
        <v>158</v>
      </c>
      <c r="C38" s="205" t="s">
        <v>295</v>
      </c>
      <c r="D38" s="205" t="s">
        <v>296</v>
      </c>
      <c r="E38" s="205" t="s">
        <v>297</v>
      </c>
      <c r="F38" s="217"/>
      <c r="G38" s="206" t="s">
        <v>1805</v>
      </c>
      <c r="H38" s="206" t="s">
        <v>1806</v>
      </c>
      <c r="I38" s="207" t="s">
        <v>1807</v>
      </c>
      <c r="J38" s="205" t="s">
        <v>308</v>
      </c>
      <c r="K38" s="205" t="s">
        <v>309</v>
      </c>
      <c r="L38" s="208" t="s">
        <v>22</v>
      </c>
      <c r="M38" s="208" t="s">
        <v>22</v>
      </c>
      <c r="N38" s="219" t="s">
        <v>1651</v>
      </c>
      <c r="O38" s="219"/>
      <c r="P38" s="219" t="s">
        <v>22</v>
      </c>
      <c r="Q38" s="219"/>
      <c r="R38" s="219"/>
      <c r="S38" s="231"/>
      <c r="T38" s="211" t="s">
        <v>1669</v>
      </c>
      <c r="U38" s="205" t="s">
        <v>1099</v>
      </c>
      <c r="V38" s="147" t="s">
        <v>1100</v>
      </c>
      <c r="W38" s="147" t="s">
        <v>1101</v>
      </c>
      <c r="X38" s="152" t="s">
        <v>1102</v>
      </c>
      <c r="Y38" s="152"/>
      <c r="Z38" s="234" t="s">
        <v>1808</v>
      </c>
      <c r="AA38" s="213" t="s">
        <v>998</v>
      </c>
      <c r="AB38" s="213" t="s">
        <v>999</v>
      </c>
      <c r="AC38" s="147" t="s">
        <v>1654</v>
      </c>
      <c r="AD38" s="147" t="s">
        <v>1654</v>
      </c>
      <c r="AE38" s="214" t="s">
        <v>1654</v>
      </c>
      <c r="AF38" s="214" t="s">
        <v>1654</v>
      </c>
      <c r="AG38" s="215"/>
      <c r="AH38" s="215" t="s">
        <v>1655</v>
      </c>
      <c r="AI38" s="190"/>
    </row>
    <row r="39" ht="408.75" customHeight="1">
      <c r="A39" s="190"/>
      <c r="B39" s="216" t="s">
        <v>158</v>
      </c>
      <c r="C39" s="216" t="s">
        <v>295</v>
      </c>
      <c r="D39" s="216" t="s">
        <v>296</v>
      </c>
      <c r="E39" s="216" t="s">
        <v>297</v>
      </c>
      <c r="F39" s="222"/>
      <c r="G39" s="222"/>
      <c r="H39" s="222"/>
      <c r="I39" s="223"/>
      <c r="J39" s="216" t="s">
        <v>310</v>
      </c>
      <c r="K39" s="216" t="s">
        <v>311</v>
      </c>
      <c r="L39" s="208" t="s">
        <v>307</v>
      </c>
      <c r="M39" s="208" t="s">
        <v>974</v>
      </c>
      <c r="N39" s="219"/>
      <c r="O39" s="219"/>
      <c r="P39" s="219" t="s">
        <v>22</v>
      </c>
      <c r="Q39" s="219"/>
      <c r="R39" s="219"/>
      <c r="S39" s="232"/>
      <c r="T39" s="235" t="s">
        <v>1809</v>
      </c>
      <c r="U39" s="147" t="s">
        <v>1103</v>
      </c>
      <c r="V39" s="220" t="s">
        <v>1100</v>
      </c>
      <c r="W39" s="220" t="s">
        <v>1104</v>
      </c>
      <c r="X39" s="216" t="s">
        <v>1810</v>
      </c>
      <c r="Y39" s="216"/>
      <c r="Z39" s="234" t="s">
        <v>1811</v>
      </c>
      <c r="AA39" s="234" t="s">
        <v>1812</v>
      </c>
      <c r="AB39" s="234" t="s">
        <v>1813</v>
      </c>
      <c r="AC39" s="220" t="s">
        <v>1814</v>
      </c>
      <c r="AD39" s="213" t="s">
        <v>1815</v>
      </c>
      <c r="AE39" s="221" t="s">
        <v>1816</v>
      </c>
      <c r="AF39" s="221" t="s">
        <v>1817</v>
      </c>
      <c r="AG39" s="221"/>
      <c r="AH39" s="221" t="s">
        <v>1663</v>
      </c>
      <c r="AI39" s="190"/>
    </row>
    <row r="40" ht="408.75" customHeight="1">
      <c r="A40" s="190"/>
      <c r="B40" s="216" t="s">
        <v>158</v>
      </c>
      <c r="C40" s="216" t="s">
        <v>312</v>
      </c>
      <c r="D40" s="216" t="s">
        <v>313</v>
      </c>
      <c r="E40" s="216" t="s">
        <v>314</v>
      </c>
      <c r="F40" s="236" t="s">
        <v>1818</v>
      </c>
      <c r="G40" s="236" t="s">
        <v>1819</v>
      </c>
      <c r="H40" s="236" t="s">
        <v>1820</v>
      </c>
      <c r="I40" s="239" t="s">
        <v>1821</v>
      </c>
      <c r="J40" s="216" t="s">
        <v>315</v>
      </c>
      <c r="K40" s="216" t="s">
        <v>316</v>
      </c>
      <c r="L40" s="208" t="s">
        <v>307</v>
      </c>
      <c r="M40" s="208" t="s">
        <v>22</v>
      </c>
      <c r="N40" s="219"/>
      <c r="O40" s="219" t="s">
        <v>1651</v>
      </c>
      <c r="P40" s="219" t="s">
        <v>22</v>
      </c>
      <c r="Q40" s="219"/>
      <c r="R40" s="219"/>
      <c r="S40" s="232"/>
      <c r="T40" s="255" t="s">
        <v>1822</v>
      </c>
      <c r="U40" s="147" t="s">
        <v>1108</v>
      </c>
      <c r="V40" s="220" t="s">
        <v>1109</v>
      </c>
      <c r="W40" s="220" t="s">
        <v>1110</v>
      </c>
      <c r="X40" s="220" t="s">
        <v>1111</v>
      </c>
      <c r="Y40" s="220"/>
      <c r="Z40" s="234" t="s">
        <v>1823</v>
      </c>
      <c r="AA40" s="213" t="s">
        <v>1824</v>
      </c>
      <c r="AB40" s="213" t="s">
        <v>1825</v>
      </c>
      <c r="AC40" s="221" t="s">
        <v>1826</v>
      </c>
      <c r="AD40" s="213" t="s">
        <v>1827</v>
      </c>
      <c r="AE40" s="221" t="s">
        <v>1828</v>
      </c>
      <c r="AF40" s="221" t="s">
        <v>1829</v>
      </c>
      <c r="AG40" s="221"/>
      <c r="AH40" s="221" t="s">
        <v>1663</v>
      </c>
      <c r="AI40" s="190"/>
    </row>
    <row r="41" ht="408.75" customHeight="1">
      <c r="A41" s="190"/>
      <c r="B41" s="205" t="s">
        <v>158</v>
      </c>
      <c r="C41" s="205" t="s">
        <v>319</v>
      </c>
      <c r="D41" s="205" t="s">
        <v>320</v>
      </c>
      <c r="E41" s="205" t="s">
        <v>321</v>
      </c>
      <c r="F41" s="206" t="s">
        <v>1830</v>
      </c>
      <c r="G41" s="206" t="s">
        <v>1831</v>
      </c>
      <c r="H41" s="206" t="s">
        <v>1832</v>
      </c>
      <c r="I41" s="207" t="s">
        <v>1833</v>
      </c>
      <c r="J41" s="205" t="s">
        <v>322</v>
      </c>
      <c r="K41" s="205" t="s">
        <v>323</v>
      </c>
      <c r="L41" s="208" t="s">
        <v>22</v>
      </c>
      <c r="M41" s="208" t="s">
        <v>22</v>
      </c>
      <c r="N41" s="209" t="s">
        <v>1651</v>
      </c>
      <c r="O41" s="209"/>
      <c r="P41" s="209" t="s">
        <v>22</v>
      </c>
      <c r="Q41" s="209"/>
      <c r="R41" s="209"/>
      <c r="S41" s="231"/>
      <c r="T41" s="235" t="s">
        <v>1834</v>
      </c>
      <c r="U41" s="205" t="s">
        <v>1114</v>
      </c>
      <c r="V41" s="147" t="s">
        <v>1049</v>
      </c>
      <c r="W41" s="147" t="s">
        <v>1115</v>
      </c>
      <c r="X41" s="147" t="s">
        <v>1116</v>
      </c>
      <c r="Y41" s="147"/>
      <c r="Z41" s="234" t="s">
        <v>1653</v>
      </c>
      <c r="AA41" s="213" t="s">
        <v>1021</v>
      </c>
      <c r="AB41" s="213" t="s">
        <v>1022</v>
      </c>
      <c r="AC41" s="147" t="s">
        <v>1654</v>
      </c>
      <c r="AD41" s="147" t="s">
        <v>1654</v>
      </c>
      <c r="AE41" s="214" t="s">
        <v>1654</v>
      </c>
      <c r="AF41" s="214" t="s">
        <v>1654</v>
      </c>
      <c r="AG41" s="215"/>
      <c r="AH41" s="215" t="s">
        <v>1655</v>
      </c>
      <c r="AI41" s="190"/>
    </row>
    <row r="42" ht="408.75" customHeight="1">
      <c r="A42" s="190"/>
      <c r="B42" s="216" t="s">
        <v>158</v>
      </c>
      <c r="C42" s="216" t="s">
        <v>319</v>
      </c>
      <c r="D42" s="216" t="s">
        <v>320</v>
      </c>
      <c r="E42" s="216" t="s">
        <v>321</v>
      </c>
      <c r="F42" s="222"/>
      <c r="G42" s="222"/>
      <c r="H42" s="222"/>
      <c r="I42" s="223"/>
      <c r="J42" s="216" t="s">
        <v>326</v>
      </c>
      <c r="K42" s="216" t="s">
        <v>327</v>
      </c>
      <c r="L42" s="208" t="s">
        <v>307</v>
      </c>
      <c r="M42" s="208" t="s">
        <v>22</v>
      </c>
      <c r="N42" s="219"/>
      <c r="O42" s="219" t="s">
        <v>1651</v>
      </c>
      <c r="P42" s="219" t="s">
        <v>22</v>
      </c>
      <c r="Q42" s="219"/>
      <c r="R42" s="219"/>
      <c r="S42" s="232"/>
      <c r="T42" s="255" t="s">
        <v>1835</v>
      </c>
      <c r="U42" s="147" t="s">
        <v>1117</v>
      </c>
      <c r="V42" s="220" t="s">
        <v>1118</v>
      </c>
      <c r="W42" s="220" t="s">
        <v>1119</v>
      </c>
      <c r="X42" s="220" t="s">
        <v>1120</v>
      </c>
      <c r="Y42" s="220"/>
      <c r="Z42" s="234" t="s">
        <v>1836</v>
      </c>
      <c r="AA42" s="213" t="s">
        <v>1837</v>
      </c>
      <c r="AB42" s="213" t="s">
        <v>1838</v>
      </c>
      <c r="AC42" s="221" t="s">
        <v>1839</v>
      </c>
      <c r="AD42" s="213" t="s">
        <v>1840</v>
      </c>
      <c r="AE42" s="221" t="s">
        <v>1841</v>
      </c>
      <c r="AF42" s="221" t="s">
        <v>1842</v>
      </c>
      <c r="AG42" s="221"/>
      <c r="AH42" s="221" t="s">
        <v>1663</v>
      </c>
      <c r="AI42" s="190"/>
    </row>
    <row r="43" ht="408.75" customHeight="1">
      <c r="A43" s="190"/>
      <c r="B43" s="216" t="s">
        <v>158</v>
      </c>
      <c r="C43" s="216" t="s">
        <v>319</v>
      </c>
      <c r="D43" s="216" t="s">
        <v>320</v>
      </c>
      <c r="E43" s="216" t="s">
        <v>321</v>
      </c>
      <c r="F43" s="236" t="s">
        <v>1843</v>
      </c>
      <c r="G43" s="236" t="s">
        <v>1844</v>
      </c>
      <c r="H43" s="236" t="s">
        <v>1845</v>
      </c>
      <c r="I43" s="239" t="s">
        <v>1846</v>
      </c>
      <c r="J43" s="216" t="s">
        <v>328</v>
      </c>
      <c r="K43" s="216" t="s">
        <v>329</v>
      </c>
      <c r="L43" s="208" t="s">
        <v>307</v>
      </c>
      <c r="M43" s="208" t="s">
        <v>22</v>
      </c>
      <c r="N43" s="219"/>
      <c r="O43" s="219"/>
      <c r="P43" s="219" t="s">
        <v>22</v>
      </c>
      <c r="Q43" s="219"/>
      <c r="R43" s="219"/>
      <c r="S43" s="232"/>
      <c r="T43" s="255" t="s">
        <v>1835</v>
      </c>
      <c r="U43" s="147" t="s">
        <v>1123</v>
      </c>
      <c r="V43" s="220" t="s">
        <v>990</v>
      </c>
      <c r="W43" s="220" t="s">
        <v>1124</v>
      </c>
      <c r="X43" s="220" t="s">
        <v>1125</v>
      </c>
      <c r="Y43" s="220"/>
      <c r="Z43" s="234" t="s">
        <v>1847</v>
      </c>
      <c r="AA43" s="213" t="s">
        <v>1848</v>
      </c>
      <c r="AB43" s="213" t="s">
        <v>1849</v>
      </c>
      <c r="AC43" s="220" t="s">
        <v>1850</v>
      </c>
      <c r="AD43" s="213" t="s">
        <v>1851</v>
      </c>
      <c r="AE43" s="221" t="s">
        <v>1852</v>
      </c>
      <c r="AF43" s="221" t="s">
        <v>1853</v>
      </c>
      <c r="AG43" s="221"/>
      <c r="AH43" s="221" t="s">
        <v>1663</v>
      </c>
      <c r="AI43" s="190"/>
    </row>
    <row r="44" ht="408.75" customHeight="1">
      <c r="A44" s="190"/>
      <c r="B44" s="216" t="s">
        <v>158</v>
      </c>
      <c r="C44" s="216" t="s">
        <v>319</v>
      </c>
      <c r="D44" s="216" t="s">
        <v>320</v>
      </c>
      <c r="E44" s="216" t="s">
        <v>321</v>
      </c>
      <c r="F44" s="236" t="s">
        <v>1854</v>
      </c>
      <c r="G44" s="236" t="s">
        <v>1855</v>
      </c>
      <c r="H44" s="236" t="s">
        <v>1856</v>
      </c>
      <c r="I44" s="239" t="s">
        <v>1857</v>
      </c>
      <c r="J44" s="216" t="s">
        <v>330</v>
      </c>
      <c r="K44" s="216" t="s">
        <v>331</v>
      </c>
      <c r="L44" s="208" t="s">
        <v>307</v>
      </c>
      <c r="M44" s="208" t="s">
        <v>22</v>
      </c>
      <c r="N44" s="219"/>
      <c r="O44" s="219"/>
      <c r="P44" s="219" t="s">
        <v>22</v>
      </c>
      <c r="Q44" s="219"/>
      <c r="R44" s="219"/>
      <c r="S44" s="232"/>
      <c r="T44" s="255" t="s">
        <v>1835</v>
      </c>
      <c r="U44" s="233" t="s">
        <v>1128</v>
      </c>
      <c r="V44" s="220" t="s">
        <v>1034</v>
      </c>
      <c r="W44" s="220" t="s">
        <v>1129</v>
      </c>
      <c r="X44" s="220" t="s">
        <v>1130</v>
      </c>
      <c r="Y44" s="220"/>
      <c r="Z44" s="234" t="s">
        <v>1858</v>
      </c>
      <c r="AA44" s="213" t="s">
        <v>1859</v>
      </c>
      <c r="AB44" s="213" t="s">
        <v>1825</v>
      </c>
      <c r="AC44" s="221" t="s">
        <v>1860</v>
      </c>
      <c r="AD44" s="213" t="s">
        <v>1861</v>
      </c>
      <c r="AE44" s="221" t="s">
        <v>1862</v>
      </c>
      <c r="AF44" s="221" t="s">
        <v>1863</v>
      </c>
      <c r="AG44" s="221"/>
      <c r="AH44" s="253" t="s">
        <v>1738</v>
      </c>
      <c r="AI44" s="190" t="s">
        <v>973</v>
      </c>
    </row>
    <row r="45" ht="408.75" customHeight="1">
      <c r="A45" s="190"/>
      <c r="B45" s="216" t="s">
        <v>158</v>
      </c>
      <c r="C45" s="216" t="s">
        <v>332</v>
      </c>
      <c r="D45" s="216" t="s">
        <v>333</v>
      </c>
      <c r="E45" s="216" t="s">
        <v>334</v>
      </c>
      <c r="F45" s="206" t="s">
        <v>1830</v>
      </c>
      <c r="G45" s="206" t="s">
        <v>1864</v>
      </c>
      <c r="H45" s="206" t="s">
        <v>1865</v>
      </c>
      <c r="I45" s="207" t="s">
        <v>1866</v>
      </c>
      <c r="J45" s="216" t="s">
        <v>335</v>
      </c>
      <c r="K45" s="216" t="s">
        <v>336</v>
      </c>
      <c r="L45" s="208" t="s">
        <v>307</v>
      </c>
      <c r="M45" s="208" t="s">
        <v>22</v>
      </c>
      <c r="N45" s="219"/>
      <c r="O45" s="219"/>
      <c r="P45" s="219" t="s">
        <v>22</v>
      </c>
      <c r="Q45" s="219"/>
      <c r="R45" s="219"/>
      <c r="S45" s="232"/>
      <c r="T45" s="255" t="s">
        <v>1835</v>
      </c>
      <c r="U45" s="147" t="s">
        <v>1867</v>
      </c>
      <c r="V45" s="220" t="s">
        <v>1134</v>
      </c>
      <c r="W45" s="220" t="s">
        <v>1135</v>
      </c>
      <c r="X45" s="220" t="s">
        <v>1136</v>
      </c>
      <c r="Y45" s="220"/>
      <c r="Z45" s="234" t="s">
        <v>1868</v>
      </c>
      <c r="AA45" s="213" t="s">
        <v>1824</v>
      </c>
      <c r="AB45" s="213" t="s">
        <v>1825</v>
      </c>
      <c r="AC45" s="221" t="s">
        <v>1869</v>
      </c>
      <c r="AD45" s="213" t="s">
        <v>1870</v>
      </c>
      <c r="AE45" s="221" t="s">
        <v>1871</v>
      </c>
      <c r="AF45" s="221" t="s">
        <v>1872</v>
      </c>
      <c r="AG45" s="221"/>
      <c r="AH45" s="221" t="s">
        <v>1663</v>
      </c>
      <c r="AI45" s="190"/>
    </row>
    <row r="46" ht="408.75" customHeight="1">
      <c r="A46" s="190"/>
      <c r="B46" s="216" t="s">
        <v>158</v>
      </c>
      <c r="C46" s="216" t="s">
        <v>332</v>
      </c>
      <c r="D46" s="216" t="s">
        <v>333</v>
      </c>
      <c r="E46" s="216" t="s">
        <v>334</v>
      </c>
      <c r="F46" s="217"/>
      <c r="G46" s="222"/>
      <c r="H46" s="222"/>
      <c r="I46" s="223"/>
      <c r="J46" s="216" t="s">
        <v>338</v>
      </c>
      <c r="K46" s="216" t="s">
        <v>339</v>
      </c>
      <c r="L46" s="208" t="s">
        <v>307</v>
      </c>
      <c r="M46" s="208" t="s">
        <v>22</v>
      </c>
      <c r="N46" s="219"/>
      <c r="O46" s="219"/>
      <c r="P46" s="219" t="s">
        <v>22</v>
      </c>
      <c r="Q46" s="219"/>
      <c r="R46" s="219"/>
      <c r="S46" s="232"/>
      <c r="T46" s="255" t="s">
        <v>1835</v>
      </c>
      <c r="U46" s="147" t="s">
        <v>1137</v>
      </c>
      <c r="V46" s="220" t="s">
        <v>1118</v>
      </c>
      <c r="W46" s="220" t="s">
        <v>1119</v>
      </c>
      <c r="X46" s="220" t="s">
        <v>1138</v>
      </c>
      <c r="Y46" s="220"/>
      <c r="Z46" s="213" t="s">
        <v>1873</v>
      </c>
      <c r="AA46" s="213" t="s">
        <v>1837</v>
      </c>
      <c r="AB46" s="213" t="s">
        <v>1838</v>
      </c>
      <c r="AC46" s="221" t="s">
        <v>1874</v>
      </c>
      <c r="AD46" s="213" t="s">
        <v>1875</v>
      </c>
      <c r="AE46" s="221" t="s">
        <v>1876</v>
      </c>
      <c r="AF46" s="221" t="s">
        <v>1877</v>
      </c>
      <c r="AG46" s="221"/>
      <c r="AH46" s="221" t="s">
        <v>1663</v>
      </c>
      <c r="AI46" s="190"/>
    </row>
    <row r="47" ht="408.75" customHeight="1">
      <c r="A47" s="190"/>
      <c r="B47" s="205" t="s">
        <v>158</v>
      </c>
      <c r="C47" s="205" t="s">
        <v>332</v>
      </c>
      <c r="D47" s="205" t="s">
        <v>333</v>
      </c>
      <c r="E47" s="205" t="s">
        <v>334</v>
      </c>
      <c r="F47" s="217"/>
      <c r="G47" s="236" t="s">
        <v>1878</v>
      </c>
      <c r="H47" s="236" t="s">
        <v>1879</v>
      </c>
      <c r="I47" s="239" t="s">
        <v>1880</v>
      </c>
      <c r="J47" s="205" t="s">
        <v>340</v>
      </c>
      <c r="K47" s="205" t="s">
        <v>341</v>
      </c>
      <c r="L47" s="208" t="s">
        <v>22</v>
      </c>
      <c r="M47" s="208" t="s">
        <v>22</v>
      </c>
      <c r="N47" s="219" t="s">
        <v>1651</v>
      </c>
      <c r="O47" s="219"/>
      <c r="P47" s="219" t="s">
        <v>22</v>
      </c>
      <c r="Q47" s="219"/>
      <c r="R47" s="219"/>
      <c r="S47" s="231"/>
      <c r="T47" s="211" t="s">
        <v>1669</v>
      </c>
      <c r="U47" s="205" t="s">
        <v>1141</v>
      </c>
      <c r="V47" s="147" t="s">
        <v>1049</v>
      </c>
      <c r="W47" s="147" t="s">
        <v>1142</v>
      </c>
      <c r="X47" s="152" t="s">
        <v>1143</v>
      </c>
      <c r="Y47" s="152"/>
      <c r="Z47" s="234" t="s">
        <v>1804</v>
      </c>
      <c r="AA47" s="213" t="s">
        <v>1021</v>
      </c>
      <c r="AB47" s="213" t="s">
        <v>1022</v>
      </c>
      <c r="AC47" s="147" t="s">
        <v>1654</v>
      </c>
      <c r="AD47" s="147" t="s">
        <v>1654</v>
      </c>
      <c r="AE47" s="214" t="s">
        <v>1654</v>
      </c>
      <c r="AF47" s="214" t="s">
        <v>1654</v>
      </c>
      <c r="AG47" s="215"/>
      <c r="AH47" s="215" t="s">
        <v>1655</v>
      </c>
      <c r="AI47" s="190"/>
    </row>
    <row r="48" ht="408.75" customHeight="1">
      <c r="A48" s="190"/>
      <c r="B48" s="216" t="s">
        <v>158</v>
      </c>
      <c r="C48" s="216" t="s">
        <v>332</v>
      </c>
      <c r="D48" s="216" t="s">
        <v>333</v>
      </c>
      <c r="E48" s="216" t="s">
        <v>334</v>
      </c>
      <c r="F48" s="222"/>
      <c r="G48" s="236" t="s">
        <v>1881</v>
      </c>
      <c r="H48" s="236" t="s">
        <v>1882</v>
      </c>
      <c r="I48" s="239" t="s">
        <v>1883</v>
      </c>
      <c r="J48" s="216" t="s">
        <v>342</v>
      </c>
      <c r="K48" s="216" t="s">
        <v>343</v>
      </c>
      <c r="L48" s="208" t="s">
        <v>307</v>
      </c>
      <c r="M48" s="208" t="s">
        <v>22</v>
      </c>
      <c r="N48" s="209" t="s">
        <v>1651</v>
      </c>
      <c r="O48" s="209"/>
      <c r="P48" s="209" t="s">
        <v>22</v>
      </c>
      <c r="Q48" s="209"/>
      <c r="R48" s="209"/>
      <c r="S48" s="231"/>
      <c r="T48" s="256"/>
      <c r="U48" s="205" t="s">
        <v>1144</v>
      </c>
      <c r="V48" s="220" t="s">
        <v>1145</v>
      </c>
      <c r="W48" s="220" t="s">
        <v>1146</v>
      </c>
      <c r="X48" s="220" t="s">
        <v>1147</v>
      </c>
      <c r="Y48" s="220"/>
      <c r="Z48" s="234" t="s">
        <v>1884</v>
      </c>
      <c r="AA48" s="213" t="s">
        <v>1885</v>
      </c>
      <c r="AB48" s="213" t="s">
        <v>1886</v>
      </c>
      <c r="AC48" s="221" t="s">
        <v>1887</v>
      </c>
      <c r="AD48" s="257" t="s">
        <v>1888</v>
      </c>
      <c r="AE48" s="221" t="s">
        <v>1889</v>
      </c>
      <c r="AF48" s="221" t="s">
        <v>1890</v>
      </c>
      <c r="AG48" s="221"/>
      <c r="AH48" s="221" t="s">
        <v>1738</v>
      </c>
      <c r="AI48" s="190" t="s">
        <v>973</v>
      </c>
    </row>
    <row r="49" ht="408.75" customHeight="1">
      <c r="A49" s="190"/>
      <c r="B49" s="216" t="s">
        <v>158</v>
      </c>
      <c r="C49" s="216" t="s">
        <v>344</v>
      </c>
      <c r="D49" s="216" t="s">
        <v>345</v>
      </c>
      <c r="E49" s="216" t="s">
        <v>346</v>
      </c>
      <c r="F49" s="236" t="s">
        <v>1891</v>
      </c>
      <c r="G49" s="236" t="s">
        <v>1892</v>
      </c>
      <c r="H49" s="258" t="s">
        <v>1893</v>
      </c>
      <c r="I49" s="259" t="s">
        <v>1894</v>
      </c>
      <c r="J49" s="216" t="s">
        <v>347</v>
      </c>
      <c r="K49" s="216" t="s">
        <v>348</v>
      </c>
      <c r="L49" s="208" t="s">
        <v>307</v>
      </c>
      <c r="M49" s="208" t="s">
        <v>307</v>
      </c>
      <c r="N49" s="209" t="s">
        <v>1651</v>
      </c>
      <c r="O49" s="209"/>
      <c r="P49" s="248" t="s">
        <v>307</v>
      </c>
      <c r="Q49" s="209"/>
      <c r="R49" s="209"/>
      <c r="S49" s="249" t="s">
        <v>1895</v>
      </c>
      <c r="T49" s="235" t="s">
        <v>1896</v>
      </c>
      <c r="U49" s="260" t="s">
        <v>1150</v>
      </c>
      <c r="V49" s="220" t="s">
        <v>1109</v>
      </c>
      <c r="W49" s="220" t="s">
        <v>1151</v>
      </c>
      <c r="X49" s="220" t="s">
        <v>1897</v>
      </c>
      <c r="Y49" s="220" t="s">
        <v>1680</v>
      </c>
      <c r="Z49" s="234" t="s">
        <v>1715</v>
      </c>
      <c r="AA49" s="213" t="s">
        <v>1021</v>
      </c>
      <c r="AB49" s="213" t="s">
        <v>1022</v>
      </c>
      <c r="AC49" s="220" t="s">
        <v>1898</v>
      </c>
      <c r="AD49" s="213" t="s">
        <v>1899</v>
      </c>
      <c r="AE49" s="221" t="s">
        <v>1900</v>
      </c>
      <c r="AF49" s="221" t="s">
        <v>1726</v>
      </c>
      <c r="AG49" s="221" t="s">
        <v>1900</v>
      </c>
      <c r="AH49" s="221" t="s">
        <v>1738</v>
      </c>
      <c r="AI49" s="190" t="s">
        <v>1901</v>
      </c>
    </row>
    <row r="50" ht="408.75" customHeight="1">
      <c r="A50" s="190"/>
      <c r="B50" s="216" t="s">
        <v>158</v>
      </c>
      <c r="C50" s="216" t="s">
        <v>351</v>
      </c>
      <c r="D50" s="216" t="s">
        <v>352</v>
      </c>
      <c r="E50" s="216" t="s">
        <v>353</v>
      </c>
      <c r="F50" s="236" t="s">
        <v>1902</v>
      </c>
      <c r="G50" s="236" t="s">
        <v>1903</v>
      </c>
      <c r="H50" s="258" t="s">
        <v>1904</v>
      </c>
      <c r="I50" s="259" t="s">
        <v>1905</v>
      </c>
      <c r="J50" s="216" t="s">
        <v>1906</v>
      </c>
      <c r="K50" s="216" t="s">
        <v>355</v>
      </c>
      <c r="L50" s="208" t="s">
        <v>307</v>
      </c>
      <c r="M50" s="208" t="s">
        <v>307</v>
      </c>
      <c r="N50" s="219"/>
      <c r="O50" s="219"/>
      <c r="P50" s="248" t="s">
        <v>307</v>
      </c>
      <c r="Q50" s="219"/>
      <c r="R50" s="219"/>
      <c r="S50" s="249" t="s">
        <v>1907</v>
      </c>
      <c r="T50" s="235" t="s">
        <v>1896</v>
      </c>
      <c r="U50" s="260" t="s">
        <v>1152</v>
      </c>
      <c r="V50" s="220" t="s">
        <v>1153</v>
      </c>
      <c r="W50" s="220" t="s">
        <v>1154</v>
      </c>
      <c r="X50" s="220"/>
      <c r="Y50" s="220" t="s">
        <v>1680</v>
      </c>
      <c r="Z50" s="234" t="s">
        <v>1715</v>
      </c>
      <c r="AA50" s="213" t="s">
        <v>1021</v>
      </c>
      <c r="AB50" s="213" t="s">
        <v>1022</v>
      </c>
      <c r="AC50" s="220" t="s">
        <v>1898</v>
      </c>
      <c r="AD50" s="213" t="s">
        <v>1899</v>
      </c>
      <c r="AE50" s="261" t="s">
        <v>1900</v>
      </c>
      <c r="AF50" s="221" t="s">
        <v>1726</v>
      </c>
      <c r="AG50" s="261" t="s">
        <v>1900</v>
      </c>
      <c r="AH50" s="261" t="s">
        <v>1738</v>
      </c>
      <c r="AI50" s="190" t="s">
        <v>1901</v>
      </c>
    </row>
    <row r="51" ht="408.75" customHeight="1">
      <c r="A51" s="190"/>
      <c r="B51" s="216" t="s">
        <v>158</v>
      </c>
      <c r="C51" s="216" t="s">
        <v>357</v>
      </c>
      <c r="D51" s="216" t="s">
        <v>358</v>
      </c>
      <c r="E51" s="216" t="s">
        <v>359</v>
      </c>
      <c r="F51" s="236" t="s">
        <v>1902</v>
      </c>
      <c r="G51" s="236" t="s">
        <v>1908</v>
      </c>
      <c r="H51" s="258" t="s">
        <v>1909</v>
      </c>
      <c r="I51" s="259" t="s">
        <v>1910</v>
      </c>
      <c r="J51" s="216" t="s">
        <v>1911</v>
      </c>
      <c r="K51" s="216" t="s">
        <v>361</v>
      </c>
      <c r="L51" s="208" t="s">
        <v>307</v>
      </c>
      <c r="M51" s="208" t="s">
        <v>307</v>
      </c>
      <c r="N51" s="209" t="s">
        <v>1651</v>
      </c>
      <c r="O51" s="209"/>
      <c r="P51" s="248" t="s">
        <v>307</v>
      </c>
      <c r="Q51" s="209"/>
      <c r="R51" s="209"/>
      <c r="S51" s="249" t="s">
        <v>1912</v>
      </c>
      <c r="T51" s="235" t="s">
        <v>1896</v>
      </c>
      <c r="U51" s="260" t="s">
        <v>1155</v>
      </c>
      <c r="V51" s="220" t="s">
        <v>1156</v>
      </c>
      <c r="W51" s="220" t="s">
        <v>1157</v>
      </c>
      <c r="X51" s="262" t="s">
        <v>1913</v>
      </c>
      <c r="Y51" s="220" t="s">
        <v>1680</v>
      </c>
      <c r="Z51" s="234" t="s">
        <v>1715</v>
      </c>
      <c r="AA51" s="213" t="s">
        <v>1021</v>
      </c>
      <c r="AB51" s="213" t="s">
        <v>1022</v>
      </c>
      <c r="AC51" s="220" t="s">
        <v>1914</v>
      </c>
      <c r="AD51" s="213" t="s">
        <v>1899</v>
      </c>
      <c r="AE51" s="261" t="s">
        <v>1915</v>
      </c>
      <c r="AF51" s="221" t="s">
        <v>1726</v>
      </c>
      <c r="AG51" s="261" t="s">
        <v>1915</v>
      </c>
      <c r="AH51" s="261" t="s">
        <v>1738</v>
      </c>
      <c r="AI51" s="190" t="s">
        <v>1901</v>
      </c>
    </row>
    <row r="52" ht="408.75" customHeight="1">
      <c r="A52" s="190"/>
      <c r="B52" s="216" t="s">
        <v>158</v>
      </c>
      <c r="C52" s="216" t="s">
        <v>362</v>
      </c>
      <c r="D52" s="216" t="s">
        <v>363</v>
      </c>
      <c r="E52" s="216" t="s">
        <v>364</v>
      </c>
      <c r="F52" s="206" t="s">
        <v>1916</v>
      </c>
      <c r="G52" s="236" t="s">
        <v>1917</v>
      </c>
      <c r="H52" s="258" t="s">
        <v>1918</v>
      </c>
      <c r="I52" s="259" t="s">
        <v>1919</v>
      </c>
      <c r="J52" s="216" t="s">
        <v>1920</v>
      </c>
      <c r="K52" s="216" t="s">
        <v>366</v>
      </c>
      <c r="L52" s="208" t="s">
        <v>307</v>
      </c>
      <c r="M52" s="208" t="s">
        <v>973</v>
      </c>
      <c r="N52" s="209" t="s">
        <v>1651</v>
      </c>
      <c r="O52" s="209"/>
      <c r="P52" s="209" t="s">
        <v>22</v>
      </c>
      <c r="Q52" s="209"/>
      <c r="R52" s="209"/>
      <c r="S52" s="232"/>
      <c r="T52" s="235" t="s">
        <v>1921</v>
      </c>
      <c r="U52" s="147" t="s">
        <v>1158</v>
      </c>
      <c r="V52" s="220" t="s">
        <v>990</v>
      </c>
      <c r="W52" s="220" t="s">
        <v>1159</v>
      </c>
      <c r="X52" s="262" t="s">
        <v>1160</v>
      </c>
      <c r="Y52" s="220"/>
      <c r="Z52" s="234" t="s">
        <v>1804</v>
      </c>
      <c r="AA52" s="213" t="s">
        <v>1021</v>
      </c>
      <c r="AB52" s="213" t="s">
        <v>1022</v>
      </c>
      <c r="AC52" s="220" t="s">
        <v>1922</v>
      </c>
      <c r="AD52" s="213" t="s">
        <v>1923</v>
      </c>
      <c r="AE52" s="261" t="s">
        <v>1924</v>
      </c>
      <c r="AF52" s="221" t="s">
        <v>1925</v>
      </c>
      <c r="AG52" s="221"/>
      <c r="AH52" s="261" t="s">
        <v>1738</v>
      </c>
      <c r="AI52" s="190" t="s">
        <v>1926</v>
      </c>
    </row>
    <row r="53" ht="408.75" customHeight="1">
      <c r="A53" s="190"/>
      <c r="B53" s="216" t="s">
        <v>158</v>
      </c>
      <c r="C53" s="216" t="s">
        <v>362</v>
      </c>
      <c r="D53" s="216" t="s">
        <v>363</v>
      </c>
      <c r="E53" s="216" t="s">
        <v>364</v>
      </c>
      <c r="F53" s="222"/>
      <c r="G53" s="236" t="s">
        <v>1927</v>
      </c>
      <c r="H53" s="258" t="s">
        <v>1928</v>
      </c>
      <c r="I53" s="259" t="s">
        <v>1929</v>
      </c>
      <c r="J53" s="216" t="s">
        <v>1930</v>
      </c>
      <c r="K53" s="220" t="s">
        <v>370</v>
      </c>
      <c r="L53" s="208" t="s">
        <v>307</v>
      </c>
      <c r="M53" s="208" t="s">
        <v>973</v>
      </c>
      <c r="N53" s="209" t="s">
        <v>1651</v>
      </c>
      <c r="O53" s="209"/>
      <c r="P53" s="209" t="s">
        <v>22</v>
      </c>
      <c r="Q53" s="209"/>
      <c r="R53" s="209"/>
      <c r="S53" s="232"/>
      <c r="T53" s="235" t="s">
        <v>1931</v>
      </c>
      <c r="U53" s="147" t="s">
        <v>1161</v>
      </c>
      <c r="V53" s="220" t="s">
        <v>1030</v>
      </c>
      <c r="W53" s="220" t="s">
        <v>1162</v>
      </c>
      <c r="X53" s="262" t="s">
        <v>1163</v>
      </c>
      <c r="Y53" s="220"/>
      <c r="Z53" s="213" t="s">
        <v>1932</v>
      </c>
      <c r="AA53" s="213" t="s">
        <v>1933</v>
      </c>
      <c r="AB53" s="213" t="s">
        <v>1934</v>
      </c>
      <c r="AC53" s="220" t="s">
        <v>1935</v>
      </c>
      <c r="AD53" s="213" t="s">
        <v>1936</v>
      </c>
      <c r="AE53" s="261" t="s">
        <v>1937</v>
      </c>
      <c r="AF53" s="221" t="s">
        <v>1938</v>
      </c>
      <c r="AG53" s="221"/>
      <c r="AH53" s="261" t="s">
        <v>1738</v>
      </c>
      <c r="AI53" s="190" t="s">
        <v>973</v>
      </c>
    </row>
    <row r="54" ht="408.75" customHeight="1">
      <c r="A54" s="190"/>
      <c r="B54" s="216" t="s">
        <v>158</v>
      </c>
      <c r="C54" s="216" t="s">
        <v>371</v>
      </c>
      <c r="D54" s="216" t="s">
        <v>372</v>
      </c>
      <c r="E54" s="216" t="s">
        <v>373</v>
      </c>
      <c r="F54" s="244"/>
      <c r="G54" s="244"/>
      <c r="H54" s="263" t="s">
        <v>1939</v>
      </c>
      <c r="I54" s="245"/>
      <c r="J54" s="216" t="s">
        <v>1940</v>
      </c>
      <c r="K54" s="216" t="s">
        <v>375</v>
      </c>
      <c r="L54" s="208" t="s">
        <v>1684</v>
      </c>
      <c r="M54" s="208" t="s">
        <v>1684</v>
      </c>
      <c r="N54" s="209" t="s">
        <v>1651</v>
      </c>
      <c r="O54" s="209"/>
      <c r="P54" s="209" t="s">
        <v>307</v>
      </c>
      <c r="Q54" s="209"/>
      <c r="R54" s="209"/>
      <c r="S54" s="264" t="s">
        <v>1941</v>
      </c>
      <c r="T54" s="235" t="s">
        <v>1942</v>
      </c>
      <c r="U54" s="147" t="s">
        <v>1166</v>
      </c>
      <c r="V54" s="220" t="s">
        <v>1030</v>
      </c>
      <c r="W54" s="220" t="s">
        <v>1167</v>
      </c>
      <c r="X54" s="262" t="s">
        <v>1913</v>
      </c>
      <c r="Y54" s="220" t="s">
        <v>1680</v>
      </c>
      <c r="Z54" s="234" t="s">
        <v>1943</v>
      </c>
      <c r="AA54" s="213" t="s">
        <v>1168</v>
      </c>
      <c r="AB54" s="213" t="s">
        <v>1169</v>
      </c>
      <c r="AC54" s="220" t="s">
        <v>1944</v>
      </c>
      <c r="AD54" s="213" t="s">
        <v>1945</v>
      </c>
      <c r="AE54" s="261" t="s">
        <v>1946</v>
      </c>
      <c r="AF54" s="221" t="s">
        <v>1947</v>
      </c>
      <c r="AG54" s="261" t="s">
        <v>1948</v>
      </c>
      <c r="AH54" s="261" t="s">
        <v>1663</v>
      </c>
      <c r="AI54" s="190"/>
    </row>
    <row r="55" ht="408.75" customHeight="1">
      <c r="A55" s="190"/>
      <c r="B55" s="216" t="s">
        <v>158</v>
      </c>
      <c r="C55" s="216" t="s">
        <v>371</v>
      </c>
      <c r="D55" s="216" t="s">
        <v>372</v>
      </c>
      <c r="E55" s="216" t="s">
        <v>373</v>
      </c>
      <c r="F55" s="244"/>
      <c r="G55" s="244"/>
      <c r="H55" s="265"/>
      <c r="I55" s="245"/>
      <c r="J55" s="216" t="s">
        <v>1949</v>
      </c>
      <c r="K55" s="216" t="s">
        <v>379</v>
      </c>
      <c r="L55" s="208" t="s">
        <v>307</v>
      </c>
      <c r="M55" s="208" t="s">
        <v>307</v>
      </c>
      <c r="N55" s="209" t="s">
        <v>1651</v>
      </c>
      <c r="O55" s="209"/>
      <c r="P55" s="209" t="s">
        <v>307</v>
      </c>
      <c r="Q55" s="209"/>
      <c r="R55" s="209"/>
      <c r="S55" s="249" t="s">
        <v>1950</v>
      </c>
      <c r="T55" s="235" t="s">
        <v>1942</v>
      </c>
      <c r="U55" s="147" t="s">
        <v>1170</v>
      </c>
      <c r="V55" s="220" t="s">
        <v>1030</v>
      </c>
      <c r="W55" s="220" t="s">
        <v>1167</v>
      </c>
      <c r="X55" s="220" t="s">
        <v>1913</v>
      </c>
      <c r="Y55" s="220" t="s">
        <v>1680</v>
      </c>
      <c r="Z55" s="234" t="s">
        <v>1715</v>
      </c>
      <c r="AA55" s="213" t="s">
        <v>1021</v>
      </c>
      <c r="AB55" s="213" t="s">
        <v>1022</v>
      </c>
      <c r="AC55" s="220" t="s">
        <v>1951</v>
      </c>
      <c r="AD55" s="213" t="s">
        <v>1952</v>
      </c>
      <c r="AE55" s="221" t="s">
        <v>1953</v>
      </c>
      <c r="AF55" s="221" t="s">
        <v>1954</v>
      </c>
      <c r="AG55" s="221" t="s">
        <v>1953</v>
      </c>
      <c r="AH55" s="221" t="s">
        <v>1663</v>
      </c>
      <c r="AI55" s="190"/>
    </row>
    <row r="56" ht="408.75" customHeight="1">
      <c r="A56" s="190"/>
      <c r="B56" s="216" t="s">
        <v>158</v>
      </c>
      <c r="C56" s="216" t="s">
        <v>371</v>
      </c>
      <c r="D56" s="216" t="s">
        <v>372</v>
      </c>
      <c r="E56" s="216" t="s">
        <v>373</v>
      </c>
      <c r="F56" s="244"/>
      <c r="G56" s="244"/>
      <c r="H56" s="265"/>
      <c r="I56" s="245"/>
      <c r="J56" s="216" t="s">
        <v>1955</v>
      </c>
      <c r="K56" s="216" t="s">
        <v>381</v>
      </c>
      <c r="L56" s="208" t="s">
        <v>307</v>
      </c>
      <c r="M56" s="208" t="s">
        <v>973</v>
      </c>
      <c r="N56" s="209" t="s">
        <v>1651</v>
      </c>
      <c r="O56" s="209"/>
      <c r="P56" s="209" t="s">
        <v>22</v>
      </c>
      <c r="Q56" s="209"/>
      <c r="R56" s="209"/>
      <c r="S56" s="232"/>
      <c r="T56" s="235" t="s">
        <v>1956</v>
      </c>
      <c r="U56" s="147" t="s">
        <v>1171</v>
      </c>
      <c r="V56" s="220" t="s">
        <v>1172</v>
      </c>
      <c r="W56" s="220" t="s">
        <v>1173</v>
      </c>
      <c r="X56" s="262" t="s">
        <v>1174</v>
      </c>
      <c r="Y56" s="220"/>
      <c r="Z56" s="234" t="s">
        <v>1653</v>
      </c>
      <c r="AA56" s="213" t="s">
        <v>1021</v>
      </c>
      <c r="AB56" s="213" t="s">
        <v>1022</v>
      </c>
      <c r="AC56" s="220" t="s">
        <v>1957</v>
      </c>
      <c r="AD56" s="213" t="s">
        <v>1952</v>
      </c>
      <c r="AE56" s="261" t="s">
        <v>1958</v>
      </c>
      <c r="AF56" s="221" t="s">
        <v>1954</v>
      </c>
      <c r="AG56" s="221"/>
      <c r="AH56" s="261" t="s">
        <v>1663</v>
      </c>
      <c r="AI56" s="190"/>
    </row>
    <row r="57" ht="408.75" customHeight="1">
      <c r="A57" s="190"/>
      <c r="B57" s="216" t="s">
        <v>158</v>
      </c>
      <c r="C57" s="216" t="s">
        <v>371</v>
      </c>
      <c r="D57" s="216" t="s">
        <v>372</v>
      </c>
      <c r="E57" s="216" t="s">
        <v>373</v>
      </c>
      <c r="F57" s="244"/>
      <c r="G57" s="244"/>
      <c r="H57" s="266"/>
      <c r="I57" s="245"/>
      <c r="J57" s="216" t="s">
        <v>1959</v>
      </c>
      <c r="K57" s="216" t="s">
        <v>383</v>
      </c>
      <c r="L57" s="208" t="s">
        <v>307</v>
      </c>
      <c r="M57" s="208" t="s">
        <v>973</v>
      </c>
      <c r="N57" s="209" t="s">
        <v>1651</v>
      </c>
      <c r="O57" s="209"/>
      <c r="P57" s="209" t="s">
        <v>22</v>
      </c>
      <c r="Q57" s="209"/>
      <c r="R57" s="209"/>
      <c r="S57" s="232"/>
      <c r="T57" s="235" t="s">
        <v>1960</v>
      </c>
      <c r="U57" s="147" t="s">
        <v>1175</v>
      </c>
      <c r="V57" s="220" t="s">
        <v>1176</v>
      </c>
      <c r="W57" s="220" t="s">
        <v>1177</v>
      </c>
      <c r="X57" s="262" t="s">
        <v>1178</v>
      </c>
      <c r="Y57" s="220"/>
      <c r="Z57" s="234" t="s">
        <v>1658</v>
      </c>
      <c r="AA57" s="213" t="s">
        <v>1168</v>
      </c>
      <c r="AB57" s="213" t="s">
        <v>1169</v>
      </c>
      <c r="AC57" s="220" t="s">
        <v>1961</v>
      </c>
      <c r="AD57" s="220" t="s">
        <v>1962</v>
      </c>
      <c r="AE57" s="221" t="s">
        <v>1963</v>
      </c>
      <c r="AF57" s="221" t="s">
        <v>1954</v>
      </c>
      <c r="AG57" s="221"/>
      <c r="AH57" s="221" t="s">
        <v>1663</v>
      </c>
      <c r="AI57" s="190"/>
    </row>
    <row r="58" ht="408.75" customHeight="1">
      <c r="A58" s="190"/>
      <c r="B58" s="205" t="s">
        <v>158</v>
      </c>
      <c r="C58" s="205" t="s">
        <v>384</v>
      </c>
      <c r="D58" s="205" t="s">
        <v>385</v>
      </c>
      <c r="E58" s="205" t="s">
        <v>386</v>
      </c>
      <c r="F58" s="206" t="s">
        <v>1964</v>
      </c>
      <c r="G58" s="206" t="s">
        <v>1965</v>
      </c>
      <c r="H58" s="206" t="s">
        <v>1966</v>
      </c>
      <c r="I58" s="207" t="s">
        <v>1967</v>
      </c>
      <c r="J58" s="205" t="s">
        <v>1968</v>
      </c>
      <c r="K58" s="267" t="s">
        <v>388</v>
      </c>
      <c r="L58" s="208" t="s">
        <v>22</v>
      </c>
      <c r="M58" s="208" t="s">
        <v>22</v>
      </c>
      <c r="N58" s="209" t="s">
        <v>1651</v>
      </c>
      <c r="O58" s="209"/>
      <c r="P58" s="209" t="s">
        <v>22</v>
      </c>
      <c r="Q58" s="209"/>
      <c r="R58" s="209"/>
      <c r="S58" s="232"/>
      <c r="T58" s="211" t="s">
        <v>1652</v>
      </c>
      <c r="U58" s="147" t="s">
        <v>1179</v>
      </c>
      <c r="V58" s="147" t="s">
        <v>1180</v>
      </c>
      <c r="W58" s="147" t="s">
        <v>1181</v>
      </c>
      <c r="X58" s="177" t="s">
        <v>1182</v>
      </c>
      <c r="Y58" s="147"/>
      <c r="Z58" s="234" t="s">
        <v>1653</v>
      </c>
      <c r="AA58" s="213" t="s">
        <v>1021</v>
      </c>
      <c r="AB58" s="213" t="s">
        <v>1022</v>
      </c>
      <c r="AC58" s="147" t="s">
        <v>1654</v>
      </c>
      <c r="AD58" s="213" t="s">
        <v>1952</v>
      </c>
      <c r="AE58" s="214" t="s">
        <v>1654</v>
      </c>
      <c r="AF58" s="214" t="s">
        <v>1654</v>
      </c>
      <c r="AG58" s="215"/>
      <c r="AH58" s="215" t="s">
        <v>1655</v>
      </c>
      <c r="AI58" s="190"/>
    </row>
    <row r="59" ht="408.75" customHeight="1">
      <c r="A59" s="190"/>
      <c r="B59" s="216" t="s">
        <v>158</v>
      </c>
      <c r="C59" s="216" t="s">
        <v>384</v>
      </c>
      <c r="D59" s="216" t="s">
        <v>385</v>
      </c>
      <c r="E59" s="216" t="s">
        <v>386</v>
      </c>
      <c r="F59" s="217"/>
      <c r="G59" s="217"/>
      <c r="H59" s="217"/>
      <c r="I59" s="218"/>
      <c r="J59" s="216" t="s">
        <v>1969</v>
      </c>
      <c r="K59" s="216" t="s">
        <v>392</v>
      </c>
      <c r="L59" s="240" t="s">
        <v>307</v>
      </c>
      <c r="M59" s="252" t="s">
        <v>22</v>
      </c>
      <c r="N59" s="209" t="s">
        <v>1651</v>
      </c>
      <c r="O59" s="209"/>
      <c r="P59" s="209" t="s">
        <v>22</v>
      </c>
      <c r="Q59" s="209"/>
      <c r="R59" s="209"/>
      <c r="S59" s="243"/>
      <c r="T59" s="268"/>
      <c r="U59" s="269" t="s">
        <v>1183</v>
      </c>
      <c r="V59" s="220" t="s">
        <v>1184</v>
      </c>
      <c r="W59" s="220" t="s">
        <v>1185</v>
      </c>
      <c r="X59" s="262" t="s">
        <v>1186</v>
      </c>
      <c r="Y59" s="220"/>
      <c r="Z59" s="234" t="s">
        <v>1715</v>
      </c>
      <c r="AA59" s="213" t="s">
        <v>1021</v>
      </c>
      <c r="AB59" s="213" t="s">
        <v>1022</v>
      </c>
      <c r="AC59" s="220" t="s">
        <v>1970</v>
      </c>
      <c r="AD59" s="213" t="s">
        <v>1952</v>
      </c>
      <c r="AE59" s="261" t="s">
        <v>1971</v>
      </c>
      <c r="AF59" s="221" t="s">
        <v>1972</v>
      </c>
      <c r="AG59" s="270"/>
      <c r="AH59" s="271" t="s">
        <v>1663</v>
      </c>
      <c r="AI59" s="190"/>
    </row>
    <row r="60" ht="408.75" customHeight="1">
      <c r="A60" s="190"/>
      <c r="B60" s="205" t="s">
        <v>158</v>
      </c>
      <c r="C60" s="205" t="s">
        <v>384</v>
      </c>
      <c r="D60" s="205" t="s">
        <v>385</v>
      </c>
      <c r="E60" s="205" t="s">
        <v>386</v>
      </c>
      <c r="F60" s="222"/>
      <c r="G60" s="222"/>
      <c r="H60" s="222"/>
      <c r="I60" s="223"/>
      <c r="J60" s="205" t="s">
        <v>1973</v>
      </c>
      <c r="K60" s="267" t="s">
        <v>394</v>
      </c>
      <c r="L60" s="208" t="s">
        <v>22</v>
      </c>
      <c r="M60" s="208" t="s">
        <v>22</v>
      </c>
      <c r="N60" s="219"/>
      <c r="O60" s="219"/>
      <c r="P60" s="219" t="s">
        <v>22</v>
      </c>
      <c r="Q60" s="219"/>
      <c r="R60" s="219"/>
      <c r="S60" s="232"/>
      <c r="T60" s="211" t="s">
        <v>1652</v>
      </c>
      <c r="U60" s="147" t="s">
        <v>1187</v>
      </c>
      <c r="V60" s="147" t="s">
        <v>1180</v>
      </c>
      <c r="W60" s="147" t="s">
        <v>1181</v>
      </c>
      <c r="X60" s="147" t="s">
        <v>1188</v>
      </c>
      <c r="Y60" s="147"/>
      <c r="Z60" s="234" t="s">
        <v>1804</v>
      </c>
      <c r="AA60" s="213" t="s">
        <v>1021</v>
      </c>
      <c r="AB60" s="213" t="s">
        <v>1022</v>
      </c>
      <c r="AC60" s="147" t="s">
        <v>1654</v>
      </c>
      <c r="AD60" s="147" t="s">
        <v>1654</v>
      </c>
      <c r="AE60" s="214" t="s">
        <v>1654</v>
      </c>
      <c r="AF60" s="214" t="s">
        <v>1654</v>
      </c>
      <c r="AG60" s="215"/>
      <c r="AH60" s="215" t="s">
        <v>1655</v>
      </c>
      <c r="AI60" s="190"/>
    </row>
    <row r="61" ht="408.75" customHeight="1">
      <c r="A61" s="190"/>
      <c r="B61" s="216" t="s">
        <v>158</v>
      </c>
      <c r="C61" s="216" t="s">
        <v>395</v>
      </c>
      <c r="D61" s="216" t="s">
        <v>396</v>
      </c>
      <c r="E61" s="216" t="s">
        <v>397</v>
      </c>
      <c r="F61" s="236" t="s">
        <v>1964</v>
      </c>
      <c r="G61" s="236" t="s">
        <v>1974</v>
      </c>
      <c r="H61" s="236" t="s">
        <v>1975</v>
      </c>
      <c r="I61" s="239" t="s">
        <v>1976</v>
      </c>
      <c r="J61" s="216" t="s">
        <v>1977</v>
      </c>
      <c r="K61" s="216" t="s">
        <v>399</v>
      </c>
      <c r="L61" s="208" t="s">
        <v>307</v>
      </c>
      <c r="M61" s="208" t="s">
        <v>974</v>
      </c>
      <c r="N61" s="209" t="s">
        <v>1651</v>
      </c>
      <c r="O61" s="209"/>
      <c r="P61" s="209" t="s">
        <v>22</v>
      </c>
      <c r="Q61" s="209"/>
      <c r="R61" s="209"/>
      <c r="S61" s="246"/>
      <c r="T61" s="235" t="s">
        <v>1978</v>
      </c>
      <c r="U61" s="235" t="s">
        <v>1979</v>
      </c>
      <c r="V61" s="220" t="s">
        <v>1190</v>
      </c>
      <c r="W61" s="220" t="s">
        <v>1191</v>
      </c>
      <c r="X61" s="220" t="s">
        <v>1192</v>
      </c>
      <c r="Y61" s="220"/>
      <c r="Z61" s="234" t="s">
        <v>1653</v>
      </c>
      <c r="AA61" s="213" t="s">
        <v>1021</v>
      </c>
      <c r="AB61" s="213" t="s">
        <v>1022</v>
      </c>
      <c r="AC61" s="220" t="s">
        <v>1980</v>
      </c>
      <c r="AD61" s="213" t="s">
        <v>1952</v>
      </c>
      <c r="AE61" s="221" t="s">
        <v>1981</v>
      </c>
      <c r="AF61" s="221" t="s">
        <v>1972</v>
      </c>
      <c r="AG61" s="221"/>
      <c r="AH61" s="221" t="s">
        <v>1663</v>
      </c>
      <c r="AI61" s="190"/>
    </row>
    <row r="62" ht="408.75" customHeight="1">
      <c r="A62" s="190"/>
      <c r="B62" s="205" t="s">
        <v>158</v>
      </c>
      <c r="C62" s="205" t="s">
        <v>402</v>
      </c>
      <c r="D62" s="205" t="s">
        <v>403</v>
      </c>
      <c r="E62" s="205" t="s">
        <v>404</v>
      </c>
      <c r="F62" s="236" t="s">
        <v>1964</v>
      </c>
      <c r="G62" s="236" t="s">
        <v>1982</v>
      </c>
      <c r="H62" s="236" t="s">
        <v>403</v>
      </c>
      <c r="I62" s="239" t="s">
        <v>1983</v>
      </c>
      <c r="J62" s="205" t="s">
        <v>1984</v>
      </c>
      <c r="K62" s="205" t="s">
        <v>406</v>
      </c>
      <c r="L62" s="208" t="s">
        <v>22</v>
      </c>
      <c r="M62" s="208" t="s">
        <v>22</v>
      </c>
      <c r="N62" s="209" t="s">
        <v>1651</v>
      </c>
      <c r="O62" s="209"/>
      <c r="P62" s="209" t="s">
        <v>22</v>
      </c>
      <c r="Q62" s="209"/>
      <c r="R62" s="209"/>
      <c r="S62" s="231"/>
      <c r="T62" s="211" t="s">
        <v>1652</v>
      </c>
      <c r="U62" s="205" t="s">
        <v>1193</v>
      </c>
      <c r="V62" s="147" t="s">
        <v>1194</v>
      </c>
      <c r="W62" s="147" t="s">
        <v>1195</v>
      </c>
      <c r="X62" s="177" t="s">
        <v>1196</v>
      </c>
      <c r="Y62" s="147"/>
      <c r="Z62" s="234" t="s">
        <v>1653</v>
      </c>
      <c r="AA62" s="213" t="s">
        <v>1021</v>
      </c>
      <c r="AB62" s="213" t="s">
        <v>1022</v>
      </c>
      <c r="AC62" s="147" t="s">
        <v>1654</v>
      </c>
      <c r="AD62" s="147" t="s">
        <v>1654</v>
      </c>
      <c r="AE62" s="214" t="s">
        <v>1654</v>
      </c>
      <c r="AF62" s="214" t="s">
        <v>1654</v>
      </c>
      <c r="AG62" s="215"/>
      <c r="AH62" s="215" t="s">
        <v>1655</v>
      </c>
      <c r="AI62" s="190"/>
    </row>
    <row r="63" ht="408.75" customHeight="1">
      <c r="A63" s="190"/>
      <c r="B63" s="216" t="s">
        <v>158</v>
      </c>
      <c r="C63" s="216" t="s">
        <v>408</v>
      </c>
      <c r="D63" s="216" t="s">
        <v>409</v>
      </c>
      <c r="E63" s="216" t="s">
        <v>410</v>
      </c>
      <c r="F63" s="206" t="s">
        <v>1964</v>
      </c>
      <c r="G63" s="206" t="s">
        <v>1985</v>
      </c>
      <c r="H63" s="206" t="s">
        <v>1986</v>
      </c>
      <c r="I63" s="207" t="s">
        <v>1987</v>
      </c>
      <c r="J63" s="216" t="s">
        <v>1988</v>
      </c>
      <c r="K63" s="216" t="s">
        <v>412</v>
      </c>
      <c r="L63" s="252" t="s">
        <v>307</v>
      </c>
      <c r="M63" s="252" t="s">
        <v>22</v>
      </c>
      <c r="N63" s="209" t="s">
        <v>1651</v>
      </c>
      <c r="O63" s="209"/>
      <c r="P63" s="209" t="s">
        <v>22</v>
      </c>
      <c r="Q63" s="209"/>
      <c r="R63" s="209"/>
      <c r="S63" s="231"/>
      <c r="T63" s="246"/>
      <c r="U63" s="205" t="s">
        <v>1989</v>
      </c>
      <c r="V63" s="220" t="s">
        <v>1198</v>
      </c>
      <c r="W63" s="220" t="s">
        <v>1199</v>
      </c>
      <c r="X63" s="220" t="s">
        <v>1200</v>
      </c>
      <c r="Y63" s="220"/>
      <c r="Z63" s="234" t="s">
        <v>1715</v>
      </c>
      <c r="AA63" s="213" t="s">
        <v>1021</v>
      </c>
      <c r="AB63" s="213" t="s">
        <v>1022</v>
      </c>
      <c r="AC63" s="220" t="s">
        <v>1990</v>
      </c>
      <c r="AD63" s="213" t="s">
        <v>1991</v>
      </c>
      <c r="AE63" s="221" t="s">
        <v>1992</v>
      </c>
      <c r="AF63" s="221" t="s">
        <v>1972</v>
      </c>
      <c r="AG63" s="270"/>
      <c r="AH63" s="270" t="s">
        <v>1663</v>
      </c>
      <c r="AI63" s="190"/>
    </row>
    <row r="64" ht="408.75" customHeight="1">
      <c r="A64" s="190"/>
      <c r="B64" s="216" t="s">
        <v>158</v>
      </c>
      <c r="C64" s="216" t="s">
        <v>408</v>
      </c>
      <c r="D64" s="216" t="s">
        <v>409</v>
      </c>
      <c r="E64" s="216" t="s">
        <v>410</v>
      </c>
      <c r="F64" s="217"/>
      <c r="G64" s="217"/>
      <c r="H64" s="217"/>
      <c r="I64" s="218"/>
      <c r="J64" s="216" t="s">
        <v>414</v>
      </c>
      <c r="K64" s="220" t="s">
        <v>415</v>
      </c>
      <c r="L64" s="208" t="s">
        <v>307</v>
      </c>
      <c r="M64" s="208" t="s">
        <v>974</v>
      </c>
      <c r="N64" s="209" t="s">
        <v>1651</v>
      </c>
      <c r="O64" s="209"/>
      <c r="P64" s="209" t="s">
        <v>22</v>
      </c>
      <c r="Q64" s="209"/>
      <c r="R64" s="209"/>
      <c r="S64" s="232"/>
      <c r="T64" s="235" t="s">
        <v>1993</v>
      </c>
      <c r="U64" s="147" t="s">
        <v>1994</v>
      </c>
      <c r="V64" s="220" t="s">
        <v>1202</v>
      </c>
      <c r="W64" s="220" t="s">
        <v>1203</v>
      </c>
      <c r="X64" s="220" t="s">
        <v>1204</v>
      </c>
      <c r="Y64" s="220"/>
      <c r="Z64" s="234" t="s">
        <v>1995</v>
      </c>
      <c r="AA64" s="213" t="s">
        <v>1021</v>
      </c>
      <c r="AB64" s="213" t="s">
        <v>1022</v>
      </c>
      <c r="AC64" s="220" t="s">
        <v>1996</v>
      </c>
      <c r="AD64" s="213" t="s">
        <v>1997</v>
      </c>
      <c r="AE64" s="221" t="s">
        <v>1998</v>
      </c>
      <c r="AF64" s="221" t="s">
        <v>1999</v>
      </c>
      <c r="AG64" s="221"/>
      <c r="AH64" s="221" t="s">
        <v>1663</v>
      </c>
      <c r="AI64" s="190"/>
    </row>
    <row r="65" ht="408.75" customHeight="1">
      <c r="A65" s="190"/>
      <c r="B65" s="216" t="s">
        <v>158</v>
      </c>
      <c r="C65" s="216" t="s">
        <v>408</v>
      </c>
      <c r="D65" s="216" t="s">
        <v>409</v>
      </c>
      <c r="E65" s="216" t="s">
        <v>410</v>
      </c>
      <c r="F65" s="222"/>
      <c r="G65" s="222"/>
      <c r="H65" s="222"/>
      <c r="I65" s="223"/>
      <c r="J65" s="216" t="s">
        <v>416</v>
      </c>
      <c r="K65" s="216" t="s">
        <v>417</v>
      </c>
      <c r="L65" s="208" t="s">
        <v>307</v>
      </c>
      <c r="M65" s="208" t="s">
        <v>974</v>
      </c>
      <c r="N65" s="209" t="s">
        <v>1651</v>
      </c>
      <c r="O65" s="209"/>
      <c r="P65" s="209" t="s">
        <v>22</v>
      </c>
      <c r="Q65" s="209"/>
      <c r="R65" s="209"/>
      <c r="S65" s="232"/>
      <c r="T65" s="235" t="s">
        <v>2000</v>
      </c>
      <c r="U65" s="147" t="s">
        <v>1205</v>
      </c>
      <c r="V65" s="220" t="s">
        <v>1206</v>
      </c>
      <c r="W65" s="220" t="s">
        <v>1207</v>
      </c>
      <c r="X65" s="220" t="s">
        <v>1208</v>
      </c>
      <c r="Y65" s="220"/>
      <c r="Z65" s="234" t="s">
        <v>1715</v>
      </c>
      <c r="AA65" s="213" t="s">
        <v>1021</v>
      </c>
      <c r="AB65" s="213" t="s">
        <v>1022</v>
      </c>
      <c r="AC65" s="220" t="s">
        <v>2001</v>
      </c>
      <c r="AD65" s="213" t="s">
        <v>2002</v>
      </c>
      <c r="AE65" s="221" t="s">
        <v>2003</v>
      </c>
      <c r="AF65" s="221" t="s">
        <v>1726</v>
      </c>
      <c r="AG65" s="221"/>
      <c r="AH65" s="221" t="s">
        <v>1663</v>
      </c>
      <c r="AI65" s="190"/>
    </row>
    <row r="66" ht="408.75" customHeight="1">
      <c r="A66" s="190"/>
      <c r="B66" s="216" t="s">
        <v>158</v>
      </c>
      <c r="C66" s="216" t="s">
        <v>418</v>
      </c>
      <c r="D66" s="216" t="s">
        <v>419</v>
      </c>
      <c r="E66" s="216" t="s">
        <v>420</v>
      </c>
      <c r="F66" s="206" t="s">
        <v>1964</v>
      </c>
      <c r="G66" s="206" t="s">
        <v>2004</v>
      </c>
      <c r="H66" s="206" t="s">
        <v>419</v>
      </c>
      <c r="I66" s="207" t="s">
        <v>2005</v>
      </c>
      <c r="J66" s="216" t="s">
        <v>2006</v>
      </c>
      <c r="K66" s="216" t="s">
        <v>422</v>
      </c>
      <c r="L66" s="252" t="s">
        <v>307</v>
      </c>
      <c r="M66" s="252" t="s">
        <v>973</v>
      </c>
      <c r="N66" s="209" t="s">
        <v>1651</v>
      </c>
      <c r="O66" s="209"/>
      <c r="P66" s="209" t="s">
        <v>22</v>
      </c>
      <c r="Q66" s="209"/>
      <c r="R66" s="209"/>
      <c r="S66" s="232"/>
      <c r="T66" s="272" t="s">
        <v>2007</v>
      </c>
      <c r="U66" s="233" t="s">
        <v>1209</v>
      </c>
      <c r="V66" s="220" t="s">
        <v>1210</v>
      </c>
      <c r="W66" s="220" t="s">
        <v>1211</v>
      </c>
      <c r="X66" s="220" t="s">
        <v>1212</v>
      </c>
      <c r="Y66" s="220"/>
      <c r="Z66" s="234" t="s">
        <v>2008</v>
      </c>
      <c r="AA66" s="213" t="s">
        <v>2009</v>
      </c>
      <c r="AB66" s="213" t="s">
        <v>2010</v>
      </c>
      <c r="AC66" s="220" t="s">
        <v>2011</v>
      </c>
      <c r="AD66" s="220" t="s">
        <v>2012</v>
      </c>
      <c r="AE66" s="221" t="s">
        <v>2013</v>
      </c>
      <c r="AF66" s="221" t="s">
        <v>1747</v>
      </c>
      <c r="AG66" s="221"/>
      <c r="AH66" s="221" t="s">
        <v>1663</v>
      </c>
      <c r="AI66" s="190"/>
    </row>
    <row r="67" ht="408.75" customHeight="1">
      <c r="A67" s="190"/>
      <c r="B67" s="216" t="s">
        <v>158</v>
      </c>
      <c r="C67" s="216" t="s">
        <v>418</v>
      </c>
      <c r="D67" s="216" t="s">
        <v>419</v>
      </c>
      <c r="E67" s="216" t="s">
        <v>420</v>
      </c>
      <c r="F67" s="222"/>
      <c r="G67" s="222"/>
      <c r="H67" s="222"/>
      <c r="I67" s="223"/>
      <c r="J67" s="216" t="s">
        <v>2014</v>
      </c>
      <c r="K67" s="216" t="s">
        <v>425</v>
      </c>
      <c r="L67" s="208" t="s">
        <v>307</v>
      </c>
      <c r="M67" s="208" t="s">
        <v>974</v>
      </c>
      <c r="N67" s="209" t="s">
        <v>1651</v>
      </c>
      <c r="O67" s="209"/>
      <c r="P67" s="209" t="s">
        <v>22</v>
      </c>
      <c r="Q67" s="209"/>
      <c r="R67" s="209"/>
      <c r="S67" s="232"/>
      <c r="T67" s="235" t="s">
        <v>2015</v>
      </c>
      <c r="U67" s="147" t="s">
        <v>1215</v>
      </c>
      <c r="V67" s="220" t="s">
        <v>1216</v>
      </c>
      <c r="W67" s="220" t="s">
        <v>1217</v>
      </c>
      <c r="X67" s="220" t="s">
        <v>1218</v>
      </c>
      <c r="Y67" s="220"/>
      <c r="Z67" s="234" t="s">
        <v>2016</v>
      </c>
      <c r="AA67" s="213" t="s">
        <v>2017</v>
      </c>
      <c r="AB67" s="213" t="s">
        <v>2018</v>
      </c>
      <c r="AC67" s="220" t="s">
        <v>2019</v>
      </c>
      <c r="AD67" s="220" t="s">
        <v>2020</v>
      </c>
      <c r="AE67" s="221" t="s">
        <v>2021</v>
      </c>
      <c r="AF67" s="221" t="s">
        <v>2022</v>
      </c>
      <c r="AG67" s="221"/>
      <c r="AH67" s="221" t="s">
        <v>1663</v>
      </c>
      <c r="AI67" s="190" t="s">
        <v>2023</v>
      </c>
    </row>
    <row r="68" ht="408.75" customHeight="1">
      <c r="A68" s="190"/>
      <c r="B68" s="216" t="s">
        <v>158</v>
      </c>
      <c r="C68" s="216" t="s">
        <v>426</v>
      </c>
      <c r="D68" s="216" t="s">
        <v>427</v>
      </c>
      <c r="E68" s="216" t="s">
        <v>428</v>
      </c>
      <c r="F68" s="206" t="s">
        <v>2024</v>
      </c>
      <c r="G68" s="236" t="s">
        <v>2025</v>
      </c>
      <c r="H68" s="236" t="s">
        <v>2026</v>
      </c>
      <c r="I68" s="239" t="s">
        <v>2027</v>
      </c>
      <c r="J68" s="216" t="s">
        <v>2028</v>
      </c>
      <c r="K68" s="216" t="s">
        <v>430</v>
      </c>
      <c r="L68" s="208" t="s">
        <v>1684</v>
      </c>
      <c r="M68" s="208" t="s">
        <v>973</v>
      </c>
      <c r="N68" s="209" t="s">
        <v>1651</v>
      </c>
      <c r="O68" s="209"/>
      <c r="P68" s="209" t="s">
        <v>22</v>
      </c>
      <c r="Q68" s="209"/>
      <c r="R68" s="209"/>
      <c r="S68" s="232"/>
      <c r="T68" s="235" t="s">
        <v>2029</v>
      </c>
      <c r="U68" s="147" t="s">
        <v>1221</v>
      </c>
      <c r="V68" s="220" t="s">
        <v>990</v>
      </c>
      <c r="W68" s="220" t="s">
        <v>1222</v>
      </c>
      <c r="X68" s="220" t="s">
        <v>1223</v>
      </c>
      <c r="Y68" s="220"/>
      <c r="Z68" s="234" t="s">
        <v>2030</v>
      </c>
      <c r="AA68" s="213" t="s">
        <v>2031</v>
      </c>
      <c r="AB68" s="213" t="s">
        <v>2018</v>
      </c>
      <c r="AC68" s="220" t="s">
        <v>2032</v>
      </c>
      <c r="AD68" s="213" t="s">
        <v>2033</v>
      </c>
      <c r="AE68" s="221" t="s">
        <v>2034</v>
      </c>
      <c r="AF68" s="221" t="s">
        <v>1747</v>
      </c>
      <c r="AG68" s="221"/>
      <c r="AH68" s="221" t="s">
        <v>1663</v>
      </c>
      <c r="AI68" s="190"/>
    </row>
    <row r="69" ht="408.75" customHeight="1">
      <c r="A69" s="190"/>
      <c r="B69" s="216" t="s">
        <v>158</v>
      </c>
      <c r="C69" s="216" t="s">
        <v>426</v>
      </c>
      <c r="D69" s="216" t="s">
        <v>427</v>
      </c>
      <c r="E69" s="216" t="s">
        <v>428</v>
      </c>
      <c r="F69" s="217"/>
      <c r="G69" s="236" t="s">
        <v>2035</v>
      </c>
      <c r="H69" s="236" t="s">
        <v>2036</v>
      </c>
      <c r="I69" s="237" t="s">
        <v>2037</v>
      </c>
      <c r="J69" s="216" t="s">
        <v>2038</v>
      </c>
      <c r="K69" s="250" t="s">
        <v>2039</v>
      </c>
      <c r="L69" s="208" t="s">
        <v>1684</v>
      </c>
      <c r="M69" s="208" t="s">
        <v>973</v>
      </c>
      <c r="N69" s="209" t="s">
        <v>1651</v>
      </c>
      <c r="O69" s="209"/>
      <c r="P69" s="209" t="s">
        <v>22</v>
      </c>
      <c r="Q69" s="209"/>
      <c r="R69" s="209"/>
      <c r="S69" s="232"/>
      <c r="T69" s="235" t="s">
        <v>2040</v>
      </c>
      <c r="U69" s="147" t="s">
        <v>1226</v>
      </c>
      <c r="V69" s="220" t="s">
        <v>990</v>
      </c>
      <c r="W69" s="220" t="s">
        <v>1222</v>
      </c>
      <c r="X69" s="220" t="s">
        <v>1227</v>
      </c>
      <c r="Y69" s="220" t="s">
        <v>1714</v>
      </c>
      <c r="Z69" s="234" t="s">
        <v>2030</v>
      </c>
      <c r="AA69" s="213" t="s">
        <v>2031</v>
      </c>
      <c r="AB69" s="213" t="s">
        <v>2018</v>
      </c>
      <c r="AC69" s="220" t="s">
        <v>2041</v>
      </c>
      <c r="AD69" s="213" t="s">
        <v>2042</v>
      </c>
      <c r="AE69" s="221" t="s">
        <v>2043</v>
      </c>
      <c r="AF69" s="221" t="s">
        <v>1747</v>
      </c>
      <c r="AG69" s="221"/>
      <c r="AH69" s="221" t="s">
        <v>1663</v>
      </c>
      <c r="AI69" s="190"/>
    </row>
    <row r="70" ht="408.75" customHeight="1">
      <c r="A70" s="190"/>
      <c r="B70" s="216" t="s">
        <v>158</v>
      </c>
      <c r="C70" s="216" t="s">
        <v>426</v>
      </c>
      <c r="D70" s="216" t="s">
        <v>427</v>
      </c>
      <c r="E70" s="216" t="s">
        <v>428</v>
      </c>
      <c r="F70" s="222"/>
      <c r="G70" s="236" t="s">
        <v>2044</v>
      </c>
      <c r="H70" s="236" t="s">
        <v>2045</v>
      </c>
      <c r="I70" s="237" t="s">
        <v>2046</v>
      </c>
      <c r="J70" s="216" t="s">
        <v>435</v>
      </c>
      <c r="K70" s="250" t="s">
        <v>2047</v>
      </c>
      <c r="L70" s="208" t="s">
        <v>1684</v>
      </c>
      <c r="M70" s="208" t="s">
        <v>973</v>
      </c>
      <c r="N70" s="209" t="s">
        <v>1651</v>
      </c>
      <c r="O70" s="209"/>
      <c r="P70" s="209" t="s">
        <v>22</v>
      </c>
      <c r="Q70" s="209"/>
      <c r="R70" s="209"/>
      <c r="S70" s="232"/>
      <c r="T70" s="235" t="s">
        <v>2048</v>
      </c>
      <c r="U70" s="233" t="s">
        <v>1228</v>
      </c>
      <c r="V70" s="220" t="s">
        <v>990</v>
      </c>
      <c r="W70" s="220" t="s">
        <v>1222</v>
      </c>
      <c r="X70" s="220" t="s">
        <v>1229</v>
      </c>
      <c r="Y70" s="220"/>
      <c r="Z70" s="234" t="s">
        <v>2049</v>
      </c>
      <c r="AA70" s="213" t="s">
        <v>2031</v>
      </c>
      <c r="AB70" s="213" t="s">
        <v>2018</v>
      </c>
      <c r="AC70" s="220" t="s">
        <v>2050</v>
      </c>
      <c r="AD70" s="213" t="s">
        <v>2051</v>
      </c>
      <c r="AE70" s="221" t="s">
        <v>2052</v>
      </c>
      <c r="AF70" s="221" t="s">
        <v>1747</v>
      </c>
      <c r="AG70" s="221"/>
      <c r="AH70" s="221" t="s">
        <v>1663</v>
      </c>
      <c r="AI70" s="190"/>
    </row>
    <row r="71" ht="408.75" customHeight="1">
      <c r="A71" s="190"/>
      <c r="B71" s="216" t="s">
        <v>158</v>
      </c>
      <c r="C71" s="216" t="s">
        <v>437</v>
      </c>
      <c r="D71" s="216" t="s">
        <v>438</v>
      </c>
      <c r="E71" s="216" t="s">
        <v>439</v>
      </c>
      <c r="F71" s="244"/>
      <c r="G71" s="244"/>
      <c r="H71" s="263" t="s">
        <v>1939</v>
      </c>
      <c r="I71" s="273"/>
      <c r="J71" s="220" t="s">
        <v>440</v>
      </c>
      <c r="K71" s="220" t="s">
        <v>441</v>
      </c>
      <c r="L71" s="208" t="s">
        <v>1684</v>
      </c>
      <c r="M71" s="208" t="s">
        <v>973</v>
      </c>
      <c r="N71" s="209" t="s">
        <v>1651</v>
      </c>
      <c r="O71" s="209"/>
      <c r="P71" s="209" t="s">
        <v>22</v>
      </c>
      <c r="Q71" s="209"/>
      <c r="R71" s="209"/>
      <c r="S71" s="232"/>
      <c r="T71" s="235" t="s">
        <v>2053</v>
      </c>
      <c r="U71" s="147" t="s">
        <v>1230</v>
      </c>
      <c r="V71" s="220" t="s">
        <v>1100</v>
      </c>
      <c r="W71" s="220" t="s">
        <v>1222</v>
      </c>
      <c r="X71" s="220" t="s">
        <v>1231</v>
      </c>
      <c r="Y71" s="220"/>
      <c r="Z71" s="234" t="s">
        <v>2030</v>
      </c>
      <c r="AA71" s="213" t="s">
        <v>2031</v>
      </c>
      <c r="AB71" s="213" t="s">
        <v>2018</v>
      </c>
      <c r="AC71" s="220" t="s">
        <v>2054</v>
      </c>
      <c r="AD71" s="213" t="s">
        <v>2033</v>
      </c>
      <c r="AE71" s="221" t="s">
        <v>2055</v>
      </c>
      <c r="AF71" s="221" t="s">
        <v>1747</v>
      </c>
      <c r="AG71" s="221"/>
      <c r="AH71" s="221" t="s">
        <v>1663</v>
      </c>
      <c r="AI71" s="190"/>
    </row>
    <row r="72" ht="408.75" customHeight="1">
      <c r="A72" s="190"/>
      <c r="B72" s="216" t="s">
        <v>158</v>
      </c>
      <c r="C72" s="216" t="s">
        <v>437</v>
      </c>
      <c r="D72" s="216" t="s">
        <v>438</v>
      </c>
      <c r="E72" s="216" t="s">
        <v>439</v>
      </c>
      <c r="F72" s="244"/>
      <c r="G72" s="244"/>
      <c r="H72" s="265"/>
      <c r="I72" s="273"/>
      <c r="J72" s="220" t="s">
        <v>444</v>
      </c>
      <c r="K72" s="220" t="s">
        <v>445</v>
      </c>
      <c r="L72" s="208" t="s">
        <v>1684</v>
      </c>
      <c r="M72" s="208" t="s">
        <v>973</v>
      </c>
      <c r="N72" s="209" t="s">
        <v>1651</v>
      </c>
      <c r="O72" s="209"/>
      <c r="P72" s="209" t="s">
        <v>22</v>
      </c>
      <c r="Q72" s="209"/>
      <c r="R72" s="209"/>
      <c r="S72" s="232"/>
      <c r="T72" s="235" t="s">
        <v>2056</v>
      </c>
      <c r="U72" s="147" t="s">
        <v>1234</v>
      </c>
      <c r="V72" s="220" t="s">
        <v>990</v>
      </c>
      <c r="W72" s="220" t="s">
        <v>1222</v>
      </c>
      <c r="X72" s="220" t="s">
        <v>1235</v>
      </c>
      <c r="Y72" s="220"/>
      <c r="Z72" s="234" t="s">
        <v>2030</v>
      </c>
      <c r="AA72" s="213" t="s">
        <v>2031</v>
      </c>
      <c r="AB72" s="213" t="s">
        <v>2018</v>
      </c>
      <c r="AC72" s="220" t="s">
        <v>2057</v>
      </c>
      <c r="AD72" s="213" t="s">
        <v>2033</v>
      </c>
      <c r="AE72" s="221" t="s">
        <v>2058</v>
      </c>
      <c r="AF72" s="221" t="s">
        <v>1747</v>
      </c>
      <c r="AG72" s="221"/>
      <c r="AH72" s="221" t="s">
        <v>1663</v>
      </c>
      <c r="AI72" s="190"/>
    </row>
    <row r="73" ht="408.75" customHeight="1">
      <c r="A73" s="190"/>
      <c r="B73" s="216" t="s">
        <v>158</v>
      </c>
      <c r="C73" s="216" t="s">
        <v>437</v>
      </c>
      <c r="D73" s="216" t="s">
        <v>438</v>
      </c>
      <c r="E73" s="216" t="s">
        <v>439</v>
      </c>
      <c r="F73" s="244"/>
      <c r="G73" s="244"/>
      <c r="H73" s="266"/>
      <c r="I73" s="274"/>
      <c r="J73" s="220" t="s">
        <v>446</v>
      </c>
      <c r="K73" s="220" t="s">
        <v>447</v>
      </c>
      <c r="L73" s="208" t="s">
        <v>1684</v>
      </c>
      <c r="M73" s="208" t="s">
        <v>973</v>
      </c>
      <c r="N73" s="209" t="s">
        <v>1651</v>
      </c>
      <c r="O73" s="209"/>
      <c r="P73" s="209" t="s">
        <v>22</v>
      </c>
      <c r="Q73" s="209"/>
      <c r="R73" s="209"/>
      <c r="S73" s="232"/>
      <c r="T73" s="235" t="s">
        <v>2059</v>
      </c>
      <c r="U73" s="147" t="s">
        <v>1236</v>
      </c>
      <c r="V73" s="220" t="s">
        <v>1100</v>
      </c>
      <c r="W73" s="220" t="s">
        <v>1222</v>
      </c>
      <c r="X73" s="220" t="s">
        <v>1237</v>
      </c>
      <c r="Y73" s="220"/>
      <c r="Z73" s="234" t="s">
        <v>2030</v>
      </c>
      <c r="AA73" s="213" t="s">
        <v>2031</v>
      </c>
      <c r="AB73" s="213" t="s">
        <v>2018</v>
      </c>
      <c r="AC73" s="220" t="s">
        <v>2060</v>
      </c>
      <c r="AD73" s="213" t="s">
        <v>2033</v>
      </c>
      <c r="AE73" s="221" t="s">
        <v>2061</v>
      </c>
      <c r="AF73" s="221" t="s">
        <v>2062</v>
      </c>
      <c r="AG73" s="221"/>
      <c r="AH73" s="221" t="s">
        <v>1663</v>
      </c>
      <c r="AI73" s="190"/>
    </row>
    <row r="74" ht="408.75" customHeight="1">
      <c r="A74" s="190"/>
      <c r="B74" s="205" t="s">
        <v>158</v>
      </c>
      <c r="C74" s="205" t="s">
        <v>448</v>
      </c>
      <c r="D74" s="205" t="s">
        <v>449</v>
      </c>
      <c r="E74" s="205" t="s">
        <v>450</v>
      </c>
      <c r="F74" s="236" t="s">
        <v>2063</v>
      </c>
      <c r="G74" s="236" t="s">
        <v>2064</v>
      </c>
      <c r="H74" s="236" t="s">
        <v>449</v>
      </c>
      <c r="I74" s="239" t="s">
        <v>2065</v>
      </c>
      <c r="J74" s="205" t="s">
        <v>2066</v>
      </c>
      <c r="K74" s="205" t="s">
        <v>2067</v>
      </c>
      <c r="L74" s="208" t="s">
        <v>22</v>
      </c>
      <c r="M74" s="208" t="s">
        <v>22</v>
      </c>
      <c r="N74" s="209" t="s">
        <v>1651</v>
      </c>
      <c r="O74" s="209"/>
      <c r="P74" s="209" t="s">
        <v>22</v>
      </c>
      <c r="Q74" s="209"/>
      <c r="R74" s="209"/>
      <c r="S74" s="231"/>
      <c r="T74" s="211" t="s">
        <v>1652</v>
      </c>
      <c r="U74" s="205" t="s">
        <v>1239</v>
      </c>
      <c r="V74" s="147" t="s">
        <v>990</v>
      </c>
      <c r="W74" s="147" t="s">
        <v>1240</v>
      </c>
      <c r="X74" s="147" t="s">
        <v>1241</v>
      </c>
      <c r="Y74" s="147"/>
      <c r="Z74" s="234" t="s">
        <v>1653</v>
      </c>
      <c r="AA74" s="213" t="s">
        <v>993</v>
      </c>
      <c r="AB74" s="213" t="s">
        <v>994</v>
      </c>
      <c r="AC74" s="147" t="s">
        <v>1654</v>
      </c>
      <c r="AD74" s="147" t="s">
        <v>1654</v>
      </c>
      <c r="AE74" s="214" t="s">
        <v>1654</v>
      </c>
      <c r="AF74" s="214" t="s">
        <v>1654</v>
      </c>
      <c r="AG74" s="275"/>
      <c r="AH74" s="275" t="s">
        <v>1655</v>
      </c>
      <c r="AI74" s="190"/>
    </row>
    <row r="75" ht="408.75" customHeight="1">
      <c r="A75" s="190"/>
      <c r="B75" s="216" t="s">
        <v>158</v>
      </c>
      <c r="C75" s="216" t="s">
        <v>454</v>
      </c>
      <c r="D75" s="216" t="s">
        <v>455</v>
      </c>
      <c r="E75" s="216" t="s">
        <v>456</v>
      </c>
      <c r="F75" s="236" t="s">
        <v>2068</v>
      </c>
      <c r="G75" s="236" t="s">
        <v>2069</v>
      </c>
      <c r="H75" s="236" t="s">
        <v>455</v>
      </c>
      <c r="I75" s="239" t="s">
        <v>2070</v>
      </c>
      <c r="J75" s="216" t="s">
        <v>457</v>
      </c>
      <c r="K75" s="216" t="s">
        <v>458</v>
      </c>
      <c r="L75" s="208" t="s">
        <v>307</v>
      </c>
      <c r="M75" s="252" t="s">
        <v>974</v>
      </c>
      <c r="N75" s="209"/>
      <c r="O75" s="209"/>
      <c r="P75" s="276" t="s">
        <v>307</v>
      </c>
      <c r="Q75" s="209"/>
      <c r="R75" s="209"/>
      <c r="S75" s="277" t="s">
        <v>2071</v>
      </c>
      <c r="T75" s="235" t="s">
        <v>2072</v>
      </c>
      <c r="U75" s="147" t="s">
        <v>1242</v>
      </c>
      <c r="V75" s="220" t="s">
        <v>1216</v>
      </c>
      <c r="W75" s="220" t="s">
        <v>1243</v>
      </c>
      <c r="X75" s="220" t="s">
        <v>2073</v>
      </c>
      <c r="Y75" s="220" t="s">
        <v>1680</v>
      </c>
      <c r="Z75" s="216"/>
      <c r="AA75" s="220"/>
      <c r="AB75" s="220" t="s">
        <v>1726</v>
      </c>
      <c r="AC75" s="220" t="s">
        <v>2074</v>
      </c>
      <c r="AD75" s="220"/>
      <c r="AE75" s="221" t="s">
        <v>2075</v>
      </c>
      <c r="AF75" s="221" t="s">
        <v>1726</v>
      </c>
      <c r="AG75" s="221" t="s">
        <v>2076</v>
      </c>
      <c r="AH75" s="221" t="s">
        <v>1738</v>
      </c>
      <c r="AI75" s="190" t="s">
        <v>2077</v>
      </c>
    </row>
    <row r="76" ht="408.75" customHeight="1">
      <c r="A76" s="190"/>
      <c r="B76" s="216" t="s">
        <v>158</v>
      </c>
      <c r="C76" s="216" t="s">
        <v>461</v>
      </c>
      <c r="D76" s="216" t="s">
        <v>462</v>
      </c>
      <c r="E76" s="216" t="s">
        <v>463</v>
      </c>
      <c r="F76" s="236" t="s">
        <v>2078</v>
      </c>
      <c r="G76" s="236" t="s">
        <v>2079</v>
      </c>
      <c r="H76" s="236" t="s">
        <v>462</v>
      </c>
      <c r="I76" s="239" t="s">
        <v>2080</v>
      </c>
      <c r="J76" s="216" t="s">
        <v>2081</v>
      </c>
      <c r="K76" s="216" t="s">
        <v>465</v>
      </c>
      <c r="L76" s="208" t="s">
        <v>22</v>
      </c>
      <c r="M76" s="208" t="s">
        <v>307</v>
      </c>
      <c r="N76" s="219"/>
      <c r="O76" s="219"/>
      <c r="P76" s="219" t="s">
        <v>22</v>
      </c>
      <c r="Q76" s="219"/>
      <c r="R76" s="219"/>
      <c r="S76" s="232"/>
      <c r="T76" s="235" t="s">
        <v>2082</v>
      </c>
      <c r="U76" s="147" t="s">
        <v>2083</v>
      </c>
      <c r="V76" s="220" t="s">
        <v>1087</v>
      </c>
      <c r="W76" s="220" t="s">
        <v>1245</v>
      </c>
      <c r="X76" s="220" t="s">
        <v>2084</v>
      </c>
      <c r="Y76" s="220" t="s">
        <v>2085</v>
      </c>
      <c r="Z76" s="234" t="s">
        <v>2016</v>
      </c>
      <c r="AA76" s="213" t="s">
        <v>2017</v>
      </c>
      <c r="AB76" s="213" t="s">
        <v>2018</v>
      </c>
      <c r="AC76" s="220" t="s">
        <v>2086</v>
      </c>
      <c r="AD76" s="213" t="s">
        <v>2087</v>
      </c>
      <c r="AE76" s="221" t="s">
        <v>2088</v>
      </c>
      <c r="AF76" s="221" t="s">
        <v>2089</v>
      </c>
      <c r="AG76" s="221"/>
      <c r="AH76" s="221" t="s">
        <v>1655</v>
      </c>
      <c r="AI76" s="190"/>
    </row>
    <row r="77" ht="408.75" customHeight="1">
      <c r="A77" s="190"/>
      <c r="B77" s="205" t="s">
        <v>158</v>
      </c>
      <c r="C77" s="205" t="s">
        <v>467</v>
      </c>
      <c r="D77" s="205" t="s">
        <v>468</v>
      </c>
      <c r="E77" s="205" t="s">
        <v>469</v>
      </c>
      <c r="F77" s="236" t="s">
        <v>2090</v>
      </c>
      <c r="G77" s="236" t="s">
        <v>2091</v>
      </c>
      <c r="H77" s="236" t="s">
        <v>2092</v>
      </c>
      <c r="I77" s="239" t="s">
        <v>2093</v>
      </c>
      <c r="J77" s="205" t="s">
        <v>2094</v>
      </c>
      <c r="K77" s="205" t="s">
        <v>471</v>
      </c>
      <c r="L77" s="208" t="s">
        <v>22</v>
      </c>
      <c r="M77" s="208" t="s">
        <v>22</v>
      </c>
      <c r="N77" s="209" t="s">
        <v>1651</v>
      </c>
      <c r="O77" s="209"/>
      <c r="P77" s="209" t="s">
        <v>22</v>
      </c>
      <c r="Q77" s="209"/>
      <c r="R77" s="209"/>
      <c r="S77" s="231"/>
      <c r="T77" s="211" t="s">
        <v>1652</v>
      </c>
      <c r="U77" s="205" t="s">
        <v>1247</v>
      </c>
      <c r="V77" s="147" t="s">
        <v>1248</v>
      </c>
      <c r="W77" s="177" t="s">
        <v>1249</v>
      </c>
      <c r="X77" s="147" t="s">
        <v>1250</v>
      </c>
      <c r="Y77" s="147"/>
      <c r="Z77" s="234" t="s">
        <v>2095</v>
      </c>
      <c r="AA77" s="213" t="s">
        <v>1251</v>
      </c>
      <c r="AB77" s="213" t="s">
        <v>1252</v>
      </c>
      <c r="AC77" s="147" t="s">
        <v>1654</v>
      </c>
      <c r="AD77" s="147" t="s">
        <v>1654</v>
      </c>
      <c r="AE77" s="214" t="s">
        <v>1654</v>
      </c>
      <c r="AF77" s="214" t="s">
        <v>1654</v>
      </c>
      <c r="AG77" s="275"/>
      <c r="AH77" s="275" t="s">
        <v>1655</v>
      </c>
      <c r="AI77" s="190"/>
    </row>
    <row r="78" ht="408.75" customHeight="1">
      <c r="A78" s="190"/>
      <c r="B78" s="216" t="s">
        <v>158</v>
      </c>
      <c r="C78" s="216" t="s">
        <v>473</v>
      </c>
      <c r="D78" s="216" t="s">
        <v>474</v>
      </c>
      <c r="E78" s="216" t="s">
        <v>475</v>
      </c>
      <c r="F78" s="236" t="s">
        <v>2096</v>
      </c>
      <c r="G78" s="236" t="s">
        <v>2097</v>
      </c>
      <c r="H78" s="236" t="s">
        <v>2098</v>
      </c>
      <c r="I78" s="239" t="s">
        <v>2099</v>
      </c>
      <c r="J78" s="216" t="s">
        <v>2100</v>
      </c>
      <c r="K78" s="220" t="s">
        <v>1253</v>
      </c>
      <c r="L78" s="208" t="s">
        <v>307</v>
      </c>
      <c r="M78" s="208" t="s">
        <v>973</v>
      </c>
      <c r="N78" s="219"/>
      <c r="O78" s="219"/>
      <c r="P78" s="219" t="s">
        <v>22</v>
      </c>
      <c r="Q78" s="219"/>
      <c r="R78" s="219"/>
      <c r="S78" s="232"/>
      <c r="T78" s="205" t="s">
        <v>2101</v>
      </c>
      <c r="U78" s="233" t="s">
        <v>1254</v>
      </c>
      <c r="V78" s="220" t="s">
        <v>1216</v>
      </c>
      <c r="W78" s="220" t="s">
        <v>1255</v>
      </c>
      <c r="X78" s="220" t="s">
        <v>1256</v>
      </c>
      <c r="Y78" s="220"/>
      <c r="Z78" s="234" t="s">
        <v>1715</v>
      </c>
      <c r="AA78" s="213" t="s">
        <v>993</v>
      </c>
      <c r="AB78" s="213" t="s">
        <v>994</v>
      </c>
      <c r="AC78" s="220" t="s">
        <v>2102</v>
      </c>
      <c r="AD78" s="213" t="s">
        <v>2103</v>
      </c>
      <c r="AE78" s="221" t="s">
        <v>2104</v>
      </c>
      <c r="AF78" s="221" t="s">
        <v>2105</v>
      </c>
      <c r="AG78" s="221"/>
      <c r="AH78" s="221" t="s">
        <v>1663</v>
      </c>
      <c r="AI78" s="190"/>
    </row>
    <row r="79" ht="408.75" customHeight="1">
      <c r="A79" s="190"/>
      <c r="B79" s="216" t="s">
        <v>158</v>
      </c>
      <c r="C79" s="216" t="s">
        <v>480</v>
      </c>
      <c r="D79" s="216" t="s">
        <v>481</v>
      </c>
      <c r="E79" s="216" t="s">
        <v>482</v>
      </c>
      <c r="F79" s="206" t="s">
        <v>2106</v>
      </c>
      <c r="G79" s="236" t="s">
        <v>2107</v>
      </c>
      <c r="H79" s="236" t="s">
        <v>2108</v>
      </c>
      <c r="I79" s="239" t="s">
        <v>2109</v>
      </c>
      <c r="J79" s="216" t="s">
        <v>2110</v>
      </c>
      <c r="K79" s="216" t="s">
        <v>484</v>
      </c>
      <c r="L79" s="208" t="s">
        <v>307</v>
      </c>
      <c r="M79" s="208" t="s">
        <v>307</v>
      </c>
      <c r="N79" s="219"/>
      <c r="O79" s="219"/>
      <c r="P79" s="219" t="s">
        <v>22</v>
      </c>
      <c r="Q79" s="219"/>
      <c r="R79" s="219"/>
      <c r="S79" s="232"/>
      <c r="T79" s="235" t="s">
        <v>2111</v>
      </c>
      <c r="U79" s="147" t="s">
        <v>1257</v>
      </c>
      <c r="V79" s="220" t="s">
        <v>1258</v>
      </c>
      <c r="W79" s="220" t="s">
        <v>1259</v>
      </c>
      <c r="X79" s="220" t="s">
        <v>1260</v>
      </c>
      <c r="Y79" s="220" t="s">
        <v>1714</v>
      </c>
      <c r="Z79" s="220"/>
      <c r="AA79" s="220"/>
      <c r="AB79" s="220" t="s">
        <v>2112</v>
      </c>
      <c r="AC79" s="220" t="s">
        <v>2113</v>
      </c>
      <c r="AD79" s="220"/>
      <c r="AE79" s="221" t="s">
        <v>2114</v>
      </c>
      <c r="AF79" s="221" t="s">
        <v>2115</v>
      </c>
      <c r="AG79" s="221"/>
      <c r="AH79" s="221" t="s">
        <v>1663</v>
      </c>
      <c r="AI79" s="190"/>
    </row>
    <row r="80" ht="408.75" customHeight="1">
      <c r="A80" s="190"/>
      <c r="B80" s="216" t="s">
        <v>158</v>
      </c>
      <c r="C80" s="216" t="s">
        <v>480</v>
      </c>
      <c r="D80" s="216" t="s">
        <v>481</v>
      </c>
      <c r="E80" s="216" t="s">
        <v>482</v>
      </c>
      <c r="F80" s="222"/>
      <c r="G80" s="236" t="s">
        <v>2116</v>
      </c>
      <c r="H80" s="236" t="s">
        <v>2117</v>
      </c>
      <c r="I80" s="237" t="s">
        <v>2118</v>
      </c>
      <c r="J80" s="216" t="s">
        <v>2119</v>
      </c>
      <c r="K80" s="216" t="s">
        <v>488</v>
      </c>
      <c r="L80" s="208" t="s">
        <v>307</v>
      </c>
      <c r="M80" s="208" t="s">
        <v>973</v>
      </c>
      <c r="N80" s="219"/>
      <c r="O80" s="219"/>
      <c r="P80" s="219" t="s">
        <v>22</v>
      </c>
      <c r="Q80" s="219"/>
      <c r="R80" s="219"/>
      <c r="S80" s="232"/>
      <c r="T80" s="235" t="s">
        <v>1261</v>
      </c>
      <c r="U80" s="147" t="s">
        <v>1261</v>
      </c>
      <c r="V80" s="220" t="s">
        <v>1118</v>
      </c>
      <c r="W80" s="220" t="s">
        <v>1262</v>
      </c>
      <c r="X80" s="220" t="s">
        <v>1263</v>
      </c>
      <c r="Y80" s="220" t="s">
        <v>2120</v>
      </c>
      <c r="Z80" s="220"/>
      <c r="AA80" s="220"/>
      <c r="AB80" s="220" t="s">
        <v>1726</v>
      </c>
      <c r="AC80" s="220" t="s">
        <v>2121</v>
      </c>
      <c r="AD80" s="220"/>
      <c r="AE80" s="221" t="s">
        <v>2122</v>
      </c>
      <c r="AF80" s="221" t="s">
        <v>2123</v>
      </c>
      <c r="AG80" s="221"/>
      <c r="AH80" s="221" t="s">
        <v>1663</v>
      </c>
      <c r="AI80" s="190"/>
    </row>
    <row r="81" ht="408.75" customHeight="1">
      <c r="A81" s="190"/>
      <c r="B81" s="216" t="s">
        <v>158</v>
      </c>
      <c r="C81" s="216" t="s">
        <v>489</v>
      </c>
      <c r="D81" s="216" t="s">
        <v>490</v>
      </c>
      <c r="E81" s="216" t="s">
        <v>491</v>
      </c>
      <c r="F81" s="236"/>
      <c r="G81" s="239" t="s">
        <v>2124</v>
      </c>
      <c r="H81" s="239" t="s">
        <v>490</v>
      </c>
      <c r="I81" s="239" t="s">
        <v>491</v>
      </c>
      <c r="J81" s="216" t="s">
        <v>2125</v>
      </c>
      <c r="K81" s="216" t="s">
        <v>493</v>
      </c>
      <c r="L81" s="208" t="s">
        <v>307</v>
      </c>
      <c r="M81" s="208" t="s">
        <v>973</v>
      </c>
      <c r="N81" s="209"/>
      <c r="O81" s="209"/>
      <c r="P81" s="209" t="s">
        <v>22</v>
      </c>
      <c r="Q81" s="209"/>
      <c r="R81" s="209"/>
      <c r="S81" s="232"/>
      <c r="T81" s="235" t="s">
        <v>2126</v>
      </c>
      <c r="U81" s="147" t="s">
        <v>1264</v>
      </c>
      <c r="V81" s="220" t="s">
        <v>1265</v>
      </c>
      <c r="W81" s="220"/>
      <c r="X81" s="262" t="s">
        <v>1266</v>
      </c>
      <c r="Y81" s="220" t="s">
        <v>2085</v>
      </c>
      <c r="Z81" s="216"/>
      <c r="AA81" s="220"/>
      <c r="AB81" s="220" t="s">
        <v>1726</v>
      </c>
      <c r="AC81" s="220" t="s">
        <v>2127</v>
      </c>
      <c r="AD81" s="220"/>
      <c r="AE81" s="261" t="s">
        <v>2128</v>
      </c>
      <c r="AF81" s="221" t="s">
        <v>1726</v>
      </c>
      <c r="AG81" s="221"/>
      <c r="AH81" s="261" t="s">
        <v>1663</v>
      </c>
      <c r="AI81" s="190"/>
    </row>
    <row r="82" ht="408.75" customHeight="1">
      <c r="A82" s="190"/>
      <c r="B82" s="216" t="s">
        <v>495</v>
      </c>
      <c r="C82" s="216">
        <v>6.1</v>
      </c>
      <c r="D82" s="216" t="s">
        <v>497</v>
      </c>
      <c r="E82" s="216" t="s">
        <v>498</v>
      </c>
      <c r="F82" s="206" t="s">
        <v>2129</v>
      </c>
      <c r="G82" s="206" t="s">
        <v>2130</v>
      </c>
      <c r="H82" s="206" t="s">
        <v>2131</v>
      </c>
      <c r="I82" s="207" t="s">
        <v>2132</v>
      </c>
      <c r="J82" s="216" t="s">
        <v>2133</v>
      </c>
      <c r="K82" s="216" t="s">
        <v>500</v>
      </c>
      <c r="L82" s="208" t="s">
        <v>307</v>
      </c>
      <c r="M82" s="208" t="s">
        <v>973</v>
      </c>
      <c r="N82" s="209" t="s">
        <v>1651</v>
      </c>
      <c r="O82" s="209"/>
      <c r="P82" s="209" t="s">
        <v>22</v>
      </c>
      <c r="Q82" s="209"/>
      <c r="R82" s="209"/>
      <c r="S82" s="232"/>
      <c r="T82" s="147" t="s">
        <v>1267</v>
      </c>
      <c r="U82" s="147" t="s">
        <v>1267</v>
      </c>
      <c r="V82" s="220" t="s">
        <v>1268</v>
      </c>
      <c r="W82" s="220" t="s">
        <v>1269</v>
      </c>
      <c r="X82" s="220" t="s">
        <v>1270</v>
      </c>
      <c r="Y82" s="220"/>
      <c r="Z82" s="213" t="s">
        <v>2095</v>
      </c>
      <c r="AA82" s="213" t="s">
        <v>1271</v>
      </c>
      <c r="AB82" s="213" t="s">
        <v>1272</v>
      </c>
      <c r="AC82" s="220" t="s">
        <v>2134</v>
      </c>
      <c r="AD82" s="213" t="s">
        <v>2135</v>
      </c>
      <c r="AE82" s="221" t="s">
        <v>2136</v>
      </c>
      <c r="AF82" s="221" t="s">
        <v>2137</v>
      </c>
      <c r="AG82" s="221"/>
      <c r="AH82" s="221" t="s">
        <v>1663</v>
      </c>
      <c r="AI82" s="190"/>
    </row>
    <row r="83" ht="408.75" customHeight="1">
      <c r="A83" s="190"/>
      <c r="B83" s="216" t="s">
        <v>495</v>
      </c>
      <c r="C83" s="216">
        <v>6.1</v>
      </c>
      <c r="D83" s="216" t="s">
        <v>497</v>
      </c>
      <c r="E83" s="216" t="s">
        <v>498</v>
      </c>
      <c r="F83" s="222"/>
      <c r="G83" s="222"/>
      <c r="H83" s="222"/>
      <c r="I83" s="223"/>
      <c r="J83" s="216" t="s">
        <v>2138</v>
      </c>
      <c r="K83" s="216" t="s">
        <v>504</v>
      </c>
      <c r="L83" s="208" t="s">
        <v>307</v>
      </c>
      <c r="M83" s="208" t="s">
        <v>973</v>
      </c>
      <c r="N83" s="219"/>
      <c r="O83" s="219"/>
      <c r="P83" s="219" t="s">
        <v>22</v>
      </c>
      <c r="Q83" s="219"/>
      <c r="R83" s="219"/>
      <c r="S83" s="232"/>
      <c r="T83" s="235" t="s">
        <v>2139</v>
      </c>
      <c r="U83" s="147" t="s">
        <v>1274</v>
      </c>
      <c r="V83" s="220" t="s">
        <v>1275</v>
      </c>
      <c r="W83" s="220" t="s">
        <v>2140</v>
      </c>
      <c r="X83" s="220" t="s">
        <v>1277</v>
      </c>
      <c r="Y83" s="220"/>
      <c r="Z83" s="213" t="s">
        <v>2095</v>
      </c>
      <c r="AA83" s="213" t="s">
        <v>1271</v>
      </c>
      <c r="AB83" s="213" t="s">
        <v>1272</v>
      </c>
      <c r="AC83" s="220" t="s">
        <v>2141</v>
      </c>
      <c r="AD83" s="213" t="s">
        <v>2142</v>
      </c>
      <c r="AE83" s="221" t="s">
        <v>2143</v>
      </c>
      <c r="AF83" s="221"/>
      <c r="AG83" s="221"/>
      <c r="AH83" s="221" t="s">
        <v>1663</v>
      </c>
      <c r="AI83" s="190"/>
    </row>
    <row r="84" ht="408.75" customHeight="1">
      <c r="A84" s="190"/>
      <c r="B84" s="216" t="s">
        <v>495</v>
      </c>
      <c r="C84" s="216">
        <v>6.2</v>
      </c>
      <c r="D84" s="216" t="s">
        <v>506</v>
      </c>
      <c r="E84" s="216" t="s">
        <v>507</v>
      </c>
      <c r="F84" s="236" t="s">
        <v>2144</v>
      </c>
      <c r="G84" s="236" t="s">
        <v>2145</v>
      </c>
      <c r="H84" s="236" t="s">
        <v>506</v>
      </c>
      <c r="I84" s="237" t="s">
        <v>2146</v>
      </c>
      <c r="J84" s="216" t="s">
        <v>508</v>
      </c>
      <c r="K84" s="220" t="s">
        <v>509</v>
      </c>
      <c r="L84" s="208" t="s">
        <v>307</v>
      </c>
      <c r="M84" s="208" t="s">
        <v>974</v>
      </c>
      <c r="N84" s="209" t="s">
        <v>1651</v>
      </c>
      <c r="O84" s="209"/>
      <c r="P84" s="209" t="s">
        <v>22</v>
      </c>
      <c r="Q84" s="209"/>
      <c r="R84" s="209"/>
      <c r="S84" s="232"/>
      <c r="T84" s="235" t="s">
        <v>2147</v>
      </c>
      <c r="U84" s="147" t="s">
        <v>1278</v>
      </c>
      <c r="V84" s="220" t="s">
        <v>1279</v>
      </c>
      <c r="W84" s="220" t="s">
        <v>1280</v>
      </c>
      <c r="X84" s="220" t="s">
        <v>1281</v>
      </c>
      <c r="Y84" s="220" t="s">
        <v>1714</v>
      </c>
      <c r="Z84" s="213" t="s">
        <v>2148</v>
      </c>
      <c r="AA84" s="213" t="s">
        <v>2149</v>
      </c>
      <c r="AB84" s="213" t="s">
        <v>2150</v>
      </c>
      <c r="AC84" s="220" t="s">
        <v>2151</v>
      </c>
      <c r="AD84" s="213" t="s">
        <v>2152</v>
      </c>
      <c r="AE84" s="221" t="s">
        <v>2153</v>
      </c>
      <c r="AF84" s="221"/>
      <c r="AG84" s="221"/>
      <c r="AH84" s="221" t="s">
        <v>1663</v>
      </c>
      <c r="AI84" s="190"/>
    </row>
    <row r="85" ht="408.75" customHeight="1">
      <c r="A85" s="190"/>
      <c r="B85" s="216" t="s">
        <v>495</v>
      </c>
      <c r="C85" s="216" t="s">
        <v>512</v>
      </c>
      <c r="D85" s="216" t="s">
        <v>513</v>
      </c>
      <c r="E85" s="216" t="s">
        <v>514</v>
      </c>
      <c r="F85" s="206" t="s">
        <v>2154</v>
      </c>
      <c r="G85" s="206" t="s">
        <v>2155</v>
      </c>
      <c r="H85" s="206" t="s">
        <v>2156</v>
      </c>
      <c r="I85" s="207" t="s">
        <v>2157</v>
      </c>
      <c r="J85" s="216" t="s">
        <v>2158</v>
      </c>
      <c r="K85" s="220" t="s">
        <v>516</v>
      </c>
      <c r="L85" s="208" t="s">
        <v>307</v>
      </c>
      <c r="M85" s="208" t="s">
        <v>974</v>
      </c>
      <c r="N85" s="219"/>
      <c r="O85" s="219"/>
      <c r="P85" s="278" t="s">
        <v>307</v>
      </c>
      <c r="Q85" s="219"/>
      <c r="R85" s="219"/>
      <c r="S85" s="249" t="s">
        <v>2159</v>
      </c>
      <c r="T85" s="235" t="s">
        <v>2160</v>
      </c>
      <c r="U85" s="147" t="s">
        <v>2161</v>
      </c>
      <c r="V85" s="220" t="s">
        <v>1285</v>
      </c>
      <c r="W85" s="220" t="s">
        <v>1286</v>
      </c>
      <c r="X85" s="220" t="s">
        <v>2162</v>
      </c>
      <c r="Y85" s="220" t="s">
        <v>1680</v>
      </c>
      <c r="Z85" s="234" t="s">
        <v>2163</v>
      </c>
      <c r="AA85" s="213" t="s">
        <v>1251</v>
      </c>
      <c r="AB85" s="213" t="s">
        <v>1252</v>
      </c>
      <c r="AC85" s="220" t="s">
        <v>2164</v>
      </c>
      <c r="AD85" s="242" t="s">
        <v>2165</v>
      </c>
      <c r="AE85" s="221" t="s">
        <v>2166</v>
      </c>
      <c r="AF85" s="221"/>
      <c r="AG85" s="221" t="s">
        <v>2167</v>
      </c>
      <c r="AH85" s="221" t="s">
        <v>2168</v>
      </c>
      <c r="AI85" s="190" t="s">
        <v>2169</v>
      </c>
    </row>
    <row r="86" ht="408.75" customHeight="1">
      <c r="A86" s="190"/>
      <c r="B86" s="216" t="s">
        <v>495</v>
      </c>
      <c r="C86" s="216" t="s">
        <v>512</v>
      </c>
      <c r="D86" s="216" t="s">
        <v>513</v>
      </c>
      <c r="E86" s="216" t="s">
        <v>514</v>
      </c>
      <c r="F86" s="217"/>
      <c r="G86" s="217"/>
      <c r="H86" s="217"/>
      <c r="I86" s="218"/>
      <c r="J86" s="216" t="s">
        <v>519</v>
      </c>
      <c r="K86" s="220" t="s">
        <v>520</v>
      </c>
      <c r="L86" s="208" t="s">
        <v>307</v>
      </c>
      <c r="M86" s="208" t="s">
        <v>974</v>
      </c>
      <c r="N86" s="219"/>
      <c r="O86" s="219"/>
      <c r="P86" s="219" t="s">
        <v>307</v>
      </c>
      <c r="Q86" s="219"/>
      <c r="R86" s="219"/>
      <c r="S86" s="277" t="s">
        <v>2170</v>
      </c>
      <c r="T86" s="235" t="s">
        <v>2171</v>
      </c>
      <c r="U86" s="147" t="s">
        <v>2172</v>
      </c>
      <c r="V86" s="220" t="s">
        <v>1216</v>
      </c>
      <c r="W86" s="220" t="s">
        <v>1288</v>
      </c>
      <c r="X86" s="220" t="s">
        <v>2173</v>
      </c>
      <c r="Y86" s="220" t="s">
        <v>1680</v>
      </c>
      <c r="Z86" s="234" t="s">
        <v>2163</v>
      </c>
      <c r="AA86" s="213" t="s">
        <v>1251</v>
      </c>
      <c r="AB86" s="213" t="s">
        <v>1252</v>
      </c>
      <c r="AC86" s="220" t="s">
        <v>2174</v>
      </c>
      <c r="AD86" s="242" t="s">
        <v>2175</v>
      </c>
      <c r="AE86" s="221" t="s">
        <v>2176</v>
      </c>
      <c r="AF86" s="221"/>
      <c r="AG86" s="221" t="s">
        <v>2177</v>
      </c>
      <c r="AH86" s="221" t="s">
        <v>2168</v>
      </c>
      <c r="AI86" s="190" t="s">
        <v>2178</v>
      </c>
    </row>
    <row r="87" ht="408.75" customHeight="1">
      <c r="A87" s="190"/>
      <c r="B87" s="216" t="s">
        <v>495</v>
      </c>
      <c r="C87" s="216" t="s">
        <v>512</v>
      </c>
      <c r="D87" s="216" t="s">
        <v>513</v>
      </c>
      <c r="E87" s="216" t="s">
        <v>514</v>
      </c>
      <c r="F87" s="217"/>
      <c r="G87" s="217"/>
      <c r="H87" s="217"/>
      <c r="I87" s="218"/>
      <c r="J87" s="216" t="s">
        <v>522</v>
      </c>
      <c r="K87" s="220" t="s">
        <v>1289</v>
      </c>
      <c r="L87" s="208" t="s">
        <v>307</v>
      </c>
      <c r="M87" s="208" t="s">
        <v>974</v>
      </c>
      <c r="N87" s="219"/>
      <c r="O87" s="219"/>
      <c r="P87" s="219" t="s">
        <v>307</v>
      </c>
      <c r="Q87" s="219"/>
      <c r="R87" s="219"/>
      <c r="S87" s="277" t="s">
        <v>2179</v>
      </c>
      <c r="T87" s="235" t="s">
        <v>2180</v>
      </c>
      <c r="U87" s="260" t="s">
        <v>2181</v>
      </c>
      <c r="V87" s="220" t="s">
        <v>1091</v>
      </c>
      <c r="W87" s="220" t="s">
        <v>1291</v>
      </c>
      <c r="X87" s="220" t="s">
        <v>2182</v>
      </c>
      <c r="Y87" s="220" t="s">
        <v>1680</v>
      </c>
      <c r="Z87" s="216"/>
      <c r="AA87" s="220"/>
      <c r="AB87" s="220" t="s">
        <v>1726</v>
      </c>
      <c r="AC87" s="220" t="s">
        <v>2183</v>
      </c>
      <c r="AD87" s="220"/>
      <c r="AE87" s="221" t="s">
        <v>2184</v>
      </c>
      <c r="AF87" s="221" t="s">
        <v>2185</v>
      </c>
      <c r="AG87" s="221" t="s">
        <v>2186</v>
      </c>
      <c r="AH87" s="221" t="s">
        <v>1663</v>
      </c>
      <c r="AI87" s="190"/>
    </row>
    <row r="88" ht="408.75" customHeight="1">
      <c r="A88" s="190"/>
      <c r="B88" s="216" t="s">
        <v>495</v>
      </c>
      <c r="C88" s="216" t="s">
        <v>512</v>
      </c>
      <c r="D88" s="216" t="s">
        <v>513</v>
      </c>
      <c r="E88" s="216" t="s">
        <v>514</v>
      </c>
      <c r="F88" s="222"/>
      <c r="G88" s="222"/>
      <c r="H88" s="222"/>
      <c r="I88" s="223"/>
      <c r="J88" s="216" t="s">
        <v>525</v>
      </c>
      <c r="K88" s="220" t="s">
        <v>526</v>
      </c>
      <c r="L88" s="208" t="s">
        <v>1684</v>
      </c>
      <c r="M88" s="208" t="s">
        <v>1684</v>
      </c>
      <c r="N88" s="219"/>
      <c r="O88" s="219"/>
      <c r="P88" s="219" t="s">
        <v>307</v>
      </c>
      <c r="Q88" s="219"/>
      <c r="R88" s="219"/>
      <c r="S88" s="249" t="s">
        <v>2187</v>
      </c>
      <c r="T88" s="235" t="s">
        <v>2180</v>
      </c>
      <c r="U88" s="147" t="s">
        <v>2188</v>
      </c>
      <c r="V88" s="220" t="s">
        <v>1091</v>
      </c>
      <c r="W88" s="220" t="s">
        <v>1291</v>
      </c>
      <c r="X88" s="220" t="s">
        <v>2189</v>
      </c>
      <c r="Y88" s="220" t="s">
        <v>1680</v>
      </c>
      <c r="Z88" s="216"/>
      <c r="AA88" s="220"/>
      <c r="AB88" s="220" t="s">
        <v>2190</v>
      </c>
      <c r="AC88" s="220" t="s">
        <v>2191</v>
      </c>
      <c r="AD88" s="220"/>
      <c r="AE88" s="221" t="s">
        <v>2192</v>
      </c>
      <c r="AF88" s="221"/>
      <c r="AG88" s="221" t="s">
        <v>2193</v>
      </c>
      <c r="AH88" s="221" t="s">
        <v>2168</v>
      </c>
      <c r="AI88" s="190" t="s">
        <v>2194</v>
      </c>
    </row>
    <row r="89" ht="408.75" customHeight="1">
      <c r="A89" s="190"/>
      <c r="B89" s="216" t="s">
        <v>495</v>
      </c>
      <c r="C89" s="216" t="s">
        <v>528</v>
      </c>
      <c r="D89" s="216" t="s">
        <v>529</v>
      </c>
      <c r="E89" s="216" t="s">
        <v>530</v>
      </c>
      <c r="F89" s="236" t="s">
        <v>2154</v>
      </c>
      <c r="G89" s="236" t="s">
        <v>2195</v>
      </c>
      <c r="H89" s="236" t="s">
        <v>2196</v>
      </c>
      <c r="I89" s="239" t="s">
        <v>2197</v>
      </c>
      <c r="J89" s="216" t="s">
        <v>2198</v>
      </c>
      <c r="K89" s="216" t="s">
        <v>532</v>
      </c>
      <c r="L89" s="208" t="s">
        <v>307</v>
      </c>
      <c r="M89" s="208" t="s">
        <v>973</v>
      </c>
      <c r="N89" s="209" t="s">
        <v>1651</v>
      </c>
      <c r="O89" s="209"/>
      <c r="P89" s="209" t="s">
        <v>22</v>
      </c>
      <c r="Q89" s="209"/>
      <c r="R89" s="209"/>
      <c r="S89" s="232"/>
      <c r="T89" s="235" t="s">
        <v>1293</v>
      </c>
      <c r="U89" s="147" t="s">
        <v>1293</v>
      </c>
      <c r="V89" s="220" t="s">
        <v>1294</v>
      </c>
      <c r="W89" s="220" t="s">
        <v>1295</v>
      </c>
      <c r="X89" s="220" t="s">
        <v>1296</v>
      </c>
      <c r="Y89" s="220"/>
      <c r="Z89" s="213" t="s">
        <v>2199</v>
      </c>
      <c r="AA89" s="213" t="s">
        <v>1297</v>
      </c>
      <c r="AB89" s="213" t="s">
        <v>1298</v>
      </c>
      <c r="AC89" s="220" t="s">
        <v>2200</v>
      </c>
      <c r="AD89" s="213" t="s">
        <v>2201</v>
      </c>
      <c r="AE89" s="221" t="s">
        <v>2202</v>
      </c>
      <c r="AF89" s="221"/>
      <c r="AG89" s="221"/>
      <c r="AH89" s="221" t="s">
        <v>1663</v>
      </c>
      <c r="AI89" s="190"/>
    </row>
    <row r="90" ht="408.75" customHeight="1">
      <c r="A90" s="190"/>
      <c r="B90" s="205" t="s">
        <v>495</v>
      </c>
      <c r="C90" s="205" t="s">
        <v>534</v>
      </c>
      <c r="D90" s="205" t="s">
        <v>535</v>
      </c>
      <c r="E90" s="205" t="s">
        <v>536</v>
      </c>
      <c r="F90" s="236" t="s">
        <v>2203</v>
      </c>
      <c r="G90" s="236" t="s">
        <v>2204</v>
      </c>
      <c r="H90" s="236" t="s">
        <v>2205</v>
      </c>
      <c r="I90" s="237" t="s">
        <v>2206</v>
      </c>
      <c r="J90" s="205" t="s">
        <v>2207</v>
      </c>
      <c r="K90" s="147" t="s">
        <v>538</v>
      </c>
      <c r="L90" s="208" t="s">
        <v>22</v>
      </c>
      <c r="M90" s="208" t="s">
        <v>22</v>
      </c>
      <c r="N90" s="219"/>
      <c r="O90" s="219"/>
      <c r="P90" s="219" t="s">
        <v>22</v>
      </c>
      <c r="Q90" s="219"/>
      <c r="R90" s="219"/>
      <c r="S90" s="231"/>
      <c r="T90" s="211" t="s">
        <v>1652</v>
      </c>
      <c r="U90" s="205" t="s">
        <v>1299</v>
      </c>
      <c r="V90" s="147" t="s">
        <v>1300</v>
      </c>
      <c r="W90" s="147" t="s">
        <v>1301</v>
      </c>
      <c r="X90" s="147" t="s">
        <v>1302</v>
      </c>
      <c r="Y90" s="147"/>
      <c r="Z90" s="234" t="s">
        <v>2095</v>
      </c>
      <c r="AA90" s="213" t="s">
        <v>1303</v>
      </c>
      <c r="AB90" s="213" t="s">
        <v>1770</v>
      </c>
      <c r="AC90" s="147" t="s">
        <v>1654</v>
      </c>
      <c r="AD90" s="147" t="s">
        <v>1654</v>
      </c>
      <c r="AE90" s="214" t="s">
        <v>1654</v>
      </c>
      <c r="AF90" s="214" t="s">
        <v>1654</v>
      </c>
      <c r="AG90" s="275"/>
      <c r="AH90" s="275" t="s">
        <v>1655</v>
      </c>
      <c r="AI90" s="190"/>
    </row>
    <row r="91" ht="408.75" customHeight="1">
      <c r="A91" s="190"/>
      <c r="B91" s="216" t="s">
        <v>495</v>
      </c>
      <c r="C91" s="216" t="s">
        <v>541</v>
      </c>
      <c r="D91" s="216" t="s">
        <v>542</v>
      </c>
      <c r="E91" s="216" t="s">
        <v>543</v>
      </c>
      <c r="F91" s="236" t="s">
        <v>2208</v>
      </c>
      <c r="G91" s="236" t="s">
        <v>2209</v>
      </c>
      <c r="H91" s="236" t="s">
        <v>2210</v>
      </c>
      <c r="I91" s="239" t="s">
        <v>2211</v>
      </c>
      <c r="J91" s="216" t="s">
        <v>2212</v>
      </c>
      <c r="K91" s="216" t="s">
        <v>545</v>
      </c>
      <c r="L91" s="208" t="s">
        <v>307</v>
      </c>
      <c r="M91" s="208" t="s">
        <v>974</v>
      </c>
      <c r="N91" s="219"/>
      <c r="O91" s="219"/>
      <c r="P91" s="219" t="s">
        <v>22</v>
      </c>
      <c r="Q91" s="219"/>
      <c r="R91" s="219"/>
      <c r="S91" s="232"/>
      <c r="T91" s="235" t="s">
        <v>1304</v>
      </c>
      <c r="U91" s="147" t="s">
        <v>1304</v>
      </c>
      <c r="V91" s="220" t="s">
        <v>1305</v>
      </c>
      <c r="W91" s="220" t="s">
        <v>1306</v>
      </c>
      <c r="X91" s="220" t="s">
        <v>2213</v>
      </c>
      <c r="Y91" s="220"/>
      <c r="Z91" s="234" t="s">
        <v>2095</v>
      </c>
      <c r="AA91" s="213" t="s">
        <v>1303</v>
      </c>
      <c r="AB91" s="213" t="s">
        <v>1770</v>
      </c>
      <c r="AC91" s="220" t="s">
        <v>2214</v>
      </c>
      <c r="AD91" s="213" t="s">
        <v>2215</v>
      </c>
      <c r="AE91" s="221" t="s">
        <v>2216</v>
      </c>
      <c r="AF91" s="221"/>
      <c r="AG91" s="221"/>
      <c r="AH91" s="221" t="s">
        <v>1663</v>
      </c>
      <c r="AI91" s="190"/>
    </row>
    <row r="92" ht="408.75" customHeight="1">
      <c r="A92" s="190"/>
      <c r="B92" s="216" t="s">
        <v>495</v>
      </c>
      <c r="C92" s="216" t="s">
        <v>547</v>
      </c>
      <c r="D92" s="216" t="s">
        <v>548</v>
      </c>
      <c r="E92" s="216" t="s">
        <v>549</v>
      </c>
      <c r="F92" s="236" t="s">
        <v>2217</v>
      </c>
      <c r="G92" s="236" t="s">
        <v>2218</v>
      </c>
      <c r="H92" s="236" t="s">
        <v>2219</v>
      </c>
      <c r="I92" s="237" t="s">
        <v>2220</v>
      </c>
      <c r="J92" s="216" t="s">
        <v>2221</v>
      </c>
      <c r="K92" s="220" t="s">
        <v>551</v>
      </c>
      <c r="L92" s="208" t="s">
        <v>307</v>
      </c>
      <c r="M92" s="208" t="s">
        <v>973</v>
      </c>
      <c r="N92" s="219"/>
      <c r="O92" s="219"/>
      <c r="P92" s="219" t="s">
        <v>22</v>
      </c>
      <c r="Q92" s="219"/>
      <c r="R92" s="219"/>
      <c r="S92" s="232"/>
      <c r="T92" s="205" t="s">
        <v>2222</v>
      </c>
      <c r="U92" s="233" t="s">
        <v>1308</v>
      </c>
      <c r="V92" s="220" t="s">
        <v>1091</v>
      </c>
      <c r="W92" s="220" t="s">
        <v>1309</v>
      </c>
      <c r="X92" s="220" t="s">
        <v>2223</v>
      </c>
      <c r="Y92" s="220" t="s">
        <v>1714</v>
      </c>
      <c r="Z92" s="234" t="s">
        <v>2016</v>
      </c>
      <c r="AA92" s="213" t="s">
        <v>2224</v>
      </c>
      <c r="AB92" s="213" t="s">
        <v>2018</v>
      </c>
      <c r="AC92" s="220" t="s">
        <v>2225</v>
      </c>
      <c r="AD92" s="213" t="s">
        <v>2226</v>
      </c>
      <c r="AE92" s="221" t="s">
        <v>2227</v>
      </c>
      <c r="AF92" s="221" t="s">
        <v>2228</v>
      </c>
      <c r="AG92" s="221"/>
      <c r="AH92" s="221" t="s">
        <v>1663</v>
      </c>
      <c r="AI92" s="190"/>
    </row>
    <row r="93" ht="408.75" customHeight="1">
      <c r="A93" s="190"/>
      <c r="B93" s="216" t="s">
        <v>495</v>
      </c>
      <c r="C93" s="216" t="s">
        <v>554</v>
      </c>
      <c r="D93" s="216" t="s">
        <v>555</v>
      </c>
      <c r="E93" s="216" t="s">
        <v>556</v>
      </c>
      <c r="F93" s="206" t="s">
        <v>1964</v>
      </c>
      <c r="G93" s="236" t="s">
        <v>2229</v>
      </c>
      <c r="H93" s="236" t="s">
        <v>555</v>
      </c>
      <c r="I93" s="239" t="s">
        <v>2230</v>
      </c>
      <c r="J93" s="216" t="s">
        <v>2231</v>
      </c>
      <c r="K93" s="216" t="s">
        <v>558</v>
      </c>
      <c r="L93" s="252" t="s">
        <v>307</v>
      </c>
      <c r="M93" s="252" t="s">
        <v>22</v>
      </c>
      <c r="N93" s="209" t="s">
        <v>1651</v>
      </c>
      <c r="O93" s="209"/>
      <c r="P93" s="209" t="s">
        <v>22</v>
      </c>
      <c r="Q93" s="209"/>
      <c r="R93" s="209"/>
      <c r="S93" s="232"/>
      <c r="T93" s="235" t="s">
        <v>2232</v>
      </c>
      <c r="U93" s="147" t="s">
        <v>1311</v>
      </c>
      <c r="V93" s="220" t="s">
        <v>1312</v>
      </c>
      <c r="W93" s="220" t="s">
        <v>1313</v>
      </c>
      <c r="X93" s="220" t="s">
        <v>1314</v>
      </c>
      <c r="Y93" s="220" t="s">
        <v>1714</v>
      </c>
      <c r="Z93" s="216"/>
      <c r="AA93" s="220"/>
      <c r="AB93" s="220" t="s">
        <v>2233</v>
      </c>
      <c r="AC93" s="220" t="s">
        <v>2234</v>
      </c>
      <c r="AD93" s="220"/>
      <c r="AE93" s="221" t="s">
        <v>2235</v>
      </c>
      <c r="AF93" s="221" t="s">
        <v>2236</v>
      </c>
      <c r="AG93" s="221"/>
      <c r="AH93" s="221" t="s">
        <v>1663</v>
      </c>
      <c r="AI93" s="190"/>
    </row>
    <row r="94" ht="408.75" customHeight="1">
      <c r="A94" s="190"/>
      <c r="B94" s="216" t="s">
        <v>495</v>
      </c>
      <c r="C94" s="216" t="s">
        <v>554</v>
      </c>
      <c r="D94" s="216" t="s">
        <v>555</v>
      </c>
      <c r="E94" s="216" t="s">
        <v>556</v>
      </c>
      <c r="F94" s="222"/>
      <c r="G94" s="236" t="s">
        <v>2237</v>
      </c>
      <c r="H94" s="236" t="s">
        <v>2238</v>
      </c>
      <c r="I94" s="239" t="s">
        <v>2239</v>
      </c>
      <c r="J94" s="216" t="s">
        <v>2240</v>
      </c>
      <c r="K94" s="279" t="s">
        <v>563</v>
      </c>
      <c r="L94" s="208" t="s">
        <v>307</v>
      </c>
      <c r="M94" s="208" t="s">
        <v>974</v>
      </c>
      <c r="N94" s="219"/>
      <c r="O94" s="219"/>
      <c r="P94" s="219" t="s">
        <v>22</v>
      </c>
      <c r="Q94" s="219"/>
      <c r="R94" s="219"/>
      <c r="S94" s="232"/>
      <c r="T94" s="235" t="s">
        <v>2241</v>
      </c>
      <c r="U94" s="147" t="s">
        <v>1316</v>
      </c>
      <c r="V94" s="220" t="s">
        <v>1317</v>
      </c>
      <c r="W94" s="220" t="s">
        <v>1318</v>
      </c>
      <c r="X94" s="220" t="s">
        <v>1319</v>
      </c>
      <c r="Y94" s="220"/>
      <c r="Z94" s="216"/>
      <c r="AA94" s="220"/>
      <c r="AB94" s="220" t="s">
        <v>1726</v>
      </c>
      <c r="AC94" s="220" t="s">
        <v>2242</v>
      </c>
      <c r="AD94" s="220"/>
      <c r="AE94" s="221" t="s">
        <v>2243</v>
      </c>
      <c r="AF94" s="221" t="s">
        <v>2244</v>
      </c>
      <c r="AG94" s="221"/>
      <c r="AH94" s="221" t="s">
        <v>1663</v>
      </c>
      <c r="AI94" s="190"/>
    </row>
    <row r="95" ht="408.75" customHeight="1">
      <c r="A95" s="190"/>
      <c r="B95" s="216" t="s">
        <v>565</v>
      </c>
      <c r="C95" s="216" t="s">
        <v>566</v>
      </c>
      <c r="D95" s="216" t="s">
        <v>567</v>
      </c>
      <c r="E95" s="216" t="s">
        <v>568</v>
      </c>
      <c r="F95" s="206" t="s">
        <v>2245</v>
      </c>
      <c r="G95" s="206" t="s">
        <v>2246</v>
      </c>
      <c r="H95" s="206" t="s">
        <v>2247</v>
      </c>
      <c r="I95" s="207" t="s">
        <v>2248</v>
      </c>
      <c r="J95" s="216" t="s">
        <v>2249</v>
      </c>
      <c r="K95" s="216" t="s">
        <v>570</v>
      </c>
      <c r="L95" s="208" t="s">
        <v>307</v>
      </c>
      <c r="M95" s="208" t="s">
        <v>974</v>
      </c>
      <c r="N95" s="209" t="s">
        <v>1651</v>
      </c>
      <c r="O95" s="209"/>
      <c r="P95" s="209" t="s">
        <v>22</v>
      </c>
      <c r="Q95" s="209"/>
      <c r="R95" s="209"/>
      <c r="S95" s="232"/>
      <c r="T95" s="235" t="s">
        <v>2250</v>
      </c>
      <c r="U95" s="147" t="s">
        <v>1320</v>
      </c>
      <c r="V95" s="220" t="s">
        <v>1321</v>
      </c>
      <c r="W95" s="220" t="s">
        <v>1322</v>
      </c>
      <c r="X95" s="220" t="s">
        <v>1323</v>
      </c>
      <c r="Y95" s="220"/>
      <c r="Z95" s="216"/>
      <c r="AA95" s="220"/>
      <c r="AB95" s="220" t="s">
        <v>1770</v>
      </c>
      <c r="AC95" s="220" t="s">
        <v>2251</v>
      </c>
      <c r="AD95" s="220"/>
      <c r="AE95" s="221" t="s">
        <v>2252</v>
      </c>
      <c r="AF95" s="221"/>
      <c r="AG95" s="221"/>
      <c r="AH95" s="221" t="s">
        <v>1663</v>
      </c>
      <c r="AI95" s="190"/>
    </row>
    <row r="96" ht="408.75" customHeight="1">
      <c r="A96" s="190"/>
      <c r="B96" s="216" t="s">
        <v>565</v>
      </c>
      <c r="C96" s="216" t="s">
        <v>566</v>
      </c>
      <c r="D96" s="216" t="s">
        <v>567</v>
      </c>
      <c r="E96" s="216" t="s">
        <v>568</v>
      </c>
      <c r="F96" s="222"/>
      <c r="G96" s="222"/>
      <c r="H96" s="222"/>
      <c r="I96" s="223"/>
      <c r="J96" s="216" t="s">
        <v>2253</v>
      </c>
      <c r="K96" s="220" t="s">
        <v>574</v>
      </c>
      <c r="L96" s="208" t="s">
        <v>307</v>
      </c>
      <c r="M96" s="208" t="s">
        <v>974</v>
      </c>
      <c r="N96" s="209" t="s">
        <v>1651</v>
      </c>
      <c r="O96" s="209"/>
      <c r="P96" s="209" t="s">
        <v>22</v>
      </c>
      <c r="Q96" s="209"/>
      <c r="R96" s="209"/>
      <c r="S96" s="232"/>
      <c r="T96" s="235" t="s">
        <v>2254</v>
      </c>
      <c r="U96" s="233" t="s">
        <v>1325</v>
      </c>
      <c r="V96" s="220" t="s">
        <v>1326</v>
      </c>
      <c r="W96" s="220" t="s">
        <v>1327</v>
      </c>
      <c r="X96" s="220" t="s">
        <v>1323</v>
      </c>
      <c r="Y96" s="220"/>
      <c r="Z96" s="216"/>
      <c r="AA96" s="220"/>
      <c r="AB96" s="220" t="s">
        <v>1770</v>
      </c>
      <c r="AC96" s="220" t="s">
        <v>2255</v>
      </c>
      <c r="AD96" s="220"/>
      <c r="AE96" s="221" t="s">
        <v>2256</v>
      </c>
      <c r="AF96" s="221"/>
      <c r="AG96" s="221"/>
      <c r="AH96" s="221" t="s">
        <v>1663</v>
      </c>
      <c r="AI96" s="190"/>
    </row>
    <row r="97" ht="408.75" customHeight="1">
      <c r="A97" s="190"/>
      <c r="B97" s="205" t="s">
        <v>565</v>
      </c>
      <c r="C97" s="205" t="s">
        <v>576</v>
      </c>
      <c r="D97" s="205" t="s">
        <v>577</v>
      </c>
      <c r="E97" s="205" t="s">
        <v>578</v>
      </c>
      <c r="F97" s="206" t="s">
        <v>2257</v>
      </c>
      <c r="G97" s="206" t="s">
        <v>2258</v>
      </c>
      <c r="H97" s="206" t="s">
        <v>2259</v>
      </c>
      <c r="I97" s="207" t="s">
        <v>2260</v>
      </c>
      <c r="J97" s="205" t="s">
        <v>2261</v>
      </c>
      <c r="K97" s="233" t="s">
        <v>580</v>
      </c>
      <c r="L97" s="208" t="s">
        <v>22</v>
      </c>
      <c r="M97" s="208" t="s">
        <v>22</v>
      </c>
      <c r="N97" s="209" t="s">
        <v>1651</v>
      </c>
      <c r="O97" s="209"/>
      <c r="P97" s="209" t="s">
        <v>22</v>
      </c>
      <c r="Q97" s="209"/>
      <c r="R97" s="209"/>
      <c r="S97" s="231"/>
      <c r="T97" s="211" t="s">
        <v>1652</v>
      </c>
      <c r="U97" s="205" t="s">
        <v>1328</v>
      </c>
      <c r="V97" s="147" t="s">
        <v>1329</v>
      </c>
      <c r="W97" s="147" t="s">
        <v>1330</v>
      </c>
      <c r="X97" s="147" t="s">
        <v>1331</v>
      </c>
      <c r="Y97" s="147"/>
      <c r="Z97" s="273"/>
      <c r="AA97" s="233"/>
      <c r="AB97" s="233" t="s">
        <v>1770</v>
      </c>
      <c r="AC97" s="147" t="s">
        <v>1654</v>
      </c>
      <c r="AD97" s="147" t="s">
        <v>1654</v>
      </c>
      <c r="AE97" s="214" t="s">
        <v>1654</v>
      </c>
      <c r="AF97" s="214" t="s">
        <v>1654</v>
      </c>
      <c r="AG97" s="275"/>
      <c r="AH97" s="275" t="s">
        <v>1655</v>
      </c>
      <c r="AI97" s="190"/>
    </row>
    <row r="98" ht="408.75" customHeight="1">
      <c r="A98" s="190"/>
      <c r="B98" s="216" t="s">
        <v>565</v>
      </c>
      <c r="C98" s="216" t="s">
        <v>576</v>
      </c>
      <c r="D98" s="216" t="s">
        <v>577</v>
      </c>
      <c r="E98" s="216" t="s">
        <v>578</v>
      </c>
      <c r="F98" s="217"/>
      <c r="G98" s="217"/>
      <c r="H98" s="217"/>
      <c r="I98" s="218"/>
      <c r="J98" s="216" t="s">
        <v>2262</v>
      </c>
      <c r="K98" s="220" t="s">
        <v>583</v>
      </c>
      <c r="L98" s="208" t="s">
        <v>307</v>
      </c>
      <c r="M98" s="208" t="s">
        <v>973</v>
      </c>
      <c r="N98" s="209" t="s">
        <v>1651</v>
      </c>
      <c r="O98" s="209"/>
      <c r="P98" s="209" t="s">
        <v>307</v>
      </c>
      <c r="Q98" s="209"/>
      <c r="R98" s="209"/>
      <c r="S98" s="249" t="s">
        <v>2263</v>
      </c>
      <c r="T98" s="235" t="s">
        <v>2264</v>
      </c>
      <c r="U98" s="147" t="s">
        <v>1333</v>
      </c>
      <c r="V98" s="220" t="s">
        <v>1334</v>
      </c>
      <c r="W98" s="220" t="s">
        <v>1335</v>
      </c>
      <c r="X98" s="280" t="s">
        <v>2265</v>
      </c>
      <c r="Y98" s="216" t="s">
        <v>2266</v>
      </c>
      <c r="Z98" s="234" t="s">
        <v>2267</v>
      </c>
      <c r="AA98" s="213" t="s">
        <v>2268</v>
      </c>
      <c r="AB98" s="213" t="s">
        <v>1298</v>
      </c>
      <c r="AC98" s="220" t="s">
        <v>2269</v>
      </c>
      <c r="AD98" s="220"/>
      <c r="AE98" s="221" t="s">
        <v>2270</v>
      </c>
      <c r="AF98" s="221"/>
      <c r="AG98" s="221" t="s">
        <v>2270</v>
      </c>
      <c r="AH98" s="221" t="s">
        <v>1663</v>
      </c>
      <c r="AI98" s="190"/>
    </row>
    <row r="99" ht="408.75" customHeight="1">
      <c r="A99" s="190"/>
      <c r="B99" s="216" t="s">
        <v>565</v>
      </c>
      <c r="C99" s="216" t="s">
        <v>576</v>
      </c>
      <c r="D99" s="216" t="s">
        <v>577</v>
      </c>
      <c r="E99" s="216" t="s">
        <v>578</v>
      </c>
      <c r="F99" s="217"/>
      <c r="G99" s="222"/>
      <c r="H99" s="222"/>
      <c r="I99" s="223"/>
      <c r="J99" s="216" t="s">
        <v>2271</v>
      </c>
      <c r="K99" s="220" t="s">
        <v>585</v>
      </c>
      <c r="L99" s="208" t="s">
        <v>2272</v>
      </c>
      <c r="M99" s="208" t="s">
        <v>974</v>
      </c>
      <c r="N99" s="209" t="s">
        <v>1651</v>
      </c>
      <c r="O99" s="209"/>
      <c r="P99" s="209" t="s">
        <v>307</v>
      </c>
      <c r="Q99" s="209"/>
      <c r="R99" s="209"/>
      <c r="S99" s="249" t="s">
        <v>2273</v>
      </c>
      <c r="T99" s="235" t="s">
        <v>2274</v>
      </c>
      <c r="U99" s="147" t="s">
        <v>2275</v>
      </c>
      <c r="V99" s="220" t="s">
        <v>1338</v>
      </c>
      <c r="W99" s="220" t="s">
        <v>1339</v>
      </c>
      <c r="X99" s="220" t="s">
        <v>2276</v>
      </c>
      <c r="Y99" s="216" t="s">
        <v>2266</v>
      </c>
      <c r="Z99" s="234" t="s">
        <v>2267</v>
      </c>
      <c r="AA99" s="213" t="s">
        <v>2268</v>
      </c>
      <c r="AB99" s="213" t="s">
        <v>1298</v>
      </c>
      <c r="AC99" s="220" t="s">
        <v>2277</v>
      </c>
      <c r="AD99" s="220"/>
      <c r="AE99" s="221" t="s">
        <v>2278</v>
      </c>
      <c r="AF99" s="221"/>
      <c r="AG99" s="221"/>
      <c r="AH99" s="221" t="s">
        <v>1663</v>
      </c>
      <c r="AI99" s="190"/>
    </row>
    <row r="100" ht="408.75" customHeight="1">
      <c r="A100" s="190"/>
      <c r="B100" s="205" t="s">
        <v>565</v>
      </c>
      <c r="C100" s="205" t="s">
        <v>576</v>
      </c>
      <c r="D100" s="205" t="s">
        <v>577</v>
      </c>
      <c r="E100" s="205" t="s">
        <v>578</v>
      </c>
      <c r="F100" s="217"/>
      <c r="G100" s="206" t="s">
        <v>2279</v>
      </c>
      <c r="H100" s="206" t="s">
        <v>2280</v>
      </c>
      <c r="I100" s="207" t="s">
        <v>2281</v>
      </c>
      <c r="J100" s="205" t="s">
        <v>2282</v>
      </c>
      <c r="K100" s="205" t="s">
        <v>588</v>
      </c>
      <c r="L100" s="208" t="s">
        <v>22</v>
      </c>
      <c r="M100" s="208" t="s">
        <v>22</v>
      </c>
      <c r="N100" s="209" t="s">
        <v>1651</v>
      </c>
      <c r="O100" s="209"/>
      <c r="P100" s="209" t="s">
        <v>22</v>
      </c>
      <c r="Q100" s="209"/>
      <c r="R100" s="209"/>
      <c r="S100" s="231"/>
      <c r="T100" s="211" t="s">
        <v>1652</v>
      </c>
      <c r="U100" s="205" t="s">
        <v>1341</v>
      </c>
      <c r="V100" s="147" t="s">
        <v>1342</v>
      </c>
      <c r="W100" s="147" t="s">
        <v>1343</v>
      </c>
      <c r="X100" s="147" t="s">
        <v>1344</v>
      </c>
      <c r="Y100" s="147"/>
      <c r="Z100" s="273"/>
      <c r="AA100" s="233"/>
      <c r="AB100" s="233" t="s">
        <v>1770</v>
      </c>
      <c r="AC100" s="147" t="s">
        <v>1654</v>
      </c>
      <c r="AD100" s="147" t="s">
        <v>1654</v>
      </c>
      <c r="AE100" s="214" t="s">
        <v>1654</v>
      </c>
      <c r="AF100" s="214" t="s">
        <v>1654</v>
      </c>
      <c r="AG100" s="275"/>
      <c r="AH100" s="275" t="s">
        <v>1655</v>
      </c>
      <c r="AI100" s="190"/>
    </row>
    <row r="101" ht="408.75" customHeight="1">
      <c r="A101" s="190"/>
      <c r="B101" s="216" t="s">
        <v>565</v>
      </c>
      <c r="C101" s="216" t="s">
        <v>576</v>
      </c>
      <c r="D101" s="216" t="s">
        <v>577</v>
      </c>
      <c r="E101" s="216" t="s">
        <v>578</v>
      </c>
      <c r="F101" s="222"/>
      <c r="G101" s="222"/>
      <c r="H101" s="222"/>
      <c r="I101" s="223"/>
      <c r="J101" s="216" t="s">
        <v>2283</v>
      </c>
      <c r="K101" s="216" t="s">
        <v>590</v>
      </c>
      <c r="L101" s="208" t="s">
        <v>307</v>
      </c>
      <c r="M101" s="208" t="s">
        <v>307</v>
      </c>
      <c r="N101" s="209" t="s">
        <v>1651</v>
      </c>
      <c r="O101" s="209"/>
      <c r="P101" s="209" t="s">
        <v>307</v>
      </c>
      <c r="Q101" s="209"/>
      <c r="R101" s="209"/>
      <c r="S101" s="277" t="s">
        <v>1346</v>
      </c>
      <c r="T101" s="235" t="s">
        <v>2284</v>
      </c>
      <c r="U101" s="152" t="s">
        <v>2285</v>
      </c>
      <c r="V101" s="220" t="s">
        <v>1347</v>
      </c>
      <c r="W101" s="220" t="s">
        <v>1348</v>
      </c>
      <c r="X101" s="220" t="s">
        <v>1055</v>
      </c>
      <c r="Y101" s="216" t="s">
        <v>2266</v>
      </c>
      <c r="Z101" s="234" t="s">
        <v>2267</v>
      </c>
      <c r="AA101" s="213" t="s">
        <v>2268</v>
      </c>
      <c r="AB101" s="213" t="s">
        <v>1298</v>
      </c>
      <c r="AC101" s="220" t="s">
        <v>2286</v>
      </c>
      <c r="AD101" s="220"/>
      <c r="AE101" s="221" t="s">
        <v>2287</v>
      </c>
      <c r="AF101" s="221"/>
      <c r="AG101" s="221"/>
      <c r="AH101" s="221" t="s">
        <v>1663</v>
      </c>
      <c r="AI101" s="190"/>
    </row>
    <row r="102" ht="408.75" customHeight="1">
      <c r="A102" s="190"/>
      <c r="B102" s="216" t="s">
        <v>565</v>
      </c>
      <c r="C102" s="216" t="s">
        <v>591</v>
      </c>
      <c r="D102" s="216" t="s">
        <v>592</v>
      </c>
      <c r="E102" s="216" t="s">
        <v>593</v>
      </c>
      <c r="F102" s="236" t="s">
        <v>2257</v>
      </c>
      <c r="G102" s="236" t="s">
        <v>2288</v>
      </c>
      <c r="H102" s="236" t="s">
        <v>2289</v>
      </c>
      <c r="I102" s="239" t="s">
        <v>2290</v>
      </c>
      <c r="J102" s="216" t="s">
        <v>2291</v>
      </c>
      <c r="K102" s="216" t="s">
        <v>595</v>
      </c>
      <c r="L102" s="208" t="s">
        <v>307</v>
      </c>
      <c r="M102" s="208" t="s">
        <v>307</v>
      </c>
      <c r="N102" s="219"/>
      <c r="O102" s="219"/>
      <c r="P102" s="219" t="s">
        <v>307</v>
      </c>
      <c r="Q102" s="219"/>
      <c r="R102" s="219"/>
      <c r="S102" s="249" t="s">
        <v>2292</v>
      </c>
      <c r="T102" s="235" t="s">
        <v>2293</v>
      </c>
      <c r="U102" s="147" t="s">
        <v>2294</v>
      </c>
      <c r="V102" s="220" t="s">
        <v>1109</v>
      </c>
      <c r="W102" s="220" t="s">
        <v>1350</v>
      </c>
      <c r="X102" s="220"/>
      <c r="Y102" s="216" t="s">
        <v>2266</v>
      </c>
      <c r="Z102" s="216"/>
      <c r="AA102" s="220"/>
      <c r="AB102" s="220" t="s">
        <v>1770</v>
      </c>
      <c r="AC102" s="220" t="s">
        <v>2295</v>
      </c>
      <c r="AD102" s="220"/>
      <c r="AE102" s="221" t="s">
        <v>2296</v>
      </c>
      <c r="AF102" s="221"/>
      <c r="AG102" s="221"/>
      <c r="AH102" s="221" t="s">
        <v>1663</v>
      </c>
      <c r="AI102" s="190"/>
    </row>
    <row r="103" ht="408.75" customHeight="1">
      <c r="A103" s="190"/>
      <c r="B103" s="216" t="s">
        <v>565</v>
      </c>
      <c r="C103" s="216" t="s">
        <v>598</v>
      </c>
      <c r="D103" s="216" t="s">
        <v>599</v>
      </c>
      <c r="E103" s="216" t="s">
        <v>600</v>
      </c>
      <c r="F103" s="244"/>
      <c r="G103" s="244"/>
      <c r="H103" s="281" t="s">
        <v>1939</v>
      </c>
      <c r="I103" s="282"/>
      <c r="J103" s="216" t="s">
        <v>2297</v>
      </c>
      <c r="K103" s="220" t="s">
        <v>602</v>
      </c>
      <c r="L103" s="208" t="s">
        <v>307</v>
      </c>
      <c r="M103" s="208" t="s">
        <v>307</v>
      </c>
      <c r="N103" s="209" t="s">
        <v>1651</v>
      </c>
      <c r="O103" s="209"/>
      <c r="P103" s="209" t="s">
        <v>307</v>
      </c>
      <c r="Q103" s="209"/>
      <c r="R103" s="209"/>
      <c r="S103" s="277" t="s">
        <v>2298</v>
      </c>
      <c r="T103" s="235" t="s">
        <v>2299</v>
      </c>
      <c r="U103" s="147" t="s">
        <v>2300</v>
      </c>
      <c r="V103" s="220" t="s">
        <v>1352</v>
      </c>
      <c r="W103" s="220" t="s">
        <v>1353</v>
      </c>
      <c r="X103" s="216" t="s">
        <v>2301</v>
      </c>
      <c r="Y103" s="216" t="s">
        <v>2266</v>
      </c>
      <c r="Z103" s="234" t="s">
        <v>2267</v>
      </c>
      <c r="AA103" s="213" t="s">
        <v>2268</v>
      </c>
      <c r="AB103" s="213" t="s">
        <v>1298</v>
      </c>
      <c r="AC103" s="220" t="s">
        <v>2269</v>
      </c>
      <c r="AD103" s="220"/>
      <c r="AE103" s="221" t="s">
        <v>2270</v>
      </c>
      <c r="AF103" s="221"/>
      <c r="AG103" s="221"/>
      <c r="AH103" s="221" t="s">
        <v>1663</v>
      </c>
      <c r="AI103" s="190"/>
    </row>
    <row r="104" ht="408.75" customHeight="1">
      <c r="A104" s="190"/>
      <c r="B104" s="216" t="s">
        <v>565</v>
      </c>
      <c r="C104" s="216" t="s">
        <v>598</v>
      </c>
      <c r="D104" s="216" t="s">
        <v>599</v>
      </c>
      <c r="E104" s="216" t="s">
        <v>600</v>
      </c>
      <c r="F104" s="244"/>
      <c r="G104" s="244"/>
      <c r="H104" s="283"/>
      <c r="I104" s="282"/>
      <c r="J104" s="216" t="s">
        <v>2302</v>
      </c>
      <c r="K104" s="220" t="s">
        <v>606</v>
      </c>
      <c r="L104" s="208" t="s">
        <v>307</v>
      </c>
      <c r="M104" s="208" t="s">
        <v>307</v>
      </c>
      <c r="N104" s="209" t="s">
        <v>1651</v>
      </c>
      <c r="O104" s="209"/>
      <c r="P104" s="209" t="s">
        <v>307</v>
      </c>
      <c r="Q104" s="209"/>
      <c r="R104" s="209"/>
      <c r="S104" s="249" t="s">
        <v>2303</v>
      </c>
      <c r="T104" s="235" t="s">
        <v>2304</v>
      </c>
      <c r="U104" s="147" t="s">
        <v>2305</v>
      </c>
      <c r="V104" s="220" t="s">
        <v>1338</v>
      </c>
      <c r="W104" s="220" t="s">
        <v>1339</v>
      </c>
      <c r="X104" s="220" t="s">
        <v>2276</v>
      </c>
      <c r="Y104" s="216" t="s">
        <v>2266</v>
      </c>
      <c r="Z104" s="234" t="s">
        <v>2267</v>
      </c>
      <c r="AA104" s="213" t="s">
        <v>2268</v>
      </c>
      <c r="AB104" s="213" t="s">
        <v>1298</v>
      </c>
      <c r="AC104" s="220" t="s">
        <v>2277</v>
      </c>
      <c r="AD104" s="220"/>
      <c r="AE104" s="221" t="s">
        <v>2278</v>
      </c>
      <c r="AF104" s="221"/>
      <c r="AG104" s="221" t="s">
        <v>2306</v>
      </c>
      <c r="AH104" s="221" t="s">
        <v>1663</v>
      </c>
      <c r="AI104" s="190"/>
    </row>
    <row r="105" ht="408.75" customHeight="1">
      <c r="A105" s="190"/>
      <c r="B105" s="216" t="s">
        <v>565</v>
      </c>
      <c r="C105" s="216" t="s">
        <v>598</v>
      </c>
      <c r="D105" s="216" t="s">
        <v>599</v>
      </c>
      <c r="E105" s="216" t="s">
        <v>600</v>
      </c>
      <c r="F105" s="244"/>
      <c r="G105" s="244"/>
      <c r="H105" s="284"/>
      <c r="I105" s="282"/>
      <c r="J105" s="216" t="s">
        <v>2307</v>
      </c>
      <c r="K105" s="220" t="s">
        <v>608</v>
      </c>
      <c r="L105" s="208" t="s">
        <v>307</v>
      </c>
      <c r="M105" s="208" t="s">
        <v>307</v>
      </c>
      <c r="N105" s="209" t="s">
        <v>1651</v>
      </c>
      <c r="O105" s="209"/>
      <c r="P105" s="209" t="s">
        <v>307</v>
      </c>
      <c r="Q105" s="209"/>
      <c r="R105" s="209"/>
      <c r="S105" s="249" t="s">
        <v>2308</v>
      </c>
      <c r="T105" s="235" t="s">
        <v>2309</v>
      </c>
      <c r="U105" s="147" t="s">
        <v>2310</v>
      </c>
      <c r="V105" s="220" t="s">
        <v>1358</v>
      </c>
      <c r="W105" s="220" t="s">
        <v>2311</v>
      </c>
      <c r="X105" s="220" t="s">
        <v>2312</v>
      </c>
      <c r="Y105" s="216" t="s">
        <v>2266</v>
      </c>
      <c r="Z105" s="234" t="s">
        <v>2267</v>
      </c>
      <c r="AA105" s="213" t="s">
        <v>2268</v>
      </c>
      <c r="AB105" s="213" t="s">
        <v>1298</v>
      </c>
      <c r="AC105" s="220" t="s">
        <v>2313</v>
      </c>
      <c r="AD105" s="220"/>
      <c r="AE105" s="221" t="s">
        <v>2314</v>
      </c>
      <c r="AF105" s="221"/>
      <c r="AG105" s="221"/>
      <c r="AH105" s="221" t="s">
        <v>1663</v>
      </c>
      <c r="AI105" s="190"/>
    </row>
    <row r="106" ht="408.75" customHeight="1">
      <c r="A106" s="190"/>
      <c r="B106" s="216" t="s">
        <v>565</v>
      </c>
      <c r="C106" s="216" t="s">
        <v>609</v>
      </c>
      <c r="D106" s="216" t="s">
        <v>610</v>
      </c>
      <c r="E106" s="216" t="s">
        <v>611</v>
      </c>
      <c r="F106" s="206" t="s">
        <v>2257</v>
      </c>
      <c r="G106" s="206" t="s">
        <v>2315</v>
      </c>
      <c r="H106" s="206" t="s">
        <v>2316</v>
      </c>
      <c r="I106" s="207" t="s">
        <v>2317</v>
      </c>
      <c r="J106" s="216" t="s">
        <v>2318</v>
      </c>
      <c r="K106" s="220" t="s">
        <v>613</v>
      </c>
      <c r="L106" s="208" t="s">
        <v>307</v>
      </c>
      <c r="M106" s="208" t="s">
        <v>307</v>
      </c>
      <c r="N106" s="209" t="s">
        <v>1651</v>
      </c>
      <c r="O106" s="209"/>
      <c r="P106" s="209" t="s">
        <v>307</v>
      </c>
      <c r="Q106" s="209"/>
      <c r="R106" s="209"/>
      <c r="S106" s="249" t="s">
        <v>2319</v>
      </c>
      <c r="T106" s="235" t="s">
        <v>2320</v>
      </c>
      <c r="U106" s="147" t="s">
        <v>2321</v>
      </c>
      <c r="V106" s="220" t="s">
        <v>1010</v>
      </c>
      <c r="W106" s="220" t="s">
        <v>1361</v>
      </c>
      <c r="X106" s="220" t="s">
        <v>1397</v>
      </c>
      <c r="Y106" s="216" t="s">
        <v>2266</v>
      </c>
      <c r="Z106" s="234" t="s">
        <v>2267</v>
      </c>
      <c r="AA106" s="213" t="s">
        <v>2268</v>
      </c>
      <c r="AB106" s="213" t="s">
        <v>1298</v>
      </c>
      <c r="AC106" s="220" t="s">
        <v>2322</v>
      </c>
      <c r="AD106" s="220"/>
      <c r="AE106" s="221" t="s">
        <v>2323</v>
      </c>
      <c r="AF106" s="221"/>
      <c r="AG106" s="221"/>
      <c r="AH106" s="221" t="s">
        <v>1663</v>
      </c>
      <c r="AI106" s="190"/>
    </row>
    <row r="107" ht="408.75" customHeight="1">
      <c r="A107" s="190"/>
      <c r="B107" s="216" t="s">
        <v>565</v>
      </c>
      <c r="C107" s="216" t="s">
        <v>609</v>
      </c>
      <c r="D107" s="216" t="s">
        <v>610</v>
      </c>
      <c r="E107" s="216" t="s">
        <v>611</v>
      </c>
      <c r="F107" s="217"/>
      <c r="G107" s="217"/>
      <c r="H107" s="217"/>
      <c r="I107" s="218"/>
      <c r="J107" s="216" t="s">
        <v>2324</v>
      </c>
      <c r="K107" s="220" t="s">
        <v>617</v>
      </c>
      <c r="L107" s="208" t="s">
        <v>307</v>
      </c>
      <c r="M107" s="208" t="s">
        <v>973</v>
      </c>
      <c r="N107" s="209" t="s">
        <v>1651</v>
      </c>
      <c r="O107" s="209"/>
      <c r="P107" s="209" t="s">
        <v>307</v>
      </c>
      <c r="Q107" s="209"/>
      <c r="R107" s="209"/>
      <c r="S107" s="249" t="s">
        <v>2325</v>
      </c>
      <c r="T107" s="235" t="s">
        <v>2326</v>
      </c>
      <c r="U107" s="147" t="s">
        <v>1363</v>
      </c>
      <c r="V107" s="220" t="s">
        <v>1364</v>
      </c>
      <c r="W107" s="220" t="s">
        <v>1365</v>
      </c>
      <c r="X107" s="220" t="s">
        <v>2327</v>
      </c>
      <c r="Y107" s="216" t="s">
        <v>2266</v>
      </c>
      <c r="Z107" s="234" t="s">
        <v>2267</v>
      </c>
      <c r="AA107" s="213" t="s">
        <v>2268</v>
      </c>
      <c r="AB107" s="213" t="s">
        <v>1298</v>
      </c>
      <c r="AC107" s="220" t="s">
        <v>2328</v>
      </c>
      <c r="AD107" s="220"/>
      <c r="AE107" s="221" t="s">
        <v>2329</v>
      </c>
      <c r="AF107" s="221"/>
      <c r="AG107" s="221"/>
      <c r="AH107" s="221" t="s">
        <v>1663</v>
      </c>
      <c r="AI107" s="190"/>
    </row>
    <row r="108" ht="408.75" customHeight="1">
      <c r="A108" s="190"/>
      <c r="B108" s="205" t="s">
        <v>565</v>
      </c>
      <c r="C108" s="205" t="s">
        <v>609</v>
      </c>
      <c r="D108" s="205" t="s">
        <v>610</v>
      </c>
      <c r="E108" s="205" t="s">
        <v>611</v>
      </c>
      <c r="F108" s="222"/>
      <c r="G108" s="222"/>
      <c r="H108" s="222"/>
      <c r="I108" s="223"/>
      <c r="J108" s="205" t="s">
        <v>2330</v>
      </c>
      <c r="K108" s="147" t="s">
        <v>619</v>
      </c>
      <c r="L108" s="208" t="s">
        <v>22</v>
      </c>
      <c r="M108" s="208" t="s">
        <v>22</v>
      </c>
      <c r="N108" s="209" t="s">
        <v>1651</v>
      </c>
      <c r="O108" s="209"/>
      <c r="P108" s="209" t="s">
        <v>22</v>
      </c>
      <c r="Q108" s="209"/>
      <c r="R108" s="209"/>
      <c r="S108" s="231"/>
      <c r="T108" s="211" t="s">
        <v>1652</v>
      </c>
      <c r="U108" s="205" t="s">
        <v>1367</v>
      </c>
      <c r="V108" s="147" t="s">
        <v>1338</v>
      </c>
      <c r="W108" s="147" t="s">
        <v>1368</v>
      </c>
      <c r="X108" s="147" t="s">
        <v>1369</v>
      </c>
      <c r="Y108" s="147"/>
      <c r="Z108" s="273"/>
      <c r="AA108" s="233"/>
      <c r="AB108" s="233" t="s">
        <v>2331</v>
      </c>
      <c r="AC108" s="147" t="s">
        <v>1654</v>
      </c>
      <c r="AD108" s="147" t="s">
        <v>1654</v>
      </c>
      <c r="AE108" s="214" t="s">
        <v>1654</v>
      </c>
      <c r="AF108" s="214" t="s">
        <v>1654</v>
      </c>
      <c r="AG108" s="275"/>
      <c r="AH108" s="275" t="s">
        <v>1655</v>
      </c>
      <c r="AI108" s="190"/>
    </row>
    <row r="109" ht="408.75" customHeight="1">
      <c r="A109" s="190"/>
      <c r="B109" s="216" t="s">
        <v>565</v>
      </c>
      <c r="C109" s="216" t="s">
        <v>620</v>
      </c>
      <c r="D109" s="216" t="s">
        <v>621</v>
      </c>
      <c r="E109" s="216" t="s">
        <v>622</v>
      </c>
      <c r="F109" s="236" t="s">
        <v>2257</v>
      </c>
      <c r="G109" s="236" t="s">
        <v>2332</v>
      </c>
      <c r="H109" s="236" t="s">
        <v>2333</v>
      </c>
      <c r="I109" s="239" t="s">
        <v>2334</v>
      </c>
      <c r="J109" s="216" t="s">
        <v>2335</v>
      </c>
      <c r="K109" s="220" t="s">
        <v>624</v>
      </c>
      <c r="L109" s="208" t="s">
        <v>307</v>
      </c>
      <c r="M109" s="208" t="s">
        <v>973</v>
      </c>
      <c r="N109" s="219"/>
      <c r="O109" s="219"/>
      <c r="P109" s="219" t="s">
        <v>22</v>
      </c>
      <c r="Q109" s="219"/>
      <c r="R109" s="219"/>
      <c r="S109" s="232"/>
      <c r="T109" s="147" t="s">
        <v>2336</v>
      </c>
      <c r="U109" s="147" t="s">
        <v>1370</v>
      </c>
      <c r="V109" s="220" t="s">
        <v>1317</v>
      </c>
      <c r="W109" s="220" t="s">
        <v>1371</v>
      </c>
      <c r="X109" s="220" t="s">
        <v>1372</v>
      </c>
      <c r="Y109" s="220"/>
      <c r="Z109" s="234" t="s">
        <v>2267</v>
      </c>
      <c r="AA109" s="213" t="s">
        <v>2268</v>
      </c>
      <c r="AB109" s="213" t="s">
        <v>2337</v>
      </c>
      <c r="AC109" s="220" t="s">
        <v>2269</v>
      </c>
      <c r="AD109" s="220"/>
      <c r="AE109" s="221" t="s">
        <v>2338</v>
      </c>
      <c r="AF109" s="221" t="s">
        <v>1747</v>
      </c>
      <c r="AG109" s="221"/>
      <c r="AH109" s="221" t="s">
        <v>1663</v>
      </c>
      <c r="AI109" s="190"/>
    </row>
    <row r="110" ht="408.75" customHeight="1">
      <c r="A110" s="190"/>
      <c r="B110" s="205" t="s">
        <v>565</v>
      </c>
      <c r="C110" s="205" t="s">
        <v>626</v>
      </c>
      <c r="D110" s="205" t="s">
        <v>627</v>
      </c>
      <c r="E110" s="205" t="s">
        <v>628</v>
      </c>
      <c r="F110" s="236" t="s">
        <v>2339</v>
      </c>
      <c r="G110" s="206" t="s">
        <v>2340</v>
      </c>
      <c r="H110" s="206" t="s">
        <v>2341</v>
      </c>
      <c r="I110" s="207" t="s">
        <v>2342</v>
      </c>
      <c r="J110" s="205" t="s">
        <v>2343</v>
      </c>
      <c r="K110" s="147" t="s">
        <v>630</v>
      </c>
      <c r="L110" s="208" t="s">
        <v>22</v>
      </c>
      <c r="M110" s="208" t="s">
        <v>22</v>
      </c>
      <c r="N110" s="209" t="s">
        <v>1651</v>
      </c>
      <c r="O110" s="209"/>
      <c r="P110" s="209" t="s">
        <v>22</v>
      </c>
      <c r="Q110" s="209"/>
      <c r="R110" s="209"/>
      <c r="S110" s="231"/>
      <c r="T110" s="211" t="s">
        <v>1652</v>
      </c>
      <c r="U110" s="205" t="s">
        <v>1373</v>
      </c>
      <c r="V110" s="147" t="s">
        <v>1109</v>
      </c>
      <c r="W110" s="147" t="s">
        <v>1350</v>
      </c>
      <c r="X110" s="147" t="s">
        <v>1374</v>
      </c>
      <c r="Y110" s="147"/>
      <c r="Z110" s="273"/>
      <c r="AA110" s="233"/>
      <c r="AB110" s="233" t="s">
        <v>2331</v>
      </c>
      <c r="AC110" s="147" t="s">
        <v>1654</v>
      </c>
      <c r="AD110" s="147" t="s">
        <v>1654</v>
      </c>
      <c r="AE110" s="214" t="s">
        <v>1654</v>
      </c>
      <c r="AF110" s="214" t="s">
        <v>1654</v>
      </c>
      <c r="AG110" s="275"/>
      <c r="AH110" s="275" t="s">
        <v>1655</v>
      </c>
      <c r="AI110" s="190"/>
    </row>
    <row r="111" ht="408.75" customHeight="1">
      <c r="A111" s="190"/>
      <c r="B111" s="216" t="s">
        <v>565</v>
      </c>
      <c r="C111" s="216" t="s">
        <v>626</v>
      </c>
      <c r="D111" s="216" t="s">
        <v>627</v>
      </c>
      <c r="E111" s="216" t="s">
        <v>628</v>
      </c>
      <c r="F111" s="236" t="s">
        <v>2257</v>
      </c>
      <c r="G111" s="222"/>
      <c r="H111" s="222"/>
      <c r="I111" s="223"/>
      <c r="J111" s="216" t="s">
        <v>2344</v>
      </c>
      <c r="K111" s="220" t="s">
        <v>635</v>
      </c>
      <c r="L111" s="208" t="s">
        <v>2272</v>
      </c>
      <c r="M111" s="208" t="s">
        <v>2272</v>
      </c>
      <c r="N111" s="219"/>
      <c r="O111" s="219"/>
      <c r="P111" s="219" t="s">
        <v>307</v>
      </c>
      <c r="Q111" s="219"/>
      <c r="R111" s="219"/>
      <c r="S111" s="277" t="s">
        <v>2345</v>
      </c>
      <c r="T111" s="235" t="s">
        <v>2346</v>
      </c>
      <c r="U111" s="147" t="s">
        <v>2347</v>
      </c>
      <c r="V111" s="220" t="s">
        <v>1109</v>
      </c>
      <c r="W111" s="220" t="s">
        <v>1350</v>
      </c>
      <c r="X111" s="220"/>
      <c r="Y111" s="216" t="s">
        <v>2266</v>
      </c>
      <c r="Z111" s="216"/>
      <c r="AA111" s="220"/>
      <c r="AB111" s="220" t="s">
        <v>1770</v>
      </c>
      <c r="AC111" s="220" t="s">
        <v>2295</v>
      </c>
      <c r="AD111" s="220"/>
      <c r="AE111" s="221" t="s">
        <v>2348</v>
      </c>
      <c r="AF111" s="221"/>
      <c r="AG111" s="221"/>
      <c r="AH111" s="221" t="s">
        <v>1663</v>
      </c>
      <c r="AI111" s="190"/>
    </row>
    <row r="112" ht="408.75" customHeight="1">
      <c r="A112" s="190"/>
      <c r="B112" s="216" t="s">
        <v>565</v>
      </c>
      <c r="C112" s="216" t="s">
        <v>637</v>
      </c>
      <c r="D112" s="216" t="s">
        <v>638</v>
      </c>
      <c r="E112" s="216" t="s">
        <v>639</v>
      </c>
      <c r="F112" s="236" t="s">
        <v>2339</v>
      </c>
      <c r="G112" s="236" t="s">
        <v>2349</v>
      </c>
      <c r="H112" s="236" t="s">
        <v>2350</v>
      </c>
      <c r="I112" s="239" t="s">
        <v>2351</v>
      </c>
      <c r="J112" s="216" t="s">
        <v>2352</v>
      </c>
      <c r="K112" s="220" t="s">
        <v>641</v>
      </c>
      <c r="L112" s="208" t="s">
        <v>307</v>
      </c>
      <c r="M112" s="208" t="s">
        <v>974</v>
      </c>
      <c r="N112" s="209" t="s">
        <v>1651</v>
      </c>
      <c r="O112" s="209"/>
      <c r="P112" s="209" t="s">
        <v>307</v>
      </c>
      <c r="Q112" s="209"/>
      <c r="R112" s="209"/>
      <c r="S112" s="277" t="s">
        <v>2353</v>
      </c>
      <c r="T112" s="235" t="s">
        <v>2354</v>
      </c>
      <c r="U112" s="147" t="s">
        <v>1377</v>
      </c>
      <c r="V112" s="220" t="s">
        <v>1338</v>
      </c>
      <c r="W112" s="220" t="s">
        <v>1368</v>
      </c>
      <c r="X112" s="220" t="s">
        <v>2355</v>
      </c>
      <c r="Y112" s="216" t="s">
        <v>2266</v>
      </c>
      <c r="Z112" s="234" t="s">
        <v>2267</v>
      </c>
      <c r="AA112" s="213" t="s">
        <v>2268</v>
      </c>
      <c r="AB112" s="213" t="s">
        <v>1298</v>
      </c>
      <c r="AC112" s="220" t="s">
        <v>2356</v>
      </c>
      <c r="AD112" s="220"/>
      <c r="AE112" s="221" t="s">
        <v>2357</v>
      </c>
      <c r="AF112" s="221"/>
      <c r="AG112" s="221"/>
      <c r="AH112" s="221" t="s">
        <v>1663</v>
      </c>
      <c r="AI112" s="190"/>
    </row>
    <row r="113" ht="408.75" customHeight="1">
      <c r="A113" s="190"/>
      <c r="B113" s="216" t="s">
        <v>565</v>
      </c>
      <c r="C113" s="216" t="s">
        <v>643</v>
      </c>
      <c r="D113" s="216" t="s">
        <v>644</v>
      </c>
      <c r="E113" s="216" t="s">
        <v>645</v>
      </c>
      <c r="F113" s="236" t="s">
        <v>2339</v>
      </c>
      <c r="G113" s="236" t="s">
        <v>2358</v>
      </c>
      <c r="H113" s="236" t="s">
        <v>2359</v>
      </c>
      <c r="I113" s="239" t="s">
        <v>2360</v>
      </c>
      <c r="J113" s="216" t="s">
        <v>646</v>
      </c>
      <c r="K113" s="220" t="s">
        <v>647</v>
      </c>
      <c r="L113" s="208" t="s">
        <v>307</v>
      </c>
      <c r="M113" s="208" t="s">
        <v>973</v>
      </c>
      <c r="N113" s="219"/>
      <c r="O113" s="219"/>
      <c r="P113" s="219" t="s">
        <v>22</v>
      </c>
      <c r="Q113" s="219"/>
      <c r="R113" s="219"/>
      <c r="S113" s="232"/>
      <c r="T113" s="235" t="s">
        <v>2361</v>
      </c>
      <c r="U113" s="147" t="s">
        <v>1378</v>
      </c>
      <c r="V113" s="220" t="s">
        <v>1258</v>
      </c>
      <c r="W113" s="220" t="s">
        <v>1379</v>
      </c>
      <c r="X113" s="220" t="s">
        <v>2362</v>
      </c>
      <c r="Y113" s="216"/>
      <c r="Z113" s="234" t="s">
        <v>2267</v>
      </c>
      <c r="AA113" s="213" t="s">
        <v>2268</v>
      </c>
      <c r="AB113" s="213" t="s">
        <v>1298</v>
      </c>
      <c r="AC113" s="285" t="s">
        <v>2363</v>
      </c>
      <c r="AD113" s="220"/>
      <c r="AE113" s="221" t="s">
        <v>2364</v>
      </c>
      <c r="AF113" s="221"/>
      <c r="AG113" s="221"/>
      <c r="AH113" s="221" t="s">
        <v>1663</v>
      </c>
      <c r="AI113" s="190"/>
    </row>
    <row r="114" ht="408.75" customHeight="1">
      <c r="A114" s="190"/>
      <c r="B114" s="216" t="s">
        <v>565</v>
      </c>
      <c r="C114" s="216" t="s">
        <v>650</v>
      </c>
      <c r="D114" s="216" t="s">
        <v>651</v>
      </c>
      <c r="E114" s="216" t="s">
        <v>652</v>
      </c>
      <c r="F114" s="206" t="s">
        <v>2365</v>
      </c>
      <c r="G114" s="236" t="s">
        <v>2366</v>
      </c>
      <c r="H114" s="236" t="s">
        <v>2367</v>
      </c>
      <c r="I114" s="239" t="s">
        <v>2368</v>
      </c>
      <c r="J114" s="216" t="s">
        <v>2369</v>
      </c>
      <c r="K114" s="220" t="s">
        <v>654</v>
      </c>
      <c r="L114" s="208" t="s">
        <v>307</v>
      </c>
      <c r="M114" s="208" t="s">
        <v>974</v>
      </c>
      <c r="N114" s="219"/>
      <c r="O114" s="219"/>
      <c r="P114" s="219" t="s">
        <v>22</v>
      </c>
      <c r="Q114" s="219"/>
      <c r="R114" s="219"/>
      <c r="S114" s="232"/>
      <c r="T114" s="235" t="s">
        <v>2370</v>
      </c>
      <c r="U114" s="147" t="s">
        <v>2371</v>
      </c>
      <c r="V114" s="220" t="s">
        <v>1100</v>
      </c>
      <c r="W114" s="220" t="s">
        <v>1382</v>
      </c>
      <c r="X114" s="216" t="s">
        <v>2372</v>
      </c>
      <c r="Y114" s="216" t="s">
        <v>2373</v>
      </c>
      <c r="Z114" s="234" t="s">
        <v>2267</v>
      </c>
      <c r="AA114" s="213" t="s">
        <v>2268</v>
      </c>
      <c r="AB114" s="213" t="s">
        <v>1298</v>
      </c>
      <c r="AC114" s="220" t="s">
        <v>2374</v>
      </c>
      <c r="AD114" s="221"/>
      <c r="AE114" s="221" t="s">
        <v>2375</v>
      </c>
      <c r="AF114" s="221"/>
      <c r="AG114" s="221"/>
      <c r="AH114" s="221" t="s">
        <v>1663</v>
      </c>
      <c r="AI114" s="190"/>
    </row>
    <row r="115" ht="408.75" customHeight="1">
      <c r="A115" s="190"/>
      <c r="B115" s="216" t="s">
        <v>565</v>
      </c>
      <c r="C115" s="216" t="s">
        <v>650</v>
      </c>
      <c r="D115" s="216" t="s">
        <v>651</v>
      </c>
      <c r="E115" s="216" t="s">
        <v>652</v>
      </c>
      <c r="F115" s="217"/>
      <c r="G115" s="236" t="s">
        <v>2376</v>
      </c>
      <c r="H115" s="236" t="s">
        <v>2377</v>
      </c>
      <c r="I115" s="237" t="s">
        <v>2378</v>
      </c>
      <c r="J115" s="216" t="s">
        <v>2379</v>
      </c>
      <c r="K115" s="220" t="s">
        <v>658</v>
      </c>
      <c r="L115" s="208" t="s">
        <v>307</v>
      </c>
      <c r="M115" s="208" t="s">
        <v>307</v>
      </c>
      <c r="N115" s="219"/>
      <c r="O115" s="219"/>
      <c r="P115" s="219" t="s">
        <v>22</v>
      </c>
      <c r="Q115" s="219"/>
      <c r="R115" s="219"/>
      <c r="S115" s="232"/>
      <c r="T115" s="235" t="s">
        <v>2380</v>
      </c>
      <c r="U115" s="233" t="s">
        <v>2381</v>
      </c>
      <c r="V115" s="220" t="s">
        <v>1364</v>
      </c>
      <c r="W115" s="220" t="s">
        <v>1386</v>
      </c>
      <c r="X115" s="220" t="s">
        <v>1387</v>
      </c>
      <c r="Y115" s="220"/>
      <c r="Z115" s="234" t="s">
        <v>2267</v>
      </c>
      <c r="AA115" s="213" t="s">
        <v>2268</v>
      </c>
      <c r="AB115" s="213" t="s">
        <v>2337</v>
      </c>
      <c r="AC115" s="220" t="s">
        <v>2382</v>
      </c>
      <c r="AD115" s="220"/>
      <c r="AE115" s="221" t="s">
        <v>2383</v>
      </c>
      <c r="AF115" s="221"/>
      <c r="AG115" s="221"/>
      <c r="AH115" s="221" t="s">
        <v>1663</v>
      </c>
      <c r="AI115" s="190"/>
    </row>
    <row r="116" ht="408.75" customHeight="1">
      <c r="A116" s="190"/>
      <c r="B116" s="216" t="s">
        <v>565</v>
      </c>
      <c r="C116" s="216" t="s">
        <v>650</v>
      </c>
      <c r="D116" s="216" t="s">
        <v>651</v>
      </c>
      <c r="E116" s="216" t="s">
        <v>652</v>
      </c>
      <c r="F116" s="222"/>
      <c r="G116" s="236" t="s">
        <v>2384</v>
      </c>
      <c r="H116" s="236" t="s">
        <v>2385</v>
      </c>
      <c r="I116" s="239" t="s">
        <v>2386</v>
      </c>
      <c r="J116" s="216" t="s">
        <v>659</v>
      </c>
      <c r="K116" s="216" t="s">
        <v>660</v>
      </c>
      <c r="L116" s="208" t="s">
        <v>307</v>
      </c>
      <c r="M116" s="208" t="s">
        <v>973</v>
      </c>
      <c r="N116" s="219"/>
      <c r="O116" s="219"/>
      <c r="P116" s="219" t="s">
        <v>22</v>
      </c>
      <c r="Q116" s="219"/>
      <c r="R116" s="219"/>
      <c r="S116" s="232"/>
      <c r="T116" s="235" t="s">
        <v>2387</v>
      </c>
      <c r="U116" s="147" t="s">
        <v>1388</v>
      </c>
      <c r="V116" s="220" t="s">
        <v>1364</v>
      </c>
      <c r="W116" s="220" t="s">
        <v>1389</v>
      </c>
      <c r="X116" s="220" t="s">
        <v>2388</v>
      </c>
      <c r="Y116" s="220"/>
      <c r="Z116" s="216"/>
      <c r="AA116" s="220"/>
      <c r="AB116" s="220" t="s">
        <v>1726</v>
      </c>
      <c r="AC116" s="220" t="s">
        <v>2389</v>
      </c>
      <c r="AD116" s="220"/>
      <c r="AE116" s="221" t="s">
        <v>2390</v>
      </c>
      <c r="AF116" s="221"/>
      <c r="AG116" s="221"/>
      <c r="AH116" s="221" t="s">
        <v>1663</v>
      </c>
      <c r="AI116" s="190"/>
    </row>
    <row r="117" ht="408.75" customHeight="1">
      <c r="A117" s="190"/>
      <c r="B117" s="205" t="s">
        <v>565</v>
      </c>
      <c r="C117" s="205" t="s">
        <v>650</v>
      </c>
      <c r="D117" s="205" t="s">
        <v>651</v>
      </c>
      <c r="E117" s="205" t="s">
        <v>652</v>
      </c>
      <c r="F117" s="236" t="s">
        <v>2339</v>
      </c>
      <c r="G117" s="236" t="s">
        <v>2391</v>
      </c>
      <c r="H117" s="236" t="s">
        <v>2392</v>
      </c>
      <c r="I117" s="239" t="s">
        <v>2393</v>
      </c>
      <c r="J117" s="205" t="s">
        <v>661</v>
      </c>
      <c r="K117" s="205" t="s">
        <v>662</v>
      </c>
      <c r="L117" s="208" t="s">
        <v>22</v>
      </c>
      <c r="M117" s="208" t="s">
        <v>22</v>
      </c>
      <c r="N117" s="219" t="s">
        <v>1651</v>
      </c>
      <c r="O117" s="219"/>
      <c r="P117" s="219" t="s">
        <v>22</v>
      </c>
      <c r="Q117" s="219"/>
      <c r="R117" s="219"/>
      <c r="S117" s="231"/>
      <c r="T117" s="211" t="s">
        <v>1652</v>
      </c>
      <c r="U117" s="205" t="s">
        <v>1391</v>
      </c>
      <c r="V117" s="147" t="s">
        <v>1100</v>
      </c>
      <c r="W117" s="147" t="s">
        <v>1392</v>
      </c>
      <c r="X117" s="152" t="s">
        <v>1393</v>
      </c>
      <c r="Y117" s="152"/>
      <c r="Z117" s="273"/>
      <c r="AA117" s="233"/>
      <c r="AB117" s="233" t="s">
        <v>2394</v>
      </c>
      <c r="AC117" s="147" t="s">
        <v>1654</v>
      </c>
      <c r="AD117" s="147" t="s">
        <v>1654</v>
      </c>
      <c r="AE117" s="214" t="s">
        <v>1654</v>
      </c>
      <c r="AF117" s="214" t="s">
        <v>1654</v>
      </c>
      <c r="AG117" s="275"/>
      <c r="AH117" s="275" t="s">
        <v>1655</v>
      </c>
      <c r="AI117" s="190"/>
    </row>
    <row r="118" ht="408.75" customHeight="1">
      <c r="A118" s="190"/>
      <c r="B118" s="205" t="s">
        <v>565</v>
      </c>
      <c r="C118" s="205" t="s">
        <v>663</v>
      </c>
      <c r="D118" s="205" t="s">
        <v>664</v>
      </c>
      <c r="E118" s="205" t="s">
        <v>665</v>
      </c>
      <c r="F118" s="236" t="s">
        <v>2339</v>
      </c>
      <c r="G118" s="236" t="s">
        <v>2395</v>
      </c>
      <c r="H118" s="236" t="s">
        <v>2396</v>
      </c>
      <c r="I118" s="239" t="s">
        <v>2397</v>
      </c>
      <c r="J118" s="205" t="s">
        <v>2398</v>
      </c>
      <c r="K118" s="205" t="s">
        <v>667</v>
      </c>
      <c r="L118" s="208" t="s">
        <v>22</v>
      </c>
      <c r="M118" s="208" t="s">
        <v>22</v>
      </c>
      <c r="N118" s="209" t="s">
        <v>1651</v>
      </c>
      <c r="O118" s="209"/>
      <c r="P118" s="209" t="s">
        <v>22</v>
      </c>
      <c r="Q118" s="209"/>
      <c r="R118" s="209"/>
      <c r="S118" s="232"/>
      <c r="T118" s="211" t="s">
        <v>1652</v>
      </c>
      <c r="U118" s="147" t="s">
        <v>2399</v>
      </c>
      <c r="V118" s="147" t="s">
        <v>1395</v>
      </c>
      <c r="W118" s="147" t="s">
        <v>1396</v>
      </c>
      <c r="X118" s="147" t="s">
        <v>1397</v>
      </c>
      <c r="Y118" s="147"/>
      <c r="Z118" s="273"/>
      <c r="AA118" s="233"/>
      <c r="AB118" s="233" t="s">
        <v>2331</v>
      </c>
      <c r="AC118" s="147" t="s">
        <v>1654</v>
      </c>
      <c r="AD118" s="147" t="s">
        <v>1654</v>
      </c>
      <c r="AE118" s="214" t="s">
        <v>1654</v>
      </c>
      <c r="AF118" s="214" t="s">
        <v>1654</v>
      </c>
      <c r="AG118" s="275"/>
      <c r="AH118" s="275" t="s">
        <v>1655</v>
      </c>
      <c r="AI118" s="190"/>
    </row>
    <row r="119" ht="408.75" customHeight="1">
      <c r="A119" s="190"/>
      <c r="B119" s="205" t="s">
        <v>565</v>
      </c>
      <c r="C119" s="205" t="s">
        <v>669</v>
      </c>
      <c r="D119" s="205" t="s">
        <v>670</v>
      </c>
      <c r="E119" s="205" t="s">
        <v>671</v>
      </c>
      <c r="F119" s="236" t="s">
        <v>2339</v>
      </c>
      <c r="G119" s="236" t="s">
        <v>2400</v>
      </c>
      <c r="H119" s="236" t="s">
        <v>2401</v>
      </c>
      <c r="I119" s="239" t="s">
        <v>2402</v>
      </c>
      <c r="J119" s="205" t="s">
        <v>2403</v>
      </c>
      <c r="K119" s="205" t="s">
        <v>673</v>
      </c>
      <c r="L119" s="208" t="s">
        <v>22</v>
      </c>
      <c r="M119" s="208" t="s">
        <v>22</v>
      </c>
      <c r="N119" s="209" t="s">
        <v>1651</v>
      </c>
      <c r="O119" s="209"/>
      <c r="P119" s="209" t="s">
        <v>22</v>
      </c>
      <c r="Q119" s="209"/>
      <c r="R119" s="209"/>
      <c r="S119" s="231"/>
      <c r="T119" s="211" t="s">
        <v>1669</v>
      </c>
      <c r="U119" s="205" t="s">
        <v>1398</v>
      </c>
      <c r="V119" s="147" t="s">
        <v>1399</v>
      </c>
      <c r="W119" s="147" t="s">
        <v>1400</v>
      </c>
      <c r="X119" s="147" t="s">
        <v>1401</v>
      </c>
      <c r="Y119" s="147"/>
      <c r="Z119" s="273"/>
      <c r="AA119" s="233"/>
      <c r="AB119" s="233" t="s">
        <v>2331</v>
      </c>
      <c r="AC119" s="147" t="s">
        <v>1654</v>
      </c>
      <c r="AD119" s="147" t="s">
        <v>1654</v>
      </c>
      <c r="AE119" s="214" t="s">
        <v>1654</v>
      </c>
      <c r="AF119" s="214" t="s">
        <v>2404</v>
      </c>
      <c r="AG119" s="275"/>
      <c r="AH119" s="275" t="s">
        <v>1655</v>
      </c>
      <c r="AI119" s="190"/>
    </row>
    <row r="120" ht="408.75" customHeight="1">
      <c r="A120" s="190"/>
      <c r="B120" s="216" t="s">
        <v>565</v>
      </c>
      <c r="C120" s="216" t="s">
        <v>675</v>
      </c>
      <c r="D120" s="216" t="s">
        <v>676</v>
      </c>
      <c r="E120" s="216" t="s">
        <v>677</v>
      </c>
      <c r="F120" s="236" t="s">
        <v>2339</v>
      </c>
      <c r="G120" s="236" t="s">
        <v>2405</v>
      </c>
      <c r="H120" s="236" t="s">
        <v>2406</v>
      </c>
      <c r="I120" s="239" t="s">
        <v>2407</v>
      </c>
      <c r="J120" s="216" t="s">
        <v>2408</v>
      </c>
      <c r="K120" s="216" t="s">
        <v>679</v>
      </c>
      <c r="L120" s="208" t="s">
        <v>307</v>
      </c>
      <c r="M120" s="208" t="s">
        <v>973</v>
      </c>
      <c r="N120" s="209" t="s">
        <v>1651</v>
      </c>
      <c r="O120" s="209"/>
      <c r="P120" s="209" t="s">
        <v>22</v>
      </c>
      <c r="Q120" s="209"/>
      <c r="R120" s="209"/>
      <c r="S120" s="232"/>
      <c r="T120" s="235" t="s">
        <v>2409</v>
      </c>
      <c r="U120" s="147" t="s">
        <v>1402</v>
      </c>
      <c r="V120" s="220" t="s">
        <v>1118</v>
      </c>
      <c r="W120" s="220" t="s">
        <v>1403</v>
      </c>
      <c r="X120" s="220" t="s">
        <v>2410</v>
      </c>
      <c r="Y120" s="220"/>
      <c r="Z120" s="234" t="s">
        <v>2411</v>
      </c>
      <c r="AA120" s="213" t="s">
        <v>2031</v>
      </c>
      <c r="AB120" s="213" t="s">
        <v>2018</v>
      </c>
      <c r="AC120" s="220" t="s">
        <v>2412</v>
      </c>
      <c r="AD120" s="213" t="s">
        <v>2413</v>
      </c>
      <c r="AE120" s="221" t="s">
        <v>2414</v>
      </c>
      <c r="AF120" s="221" t="s">
        <v>1747</v>
      </c>
      <c r="AG120" s="221"/>
      <c r="AH120" s="221" t="s">
        <v>1663</v>
      </c>
      <c r="AI120" s="190"/>
    </row>
    <row r="121" ht="408.75" customHeight="1">
      <c r="A121" s="190"/>
      <c r="B121" s="216" t="s">
        <v>565</v>
      </c>
      <c r="C121" s="216" t="s">
        <v>682</v>
      </c>
      <c r="D121" s="216" t="s">
        <v>683</v>
      </c>
      <c r="E121" s="216" t="s">
        <v>684</v>
      </c>
      <c r="F121" s="236" t="s">
        <v>2339</v>
      </c>
      <c r="G121" s="206" t="s">
        <v>2415</v>
      </c>
      <c r="H121" s="206" t="s">
        <v>2416</v>
      </c>
      <c r="I121" s="207" t="s">
        <v>2417</v>
      </c>
      <c r="J121" s="216" t="s">
        <v>2418</v>
      </c>
      <c r="K121" s="216" t="s">
        <v>686</v>
      </c>
      <c r="L121" s="208" t="s">
        <v>307</v>
      </c>
      <c r="M121" s="208" t="s">
        <v>307</v>
      </c>
      <c r="N121" s="219"/>
      <c r="O121" s="219"/>
      <c r="P121" s="219" t="s">
        <v>307</v>
      </c>
      <c r="Q121" s="219"/>
      <c r="R121" s="219"/>
      <c r="S121" s="277" t="s">
        <v>2419</v>
      </c>
      <c r="T121" s="205" t="s">
        <v>2420</v>
      </c>
      <c r="U121" s="152" t="s">
        <v>1405</v>
      </c>
      <c r="V121" s="220" t="s">
        <v>1364</v>
      </c>
      <c r="W121" s="220" t="s">
        <v>1386</v>
      </c>
      <c r="X121" s="220" t="s">
        <v>2421</v>
      </c>
      <c r="Y121" s="220" t="s">
        <v>1680</v>
      </c>
      <c r="Z121" s="234" t="s">
        <v>2267</v>
      </c>
      <c r="AA121" s="213" t="s">
        <v>2268</v>
      </c>
      <c r="AB121" s="213" t="s">
        <v>1069</v>
      </c>
      <c r="AC121" s="220" t="s">
        <v>2382</v>
      </c>
      <c r="AD121" s="220"/>
      <c r="AE121" s="221" t="s">
        <v>2422</v>
      </c>
      <c r="AF121" s="221"/>
      <c r="AG121" s="221" t="s">
        <v>2422</v>
      </c>
      <c r="AH121" s="221" t="s">
        <v>1663</v>
      </c>
      <c r="AI121" s="190"/>
    </row>
    <row r="122" ht="408.75" customHeight="1">
      <c r="A122" s="190"/>
      <c r="B122" s="216" t="s">
        <v>565</v>
      </c>
      <c r="C122" s="216" t="s">
        <v>682</v>
      </c>
      <c r="D122" s="216" t="s">
        <v>683</v>
      </c>
      <c r="E122" s="216" t="s">
        <v>684</v>
      </c>
      <c r="F122" s="236" t="s">
        <v>2339</v>
      </c>
      <c r="G122" s="222"/>
      <c r="H122" s="222"/>
      <c r="I122" s="223"/>
      <c r="J122" s="216" t="s">
        <v>2423</v>
      </c>
      <c r="K122" s="216" t="s">
        <v>690</v>
      </c>
      <c r="L122" s="208" t="s">
        <v>307</v>
      </c>
      <c r="M122" s="208" t="s">
        <v>307</v>
      </c>
      <c r="N122" s="219"/>
      <c r="O122" s="219"/>
      <c r="P122" s="219" t="s">
        <v>307</v>
      </c>
      <c r="Q122" s="219"/>
      <c r="R122" s="219"/>
      <c r="S122" s="277" t="s">
        <v>2424</v>
      </c>
      <c r="T122" s="205" t="s">
        <v>2425</v>
      </c>
      <c r="U122" s="152" t="s">
        <v>1407</v>
      </c>
      <c r="V122" s="220" t="s">
        <v>1364</v>
      </c>
      <c r="W122" s="220" t="s">
        <v>1386</v>
      </c>
      <c r="X122" s="216" t="s">
        <v>2426</v>
      </c>
      <c r="Y122" s="220" t="s">
        <v>1680</v>
      </c>
      <c r="Z122" s="234" t="s">
        <v>2267</v>
      </c>
      <c r="AA122" s="213" t="s">
        <v>2268</v>
      </c>
      <c r="AB122" s="213" t="s">
        <v>1069</v>
      </c>
      <c r="AC122" s="220" t="s">
        <v>2382</v>
      </c>
      <c r="AD122" s="220"/>
      <c r="AE122" s="221" t="s">
        <v>2422</v>
      </c>
      <c r="AF122" s="221"/>
      <c r="AG122" s="221" t="s">
        <v>2422</v>
      </c>
      <c r="AH122" s="221" t="s">
        <v>1663</v>
      </c>
      <c r="AI122" s="190"/>
    </row>
    <row r="123" ht="408.75" customHeight="1">
      <c r="A123" s="190"/>
      <c r="B123" s="216" t="s">
        <v>691</v>
      </c>
      <c r="C123" s="220" t="s">
        <v>692</v>
      </c>
      <c r="D123" s="220" t="s">
        <v>693</v>
      </c>
      <c r="E123" s="220" t="s">
        <v>694</v>
      </c>
      <c r="F123" s="286" t="s">
        <v>2427</v>
      </c>
      <c r="G123" s="286" t="s">
        <v>2428</v>
      </c>
      <c r="H123" s="286" t="s">
        <v>2429</v>
      </c>
      <c r="I123" s="287" t="s">
        <v>2430</v>
      </c>
      <c r="J123" s="220" t="s">
        <v>695</v>
      </c>
      <c r="K123" s="220" t="s">
        <v>696</v>
      </c>
      <c r="L123" s="208" t="s">
        <v>307</v>
      </c>
      <c r="M123" s="208" t="s">
        <v>973</v>
      </c>
      <c r="N123" s="209" t="s">
        <v>1651</v>
      </c>
      <c r="O123" s="209"/>
      <c r="P123" s="209" t="s">
        <v>22</v>
      </c>
      <c r="Q123" s="209"/>
      <c r="R123" s="209"/>
      <c r="S123" s="232"/>
      <c r="T123" s="235" t="s">
        <v>2431</v>
      </c>
      <c r="U123" s="147" t="s">
        <v>1408</v>
      </c>
      <c r="V123" s="220" t="s">
        <v>1409</v>
      </c>
      <c r="W123" s="220" t="s">
        <v>1410</v>
      </c>
      <c r="X123" s="220" t="s">
        <v>2432</v>
      </c>
      <c r="Y123" s="220"/>
      <c r="Z123" s="220"/>
      <c r="AA123" s="220"/>
      <c r="AB123" s="220" t="s">
        <v>1726</v>
      </c>
      <c r="AC123" s="220" t="s">
        <v>2433</v>
      </c>
      <c r="AD123" s="220"/>
      <c r="AE123" s="221" t="s">
        <v>2434</v>
      </c>
      <c r="AF123" s="221" t="s">
        <v>1747</v>
      </c>
      <c r="AG123" s="221"/>
      <c r="AH123" s="221" t="s">
        <v>1663</v>
      </c>
      <c r="AI123" s="190"/>
    </row>
    <row r="124" ht="408.75" customHeight="1">
      <c r="A124" s="190"/>
      <c r="B124" s="216" t="s">
        <v>691</v>
      </c>
      <c r="C124" s="220" t="s">
        <v>692</v>
      </c>
      <c r="D124" s="220" t="s">
        <v>693</v>
      </c>
      <c r="E124" s="220" t="s">
        <v>694</v>
      </c>
      <c r="F124" s="286" t="s">
        <v>2339</v>
      </c>
      <c r="G124" s="286" t="s">
        <v>2435</v>
      </c>
      <c r="H124" s="286" t="s">
        <v>2436</v>
      </c>
      <c r="I124" s="287" t="s">
        <v>2437</v>
      </c>
      <c r="J124" s="220" t="s">
        <v>2438</v>
      </c>
      <c r="K124" s="220" t="s">
        <v>701</v>
      </c>
      <c r="L124" s="208" t="s">
        <v>307</v>
      </c>
      <c r="M124" s="208" t="s">
        <v>307</v>
      </c>
      <c r="N124" s="219"/>
      <c r="O124" s="219"/>
      <c r="P124" s="219" t="s">
        <v>22</v>
      </c>
      <c r="Q124" s="219"/>
      <c r="R124" s="219"/>
      <c r="S124" s="232"/>
      <c r="T124" s="235" t="s">
        <v>2439</v>
      </c>
      <c r="U124" s="147" t="s">
        <v>2440</v>
      </c>
      <c r="V124" s="220" t="s">
        <v>1414</v>
      </c>
      <c r="W124" s="220" t="s">
        <v>1415</v>
      </c>
      <c r="X124" s="280" t="s">
        <v>1416</v>
      </c>
      <c r="Y124" s="221"/>
      <c r="Z124" s="220"/>
      <c r="AA124" s="220"/>
      <c r="AB124" s="220" t="s">
        <v>1726</v>
      </c>
      <c r="AC124" s="220" t="s">
        <v>2441</v>
      </c>
      <c r="AD124" s="220"/>
      <c r="AE124" s="221" t="s">
        <v>2442</v>
      </c>
      <c r="AF124" s="221"/>
      <c r="AG124" s="221"/>
      <c r="AH124" s="221" t="s">
        <v>1663</v>
      </c>
      <c r="AI124" s="190"/>
    </row>
    <row r="125" ht="408.75" customHeight="1">
      <c r="A125" s="190"/>
      <c r="B125" s="216" t="s">
        <v>691</v>
      </c>
      <c r="C125" s="220" t="s">
        <v>702</v>
      </c>
      <c r="D125" s="220" t="s">
        <v>703</v>
      </c>
      <c r="E125" s="220" t="s">
        <v>704</v>
      </c>
      <c r="F125" s="288" t="s">
        <v>1830</v>
      </c>
      <c r="G125" s="288" t="s">
        <v>2443</v>
      </c>
      <c r="H125" s="288" t="s">
        <v>2444</v>
      </c>
      <c r="I125" s="289" t="s">
        <v>2445</v>
      </c>
      <c r="J125" s="220" t="s">
        <v>705</v>
      </c>
      <c r="K125" s="220" t="s">
        <v>706</v>
      </c>
      <c r="L125" s="208" t="s">
        <v>307</v>
      </c>
      <c r="M125" s="208" t="s">
        <v>973</v>
      </c>
      <c r="N125" s="219"/>
      <c r="O125" s="219"/>
      <c r="P125" s="219" t="s">
        <v>22</v>
      </c>
      <c r="Q125" s="219"/>
      <c r="R125" s="219"/>
      <c r="S125" s="232"/>
      <c r="T125" s="235" t="s">
        <v>2446</v>
      </c>
      <c r="U125" s="147" t="s">
        <v>1417</v>
      </c>
      <c r="V125" s="220" t="s">
        <v>1414</v>
      </c>
      <c r="W125" s="220" t="s">
        <v>1418</v>
      </c>
      <c r="X125" s="220" t="s">
        <v>2447</v>
      </c>
      <c r="Y125" s="220"/>
      <c r="Z125" s="213" t="s">
        <v>2448</v>
      </c>
      <c r="AA125" s="213" t="s">
        <v>2449</v>
      </c>
      <c r="AB125" s="213" t="s">
        <v>2450</v>
      </c>
      <c r="AC125" s="220" t="s">
        <v>2451</v>
      </c>
      <c r="AD125" s="213" t="s">
        <v>2452</v>
      </c>
      <c r="AE125" s="221" t="s">
        <v>2453</v>
      </c>
      <c r="AF125" s="221" t="s">
        <v>2454</v>
      </c>
      <c r="AG125" s="221"/>
      <c r="AH125" s="221" t="s">
        <v>1663</v>
      </c>
      <c r="AI125" s="190"/>
    </row>
    <row r="126" ht="408.75" customHeight="1">
      <c r="A126" s="190"/>
      <c r="B126" s="216" t="s">
        <v>691</v>
      </c>
      <c r="C126" s="220" t="s">
        <v>702</v>
      </c>
      <c r="D126" s="220" t="s">
        <v>703</v>
      </c>
      <c r="E126" s="220" t="s">
        <v>704</v>
      </c>
      <c r="F126" s="290"/>
      <c r="G126" s="290"/>
      <c r="H126" s="290"/>
      <c r="I126" s="291"/>
      <c r="J126" s="220" t="s">
        <v>2455</v>
      </c>
      <c r="K126" s="220" t="s">
        <v>709</v>
      </c>
      <c r="L126" s="208" t="s">
        <v>307</v>
      </c>
      <c r="M126" s="208" t="s">
        <v>973</v>
      </c>
      <c r="N126" s="219"/>
      <c r="O126" s="219"/>
      <c r="P126" s="219" t="s">
        <v>22</v>
      </c>
      <c r="Q126" s="219"/>
      <c r="R126" s="219"/>
      <c r="S126" s="232"/>
      <c r="T126" s="235" t="s">
        <v>2456</v>
      </c>
      <c r="U126" s="147" t="s">
        <v>1423</v>
      </c>
      <c r="V126" s="220" t="s">
        <v>1424</v>
      </c>
      <c r="W126" s="220" t="s">
        <v>1119</v>
      </c>
      <c r="X126" s="220" t="s">
        <v>1425</v>
      </c>
      <c r="Y126" s="220"/>
      <c r="Z126" s="213" t="s">
        <v>2457</v>
      </c>
      <c r="AA126" s="213" t="s">
        <v>2449</v>
      </c>
      <c r="AB126" s="213" t="s">
        <v>2450</v>
      </c>
      <c r="AC126" s="220" t="s">
        <v>2458</v>
      </c>
      <c r="AD126" s="213" t="s">
        <v>2459</v>
      </c>
      <c r="AE126" s="221" t="s">
        <v>2460</v>
      </c>
      <c r="AF126" s="221"/>
      <c r="AG126" s="221"/>
      <c r="AH126" s="221" t="s">
        <v>1663</v>
      </c>
      <c r="AI126" s="292"/>
    </row>
    <row r="127" ht="408.75" customHeight="1">
      <c r="A127" s="190"/>
      <c r="B127" s="216" t="s">
        <v>691</v>
      </c>
      <c r="C127" s="220" t="s">
        <v>712</v>
      </c>
      <c r="D127" s="220" t="s">
        <v>713</v>
      </c>
      <c r="E127" s="220" t="s">
        <v>714</v>
      </c>
      <c r="F127" s="286" t="s">
        <v>1854</v>
      </c>
      <c r="G127" s="286" t="s">
        <v>2461</v>
      </c>
      <c r="H127" s="286" t="s">
        <v>2462</v>
      </c>
      <c r="I127" s="287" t="s">
        <v>2463</v>
      </c>
      <c r="J127" s="220" t="s">
        <v>715</v>
      </c>
      <c r="K127" s="220" t="s">
        <v>716</v>
      </c>
      <c r="L127" s="208" t="s">
        <v>307</v>
      </c>
      <c r="M127" s="208" t="s">
        <v>22</v>
      </c>
      <c r="N127" s="219"/>
      <c r="O127" s="219"/>
      <c r="P127" s="219" t="s">
        <v>22</v>
      </c>
      <c r="Q127" s="219"/>
      <c r="R127" s="219"/>
      <c r="S127" s="232"/>
      <c r="T127" s="241"/>
      <c r="U127" s="147" t="s">
        <v>1427</v>
      </c>
      <c r="V127" s="220" t="s">
        <v>1428</v>
      </c>
      <c r="W127" s="220" t="s">
        <v>1429</v>
      </c>
      <c r="X127" s="220" t="s">
        <v>2464</v>
      </c>
      <c r="Y127" s="221" t="s">
        <v>2465</v>
      </c>
      <c r="Z127" s="213" t="s">
        <v>2466</v>
      </c>
      <c r="AA127" s="213" t="s">
        <v>2467</v>
      </c>
      <c r="AB127" s="213" t="s">
        <v>1022</v>
      </c>
      <c r="AC127" s="220" t="s">
        <v>2468</v>
      </c>
      <c r="AD127" s="213" t="s">
        <v>2469</v>
      </c>
      <c r="AE127" s="221" t="s">
        <v>2470</v>
      </c>
      <c r="AF127" s="221" t="s">
        <v>2454</v>
      </c>
      <c r="AG127" s="221"/>
      <c r="AH127" s="221" t="s">
        <v>1663</v>
      </c>
      <c r="AI127" s="190"/>
    </row>
    <row r="128" ht="408.75" customHeight="1">
      <c r="A128" s="190"/>
      <c r="B128" s="216" t="s">
        <v>691</v>
      </c>
      <c r="C128" s="220" t="s">
        <v>719</v>
      </c>
      <c r="D128" s="220" t="s">
        <v>720</v>
      </c>
      <c r="E128" s="220" t="s">
        <v>721</v>
      </c>
      <c r="F128" s="286" t="s">
        <v>1854</v>
      </c>
      <c r="G128" s="286" t="s">
        <v>2471</v>
      </c>
      <c r="H128" s="286" t="s">
        <v>2472</v>
      </c>
      <c r="I128" s="293" t="s">
        <v>2473</v>
      </c>
      <c r="J128" s="220" t="s">
        <v>722</v>
      </c>
      <c r="K128" s="220" t="s">
        <v>723</v>
      </c>
      <c r="L128" s="208" t="s">
        <v>307</v>
      </c>
      <c r="M128" s="208" t="s">
        <v>973</v>
      </c>
      <c r="N128" s="219"/>
      <c r="O128" s="219"/>
      <c r="P128" s="219" t="s">
        <v>22</v>
      </c>
      <c r="Q128" s="219"/>
      <c r="R128" s="219"/>
      <c r="S128" s="232"/>
      <c r="T128" s="235" t="s">
        <v>2474</v>
      </c>
      <c r="U128" s="147" t="s">
        <v>1431</v>
      </c>
      <c r="V128" s="220" t="s">
        <v>1432</v>
      </c>
      <c r="W128" s="220" t="s">
        <v>1433</v>
      </c>
      <c r="X128" s="220" t="s">
        <v>1434</v>
      </c>
      <c r="Y128" s="220"/>
      <c r="Z128" s="213" t="s">
        <v>2475</v>
      </c>
      <c r="AA128" s="213" t="s">
        <v>2476</v>
      </c>
      <c r="AB128" s="213" t="s">
        <v>2477</v>
      </c>
      <c r="AC128" s="220" t="s">
        <v>2478</v>
      </c>
      <c r="AD128" s="213" t="s">
        <v>2479</v>
      </c>
      <c r="AE128" s="221" t="s">
        <v>2480</v>
      </c>
      <c r="AF128" s="221"/>
      <c r="AG128" s="221"/>
      <c r="AH128" s="221" t="s">
        <v>1663</v>
      </c>
      <c r="AI128" s="190"/>
    </row>
    <row r="129" ht="408.75" customHeight="1">
      <c r="A129" s="190"/>
      <c r="B129" s="216" t="s">
        <v>691</v>
      </c>
      <c r="C129" s="220" t="s">
        <v>726</v>
      </c>
      <c r="D129" s="220" t="s">
        <v>727</v>
      </c>
      <c r="E129" s="220" t="s">
        <v>728</v>
      </c>
      <c r="F129" s="286" t="s">
        <v>1854</v>
      </c>
      <c r="G129" s="286" t="s">
        <v>2481</v>
      </c>
      <c r="H129" s="286" t="s">
        <v>2482</v>
      </c>
      <c r="I129" s="293" t="s">
        <v>2483</v>
      </c>
      <c r="J129" s="220" t="s">
        <v>729</v>
      </c>
      <c r="K129" s="220" t="s">
        <v>730</v>
      </c>
      <c r="L129" s="208" t="s">
        <v>307</v>
      </c>
      <c r="M129" s="208" t="s">
        <v>973</v>
      </c>
      <c r="N129" s="219"/>
      <c r="O129" s="219"/>
      <c r="P129" s="219" t="s">
        <v>22</v>
      </c>
      <c r="Q129" s="219"/>
      <c r="R129" s="219"/>
      <c r="S129" s="232"/>
      <c r="T129" s="235" t="s">
        <v>2484</v>
      </c>
      <c r="U129" s="147" t="s">
        <v>1437</v>
      </c>
      <c r="V129" s="220" t="s">
        <v>1438</v>
      </c>
      <c r="W129" s="220" t="s">
        <v>1439</v>
      </c>
      <c r="X129" s="220" t="s">
        <v>1440</v>
      </c>
      <c r="Y129" s="220"/>
      <c r="Z129" s="213" t="s">
        <v>2485</v>
      </c>
      <c r="AA129" s="213" t="s">
        <v>2486</v>
      </c>
      <c r="AB129" s="213" t="s">
        <v>2018</v>
      </c>
      <c r="AC129" s="220" t="s">
        <v>2487</v>
      </c>
      <c r="AD129" s="213" t="s">
        <v>2488</v>
      </c>
      <c r="AE129" s="221" t="s">
        <v>2489</v>
      </c>
      <c r="AF129" s="221" t="s">
        <v>1747</v>
      </c>
      <c r="AG129" s="221"/>
      <c r="AH129" s="221" t="s">
        <v>1663</v>
      </c>
      <c r="AI129" s="190"/>
    </row>
    <row r="130" ht="408.75" customHeight="1">
      <c r="A130" s="190"/>
      <c r="B130" s="216" t="s">
        <v>691</v>
      </c>
      <c r="C130" s="220" t="s">
        <v>733</v>
      </c>
      <c r="D130" s="220" t="s">
        <v>734</v>
      </c>
      <c r="E130" s="220" t="s">
        <v>735</v>
      </c>
      <c r="F130" s="286" t="s">
        <v>2490</v>
      </c>
      <c r="G130" s="286" t="s">
        <v>2491</v>
      </c>
      <c r="H130" s="286" t="s">
        <v>2492</v>
      </c>
      <c r="I130" s="293" t="s">
        <v>2493</v>
      </c>
      <c r="J130" s="220" t="s">
        <v>736</v>
      </c>
      <c r="K130" s="220" t="s">
        <v>737</v>
      </c>
      <c r="L130" s="208" t="s">
        <v>307</v>
      </c>
      <c r="M130" s="208" t="s">
        <v>973</v>
      </c>
      <c r="N130" s="219"/>
      <c r="O130" s="219"/>
      <c r="P130" s="219" t="s">
        <v>22</v>
      </c>
      <c r="Q130" s="219"/>
      <c r="R130" s="219"/>
      <c r="S130" s="232"/>
      <c r="T130" s="235" t="s">
        <v>1442</v>
      </c>
      <c r="U130" s="147" t="s">
        <v>1442</v>
      </c>
      <c r="V130" s="220" t="s">
        <v>1428</v>
      </c>
      <c r="W130" s="220" t="s">
        <v>1443</v>
      </c>
      <c r="X130" s="220" t="s">
        <v>1444</v>
      </c>
      <c r="Y130" s="220"/>
      <c r="Z130" s="213" t="s">
        <v>2494</v>
      </c>
      <c r="AA130" s="213" t="s">
        <v>2031</v>
      </c>
      <c r="AB130" s="213" t="s">
        <v>2495</v>
      </c>
      <c r="AC130" s="220" t="s">
        <v>2496</v>
      </c>
      <c r="AD130" s="213" t="s">
        <v>2497</v>
      </c>
      <c r="AE130" s="221" t="s">
        <v>2498</v>
      </c>
      <c r="AF130" s="221" t="s">
        <v>1747</v>
      </c>
      <c r="AG130" s="221"/>
      <c r="AH130" s="221" t="s">
        <v>1663</v>
      </c>
      <c r="AI130" s="190"/>
    </row>
    <row r="131" ht="408.75" customHeight="1">
      <c r="A131" s="190"/>
      <c r="B131" s="216" t="s">
        <v>691</v>
      </c>
      <c r="C131" s="220" t="s">
        <v>740</v>
      </c>
      <c r="D131" s="220" t="s">
        <v>741</v>
      </c>
      <c r="E131" s="220" t="s">
        <v>742</v>
      </c>
      <c r="F131" s="286" t="s">
        <v>2499</v>
      </c>
      <c r="G131" s="286" t="s">
        <v>2500</v>
      </c>
      <c r="H131" s="286" t="s">
        <v>2501</v>
      </c>
      <c r="I131" s="287" t="s">
        <v>2502</v>
      </c>
      <c r="J131" s="220" t="s">
        <v>743</v>
      </c>
      <c r="K131" s="220" t="s">
        <v>744</v>
      </c>
      <c r="L131" s="208" t="s">
        <v>307</v>
      </c>
      <c r="M131" s="208" t="s">
        <v>974</v>
      </c>
      <c r="N131" s="219"/>
      <c r="O131" s="219"/>
      <c r="P131" s="219" t="s">
        <v>22</v>
      </c>
      <c r="Q131" s="219"/>
      <c r="R131" s="219"/>
      <c r="S131" s="232"/>
      <c r="T131" s="235" t="s">
        <v>2503</v>
      </c>
      <c r="U131" s="147" t="s">
        <v>1445</v>
      </c>
      <c r="V131" s="220" t="s">
        <v>1446</v>
      </c>
      <c r="W131" s="220" t="s">
        <v>1447</v>
      </c>
      <c r="X131" s="294" t="s">
        <v>1448</v>
      </c>
      <c r="Y131" s="216"/>
      <c r="Z131" s="213" t="s">
        <v>2267</v>
      </c>
      <c r="AA131" s="213" t="s">
        <v>2504</v>
      </c>
      <c r="AB131" s="213" t="s">
        <v>1069</v>
      </c>
      <c r="AC131" s="220" t="s">
        <v>2505</v>
      </c>
      <c r="AD131" s="220"/>
      <c r="AE131" s="221" t="s">
        <v>2506</v>
      </c>
      <c r="AF131" s="221" t="s">
        <v>1747</v>
      </c>
      <c r="AG131" s="221"/>
      <c r="AH131" s="221" t="s">
        <v>1663</v>
      </c>
      <c r="AI131" s="190"/>
    </row>
    <row r="132" ht="408.75" customHeight="1">
      <c r="A132" s="190"/>
      <c r="B132" s="216" t="s">
        <v>691</v>
      </c>
      <c r="C132" s="220" t="s">
        <v>748</v>
      </c>
      <c r="D132" s="220" t="s">
        <v>749</v>
      </c>
      <c r="E132" s="220" t="s">
        <v>750</v>
      </c>
      <c r="F132" s="286" t="s">
        <v>2507</v>
      </c>
      <c r="G132" s="286" t="s">
        <v>2508</v>
      </c>
      <c r="H132" s="286" t="s">
        <v>749</v>
      </c>
      <c r="I132" s="287" t="s">
        <v>2509</v>
      </c>
      <c r="J132" s="220" t="s">
        <v>751</v>
      </c>
      <c r="K132" s="220" t="s">
        <v>752</v>
      </c>
      <c r="L132" s="208" t="s">
        <v>307</v>
      </c>
      <c r="M132" s="208" t="s">
        <v>974</v>
      </c>
      <c r="N132" s="219"/>
      <c r="O132" s="219"/>
      <c r="P132" s="219" t="s">
        <v>22</v>
      </c>
      <c r="Q132" s="219"/>
      <c r="R132" s="219"/>
      <c r="S132" s="232"/>
      <c r="T132" s="235" t="s">
        <v>2510</v>
      </c>
      <c r="U132" s="147" t="s">
        <v>1449</v>
      </c>
      <c r="V132" s="220" t="s">
        <v>1450</v>
      </c>
      <c r="W132" s="220" t="s">
        <v>1451</v>
      </c>
      <c r="X132" s="262" t="s">
        <v>1452</v>
      </c>
      <c r="Y132" s="221" t="s">
        <v>2511</v>
      </c>
      <c r="Z132" s="213" t="s">
        <v>2016</v>
      </c>
      <c r="AA132" s="213" t="s">
        <v>2017</v>
      </c>
      <c r="AB132" s="213" t="s">
        <v>2018</v>
      </c>
      <c r="AC132" s="220" t="s">
        <v>2512</v>
      </c>
      <c r="AD132" s="213" t="s">
        <v>2513</v>
      </c>
      <c r="AE132" s="221" t="s">
        <v>2514</v>
      </c>
      <c r="AF132" s="221" t="s">
        <v>1747</v>
      </c>
      <c r="AG132" s="221"/>
      <c r="AH132" s="221" t="s">
        <v>1663</v>
      </c>
      <c r="AI132" s="190"/>
    </row>
    <row r="133" ht="408.75" customHeight="1">
      <c r="A133" s="190"/>
      <c r="B133" s="216" t="s">
        <v>691</v>
      </c>
      <c r="C133" s="220" t="s">
        <v>748</v>
      </c>
      <c r="D133" s="220" t="s">
        <v>749</v>
      </c>
      <c r="E133" s="220" t="s">
        <v>750</v>
      </c>
      <c r="F133" s="286" t="s">
        <v>2106</v>
      </c>
      <c r="G133" s="286" t="s">
        <v>2116</v>
      </c>
      <c r="H133" s="286" t="s">
        <v>2117</v>
      </c>
      <c r="I133" s="293" t="s">
        <v>2118</v>
      </c>
      <c r="J133" s="220" t="s">
        <v>2515</v>
      </c>
      <c r="K133" s="220" t="s">
        <v>756</v>
      </c>
      <c r="L133" s="295" t="s">
        <v>307</v>
      </c>
      <c r="M133" s="295" t="s">
        <v>974</v>
      </c>
      <c r="N133" s="219"/>
      <c r="O133" s="219"/>
      <c r="P133" s="219" t="s">
        <v>307</v>
      </c>
      <c r="Q133" s="219"/>
      <c r="R133" s="219"/>
      <c r="S133" s="277" t="s">
        <v>2516</v>
      </c>
      <c r="T133" s="235" t="s">
        <v>2517</v>
      </c>
      <c r="U133" s="147" t="s">
        <v>2518</v>
      </c>
      <c r="V133" s="220" t="s">
        <v>1446</v>
      </c>
      <c r="W133" s="220" t="s">
        <v>1455</v>
      </c>
      <c r="X133" s="220" t="s">
        <v>1319</v>
      </c>
      <c r="Y133" s="221" t="s">
        <v>2511</v>
      </c>
      <c r="Z133" s="213" t="s">
        <v>2016</v>
      </c>
      <c r="AA133" s="213" t="s">
        <v>2017</v>
      </c>
      <c r="AB133" s="213" t="s">
        <v>2018</v>
      </c>
      <c r="AC133" s="220" t="s">
        <v>2519</v>
      </c>
      <c r="AD133" s="213" t="s">
        <v>2513</v>
      </c>
      <c r="AE133" s="221" t="s">
        <v>2514</v>
      </c>
      <c r="AF133" s="221"/>
      <c r="AG133" s="221"/>
      <c r="AH133" s="221" t="s">
        <v>1663</v>
      </c>
      <c r="AI133" s="190"/>
    </row>
    <row r="134" ht="408.75" customHeight="1">
      <c r="A134" s="190"/>
      <c r="B134" s="216" t="s">
        <v>691</v>
      </c>
      <c r="C134" s="220" t="s">
        <v>757</v>
      </c>
      <c r="D134" s="220" t="s">
        <v>758</v>
      </c>
      <c r="E134" s="220" t="s">
        <v>759</v>
      </c>
      <c r="F134" s="274"/>
      <c r="G134" s="274"/>
      <c r="H134" s="296" t="s">
        <v>1939</v>
      </c>
      <c r="I134" s="274"/>
      <c r="J134" s="220" t="s">
        <v>760</v>
      </c>
      <c r="K134" s="220" t="s">
        <v>761</v>
      </c>
      <c r="L134" s="208" t="s">
        <v>307</v>
      </c>
      <c r="M134" s="208" t="s">
        <v>973</v>
      </c>
      <c r="N134" s="219"/>
      <c r="O134" s="219"/>
      <c r="P134" s="219" t="s">
        <v>22</v>
      </c>
      <c r="Q134" s="219"/>
      <c r="R134" s="219"/>
      <c r="S134" s="232"/>
      <c r="T134" s="235" t="s">
        <v>2520</v>
      </c>
      <c r="U134" s="147" t="s">
        <v>1456</v>
      </c>
      <c r="V134" s="220" t="s">
        <v>1457</v>
      </c>
      <c r="W134" s="220" t="s">
        <v>1458</v>
      </c>
      <c r="X134" s="262" t="s">
        <v>1459</v>
      </c>
      <c r="Y134" s="220"/>
      <c r="Z134" s="213" t="s">
        <v>2521</v>
      </c>
      <c r="AA134" s="213" t="s">
        <v>2522</v>
      </c>
      <c r="AB134" s="213" t="s">
        <v>2523</v>
      </c>
      <c r="AC134" s="262" t="s">
        <v>2524</v>
      </c>
      <c r="AD134" s="213" t="s">
        <v>2525</v>
      </c>
      <c r="AE134" s="261" t="s">
        <v>2526</v>
      </c>
      <c r="AF134" s="221"/>
      <c r="AG134" s="221"/>
      <c r="AH134" s="261" t="s">
        <v>1663</v>
      </c>
      <c r="AI134" s="190"/>
    </row>
    <row r="135" ht="408.75" customHeight="1">
      <c r="A135" s="190"/>
      <c r="B135" s="216" t="s">
        <v>691</v>
      </c>
      <c r="C135" s="220" t="s">
        <v>757</v>
      </c>
      <c r="D135" s="220" t="s">
        <v>758</v>
      </c>
      <c r="E135" s="220" t="s">
        <v>759</v>
      </c>
      <c r="F135" s="274"/>
      <c r="G135" s="274"/>
      <c r="H135" s="297"/>
      <c r="I135" s="274"/>
      <c r="J135" s="220" t="s">
        <v>2527</v>
      </c>
      <c r="K135" s="220" t="s">
        <v>764</v>
      </c>
      <c r="L135" s="208" t="s">
        <v>307</v>
      </c>
      <c r="M135" s="208" t="s">
        <v>973</v>
      </c>
      <c r="N135" s="219"/>
      <c r="O135" s="219"/>
      <c r="P135" s="219" t="s">
        <v>22</v>
      </c>
      <c r="Q135" s="219"/>
      <c r="R135" s="219"/>
      <c r="S135" s="232"/>
      <c r="T135" s="235" t="s">
        <v>1463</v>
      </c>
      <c r="U135" s="147" t="s">
        <v>1463</v>
      </c>
      <c r="V135" s="220" t="s">
        <v>1432</v>
      </c>
      <c r="W135" s="220" t="s">
        <v>1464</v>
      </c>
      <c r="X135" s="262" t="s">
        <v>1465</v>
      </c>
      <c r="Y135" s="220"/>
      <c r="Z135" s="213" t="s">
        <v>2528</v>
      </c>
      <c r="AA135" s="213" t="s">
        <v>2529</v>
      </c>
      <c r="AB135" s="213" t="s">
        <v>2530</v>
      </c>
      <c r="AC135" s="262" t="s">
        <v>2531</v>
      </c>
      <c r="AD135" s="213" t="s">
        <v>2532</v>
      </c>
      <c r="AE135" s="261" t="s">
        <v>2533</v>
      </c>
      <c r="AF135" s="221"/>
      <c r="AG135" s="221"/>
      <c r="AH135" s="261" t="s">
        <v>1663</v>
      </c>
      <c r="AI135" s="190"/>
    </row>
    <row r="136" ht="408.75" customHeight="1">
      <c r="A136" s="190"/>
      <c r="B136" s="216" t="s">
        <v>691</v>
      </c>
      <c r="C136" s="220" t="s">
        <v>757</v>
      </c>
      <c r="D136" s="220" t="s">
        <v>758</v>
      </c>
      <c r="E136" s="220" t="s">
        <v>759</v>
      </c>
      <c r="F136" s="274"/>
      <c r="G136" s="274"/>
      <c r="H136" s="298"/>
      <c r="I136" s="274"/>
      <c r="J136" s="220" t="s">
        <v>765</v>
      </c>
      <c r="K136" s="220" t="s">
        <v>766</v>
      </c>
      <c r="L136" s="208" t="s">
        <v>307</v>
      </c>
      <c r="M136" s="208" t="s">
        <v>973</v>
      </c>
      <c r="N136" s="219"/>
      <c r="O136" s="219"/>
      <c r="P136" s="219" t="s">
        <v>22</v>
      </c>
      <c r="Q136" s="219"/>
      <c r="R136" s="219"/>
      <c r="S136" s="232"/>
      <c r="T136" s="235" t="s">
        <v>1466</v>
      </c>
      <c r="U136" s="147" t="s">
        <v>1466</v>
      </c>
      <c r="V136" s="220" t="s">
        <v>1467</v>
      </c>
      <c r="W136" s="220" t="s">
        <v>1468</v>
      </c>
      <c r="X136" s="262" t="s">
        <v>1469</v>
      </c>
      <c r="Y136" s="220"/>
      <c r="Z136" s="213" t="s">
        <v>2534</v>
      </c>
      <c r="AA136" s="213" t="s">
        <v>2529</v>
      </c>
      <c r="AB136" s="213" t="s">
        <v>2530</v>
      </c>
      <c r="AC136" s="262" t="s">
        <v>2535</v>
      </c>
      <c r="AD136" s="242" t="s">
        <v>2536</v>
      </c>
      <c r="AE136" s="261" t="s">
        <v>2537</v>
      </c>
      <c r="AF136" s="221"/>
      <c r="AG136" s="221"/>
      <c r="AH136" s="261" t="s">
        <v>1663</v>
      </c>
      <c r="AI136" s="190"/>
    </row>
    <row r="137" ht="408.75" customHeight="1">
      <c r="A137" s="190"/>
      <c r="B137" s="216" t="s">
        <v>691</v>
      </c>
      <c r="C137" s="220" t="s">
        <v>767</v>
      </c>
      <c r="D137" s="220" t="s">
        <v>768</v>
      </c>
      <c r="E137" s="220" t="s">
        <v>769</v>
      </c>
      <c r="F137" s="274"/>
      <c r="G137" s="274"/>
      <c r="H137" s="274" t="s">
        <v>1939</v>
      </c>
      <c r="I137" s="274"/>
      <c r="J137" s="220" t="s">
        <v>770</v>
      </c>
      <c r="K137" s="220" t="s">
        <v>771</v>
      </c>
      <c r="L137" s="208" t="s">
        <v>307</v>
      </c>
      <c r="M137" s="208" t="s">
        <v>307</v>
      </c>
      <c r="N137" s="219"/>
      <c r="O137" s="219"/>
      <c r="P137" s="219" t="s">
        <v>307</v>
      </c>
      <c r="Q137" s="219"/>
      <c r="R137" s="219"/>
      <c r="S137" s="249" t="s">
        <v>2538</v>
      </c>
      <c r="T137" s="235" t="s">
        <v>2539</v>
      </c>
      <c r="U137" s="147" t="s">
        <v>2540</v>
      </c>
      <c r="V137" s="220" t="s">
        <v>1471</v>
      </c>
      <c r="W137" s="220" t="s">
        <v>1472</v>
      </c>
      <c r="X137" s="262" t="s">
        <v>2541</v>
      </c>
      <c r="Y137" s="220" t="s">
        <v>1680</v>
      </c>
      <c r="Z137" s="220"/>
      <c r="AA137" s="220"/>
      <c r="AB137" s="220" t="s">
        <v>2542</v>
      </c>
      <c r="AC137" s="262" t="s">
        <v>2543</v>
      </c>
      <c r="AD137" s="220"/>
      <c r="AE137" s="261" t="s">
        <v>2544</v>
      </c>
      <c r="AF137" s="221"/>
      <c r="AG137" s="261" t="s">
        <v>2545</v>
      </c>
      <c r="AH137" s="261" t="s">
        <v>1663</v>
      </c>
      <c r="AI137" s="190"/>
    </row>
    <row r="138" ht="408.75" customHeight="1">
      <c r="A138" s="190"/>
      <c r="B138" s="216" t="s">
        <v>691</v>
      </c>
      <c r="C138" s="220" t="s">
        <v>774</v>
      </c>
      <c r="D138" s="220" t="s">
        <v>775</v>
      </c>
      <c r="E138" s="220" t="s">
        <v>776</v>
      </c>
      <c r="F138" s="274"/>
      <c r="G138" s="274"/>
      <c r="H138" s="274" t="s">
        <v>1939</v>
      </c>
      <c r="I138" s="274"/>
      <c r="J138" s="220" t="s">
        <v>777</v>
      </c>
      <c r="K138" s="220" t="s">
        <v>778</v>
      </c>
      <c r="L138" s="208" t="s">
        <v>307</v>
      </c>
      <c r="M138" s="208" t="s">
        <v>973</v>
      </c>
      <c r="N138" s="219"/>
      <c r="O138" s="219"/>
      <c r="P138" s="299" t="s">
        <v>307</v>
      </c>
      <c r="Q138" s="219"/>
      <c r="R138" s="219"/>
      <c r="S138" s="249" t="s">
        <v>2546</v>
      </c>
      <c r="T138" s="235" t="s">
        <v>2547</v>
      </c>
      <c r="U138" s="147" t="s">
        <v>2548</v>
      </c>
      <c r="V138" s="220" t="s">
        <v>1474</v>
      </c>
      <c r="W138" s="220" t="s">
        <v>1475</v>
      </c>
      <c r="X138" s="262" t="s">
        <v>2549</v>
      </c>
      <c r="Y138" s="220" t="s">
        <v>1680</v>
      </c>
      <c r="Z138" s="213" t="s">
        <v>2550</v>
      </c>
      <c r="AA138" s="213" t="s">
        <v>2551</v>
      </c>
      <c r="AB138" s="213" t="s">
        <v>2552</v>
      </c>
      <c r="AC138" s="262" t="s">
        <v>2553</v>
      </c>
      <c r="AD138" s="213" t="s">
        <v>2554</v>
      </c>
      <c r="AE138" s="261" t="s">
        <v>2555</v>
      </c>
      <c r="AF138" s="261" t="s">
        <v>2556</v>
      </c>
      <c r="AG138" s="261" t="s">
        <v>2557</v>
      </c>
      <c r="AH138" s="261" t="s">
        <v>2168</v>
      </c>
      <c r="AI138" s="190" t="s">
        <v>2558</v>
      </c>
    </row>
    <row r="139" ht="408.75" customHeight="1">
      <c r="A139" s="190"/>
      <c r="B139" s="216" t="s">
        <v>691</v>
      </c>
      <c r="C139" s="220" t="s">
        <v>781</v>
      </c>
      <c r="D139" s="220" t="s">
        <v>782</v>
      </c>
      <c r="E139" s="220" t="s">
        <v>783</v>
      </c>
      <c r="F139" s="274"/>
      <c r="G139" s="274"/>
      <c r="H139" s="296" t="s">
        <v>1939</v>
      </c>
      <c r="I139" s="274"/>
      <c r="J139" s="220" t="s">
        <v>784</v>
      </c>
      <c r="K139" s="220" t="s">
        <v>785</v>
      </c>
      <c r="L139" s="208" t="s">
        <v>307</v>
      </c>
      <c r="M139" s="208" t="s">
        <v>973</v>
      </c>
      <c r="N139" s="219"/>
      <c r="O139" s="219"/>
      <c r="P139" s="219" t="s">
        <v>22</v>
      </c>
      <c r="Q139" s="219"/>
      <c r="R139" s="219"/>
      <c r="S139" s="232"/>
      <c r="T139" s="147" t="s">
        <v>1478</v>
      </c>
      <c r="U139" s="147" t="s">
        <v>1478</v>
      </c>
      <c r="V139" s="220" t="s">
        <v>1479</v>
      </c>
      <c r="W139" s="220" t="s">
        <v>1480</v>
      </c>
      <c r="X139" s="216" t="s">
        <v>2559</v>
      </c>
      <c r="Y139" s="294" t="s">
        <v>2560</v>
      </c>
      <c r="Z139" s="220"/>
      <c r="AA139" s="220"/>
      <c r="AB139" s="220" t="s">
        <v>1726</v>
      </c>
      <c r="AC139" s="262" t="s">
        <v>2561</v>
      </c>
      <c r="AD139" s="220"/>
      <c r="AE139" s="261" t="s">
        <v>2562</v>
      </c>
      <c r="AF139" s="261" t="s">
        <v>1747</v>
      </c>
      <c r="AG139" s="221"/>
      <c r="AH139" s="261" t="s">
        <v>1663</v>
      </c>
      <c r="AI139" s="190"/>
    </row>
    <row r="140" ht="408.75" customHeight="1">
      <c r="A140" s="190"/>
      <c r="B140" s="205" t="s">
        <v>691</v>
      </c>
      <c r="C140" s="147" t="s">
        <v>781</v>
      </c>
      <c r="D140" s="147" t="s">
        <v>782</v>
      </c>
      <c r="E140" s="147" t="s">
        <v>783</v>
      </c>
      <c r="F140" s="274"/>
      <c r="G140" s="274"/>
      <c r="H140" s="298"/>
      <c r="I140" s="274" t="s">
        <v>2563</v>
      </c>
      <c r="J140" s="147" t="s">
        <v>2564</v>
      </c>
      <c r="K140" s="147" t="s">
        <v>788</v>
      </c>
      <c r="L140" s="208" t="s">
        <v>307</v>
      </c>
      <c r="M140" s="208" t="s">
        <v>973</v>
      </c>
      <c r="N140" s="219"/>
      <c r="O140" s="219"/>
      <c r="P140" s="219" t="s">
        <v>22</v>
      </c>
      <c r="Q140" s="219"/>
      <c r="R140" s="219"/>
      <c r="S140" s="232"/>
      <c r="T140" s="235" t="s">
        <v>2565</v>
      </c>
      <c r="U140" s="147" t="s">
        <v>1483</v>
      </c>
      <c r="V140" s="147" t="s">
        <v>990</v>
      </c>
      <c r="W140" s="147" t="s">
        <v>1484</v>
      </c>
      <c r="X140" s="147" t="s">
        <v>2566</v>
      </c>
      <c r="Y140" s="147"/>
      <c r="Z140" s="152"/>
      <c r="AA140" s="147"/>
      <c r="AB140" s="147" t="s">
        <v>2233</v>
      </c>
      <c r="AC140" s="147" t="s">
        <v>1654</v>
      </c>
      <c r="AD140" s="147" t="s">
        <v>1654</v>
      </c>
      <c r="AE140" s="214" t="s">
        <v>1654</v>
      </c>
      <c r="AF140" s="214" t="s">
        <v>1654</v>
      </c>
      <c r="AG140" s="275"/>
      <c r="AH140" s="275" t="s">
        <v>1663</v>
      </c>
      <c r="AI140" s="190"/>
    </row>
    <row r="141" ht="408.75" customHeight="1">
      <c r="A141" s="190"/>
      <c r="B141" s="216" t="s">
        <v>691</v>
      </c>
      <c r="C141" s="220" t="s">
        <v>789</v>
      </c>
      <c r="D141" s="220" t="s">
        <v>790</v>
      </c>
      <c r="E141" s="220" t="s">
        <v>791</v>
      </c>
      <c r="F141" s="286" t="s">
        <v>2567</v>
      </c>
      <c r="G141" s="286" t="s">
        <v>2568</v>
      </c>
      <c r="H141" s="286" t="s">
        <v>790</v>
      </c>
      <c r="I141" s="293" t="s">
        <v>2569</v>
      </c>
      <c r="J141" s="220" t="s">
        <v>792</v>
      </c>
      <c r="K141" s="220" t="s">
        <v>793</v>
      </c>
      <c r="L141" s="208" t="s">
        <v>307</v>
      </c>
      <c r="M141" s="208" t="s">
        <v>973</v>
      </c>
      <c r="N141" s="219"/>
      <c r="O141" s="219"/>
      <c r="P141" s="219" t="s">
        <v>22</v>
      </c>
      <c r="Q141" s="219"/>
      <c r="R141" s="219"/>
      <c r="S141" s="232"/>
      <c r="T141" s="235" t="s">
        <v>2570</v>
      </c>
      <c r="U141" s="147" t="s">
        <v>1486</v>
      </c>
      <c r="V141" s="220" t="s">
        <v>1487</v>
      </c>
      <c r="W141" s="220" t="s">
        <v>1488</v>
      </c>
      <c r="X141" s="262" t="s">
        <v>1489</v>
      </c>
      <c r="Y141" s="220"/>
      <c r="Z141" s="213" t="s">
        <v>2571</v>
      </c>
      <c r="AA141" s="213" t="s">
        <v>2572</v>
      </c>
      <c r="AB141" s="213" t="s">
        <v>1069</v>
      </c>
      <c r="AC141" s="220" t="s">
        <v>2573</v>
      </c>
      <c r="AD141" s="213" t="s">
        <v>2574</v>
      </c>
      <c r="AE141" s="221" t="s">
        <v>2575</v>
      </c>
      <c r="AF141" s="221" t="s">
        <v>1747</v>
      </c>
      <c r="AG141" s="221"/>
      <c r="AH141" s="221" t="s">
        <v>1663</v>
      </c>
      <c r="AI141" s="190"/>
    </row>
    <row r="142" ht="408.75" customHeight="1">
      <c r="A142" s="190"/>
      <c r="B142" s="216" t="s">
        <v>691</v>
      </c>
      <c r="C142" s="220" t="s">
        <v>795</v>
      </c>
      <c r="D142" s="220" t="s">
        <v>796</v>
      </c>
      <c r="E142" s="220" t="s">
        <v>797</v>
      </c>
      <c r="F142" s="286" t="s">
        <v>2576</v>
      </c>
      <c r="G142" s="286" t="s">
        <v>2577</v>
      </c>
      <c r="H142" s="286" t="s">
        <v>2578</v>
      </c>
      <c r="I142" s="287" t="s">
        <v>2579</v>
      </c>
      <c r="J142" s="220" t="s">
        <v>798</v>
      </c>
      <c r="K142" s="220" t="s">
        <v>799</v>
      </c>
      <c r="L142" s="208" t="s">
        <v>307</v>
      </c>
      <c r="M142" s="208" t="s">
        <v>973</v>
      </c>
      <c r="N142" s="219"/>
      <c r="O142" s="219"/>
      <c r="P142" s="219" t="s">
        <v>22</v>
      </c>
      <c r="Q142" s="219"/>
      <c r="R142" s="219"/>
      <c r="S142" s="232"/>
      <c r="T142" s="235" t="s">
        <v>2580</v>
      </c>
      <c r="U142" s="147" t="s">
        <v>1490</v>
      </c>
      <c r="V142" s="220" t="s">
        <v>1491</v>
      </c>
      <c r="W142" s="220" t="s">
        <v>1492</v>
      </c>
      <c r="X142" s="220" t="s">
        <v>1493</v>
      </c>
      <c r="Y142" s="220"/>
      <c r="Z142" s="213" t="s">
        <v>2571</v>
      </c>
      <c r="AA142" s="213" t="s">
        <v>2572</v>
      </c>
      <c r="AB142" s="213" t="s">
        <v>1069</v>
      </c>
      <c r="AC142" s="220" t="s">
        <v>2581</v>
      </c>
      <c r="AD142" s="213" t="s">
        <v>2582</v>
      </c>
      <c r="AE142" s="221" t="s">
        <v>2583</v>
      </c>
      <c r="AF142" s="221"/>
      <c r="AG142" s="221"/>
      <c r="AH142" s="221" t="s">
        <v>1663</v>
      </c>
      <c r="AI142" s="190"/>
    </row>
    <row r="143" ht="408.75" customHeight="1">
      <c r="A143" s="190"/>
      <c r="B143" s="216" t="s">
        <v>691</v>
      </c>
      <c r="C143" s="220" t="s">
        <v>801</v>
      </c>
      <c r="D143" s="220" t="s">
        <v>802</v>
      </c>
      <c r="E143" s="220" t="s">
        <v>803</v>
      </c>
      <c r="F143" s="288" t="s">
        <v>2584</v>
      </c>
      <c r="G143" s="286" t="s">
        <v>2585</v>
      </c>
      <c r="H143" s="286" t="s">
        <v>2586</v>
      </c>
      <c r="I143" s="293" t="s">
        <v>2587</v>
      </c>
      <c r="J143" s="220" t="s">
        <v>804</v>
      </c>
      <c r="K143" s="220" t="s">
        <v>805</v>
      </c>
      <c r="L143" s="208" t="s">
        <v>307</v>
      </c>
      <c r="M143" s="208" t="s">
        <v>974</v>
      </c>
      <c r="N143" s="219"/>
      <c r="O143" s="219"/>
      <c r="P143" s="219" t="s">
        <v>22</v>
      </c>
      <c r="Q143" s="219"/>
      <c r="R143" s="219"/>
      <c r="S143" s="232"/>
      <c r="T143" s="235" t="s">
        <v>2588</v>
      </c>
      <c r="U143" s="147" t="s">
        <v>1494</v>
      </c>
      <c r="V143" s="220" t="s">
        <v>2589</v>
      </c>
      <c r="W143" s="220" t="s">
        <v>2590</v>
      </c>
      <c r="X143" s="220" t="s">
        <v>1497</v>
      </c>
      <c r="Y143" s="254"/>
      <c r="Z143" s="213" t="s">
        <v>2591</v>
      </c>
      <c r="AA143" s="213" t="s">
        <v>2031</v>
      </c>
      <c r="AB143" s="213" t="s">
        <v>2018</v>
      </c>
      <c r="AC143" s="220" t="s">
        <v>2592</v>
      </c>
      <c r="AD143" s="213" t="s">
        <v>2593</v>
      </c>
      <c r="AE143" s="221" t="s">
        <v>2594</v>
      </c>
      <c r="AF143" s="221"/>
      <c r="AG143" s="221"/>
      <c r="AH143" s="221" t="s">
        <v>1663</v>
      </c>
      <c r="AI143" s="190"/>
    </row>
    <row r="144" ht="408.75" customHeight="1">
      <c r="A144" s="190"/>
      <c r="B144" s="216" t="s">
        <v>691</v>
      </c>
      <c r="C144" s="220" t="s">
        <v>801</v>
      </c>
      <c r="D144" s="220" t="s">
        <v>802</v>
      </c>
      <c r="E144" s="220" t="s">
        <v>803</v>
      </c>
      <c r="F144" s="300"/>
      <c r="G144" s="286" t="s">
        <v>2595</v>
      </c>
      <c r="H144" s="286" t="s">
        <v>2596</v>
      </c>
      <c r="I144" s="287" t="s">
        <v>2597</v>
      </c>
      <c r="J144" s="220" t="s">
        <v>808</v>
      </c>
      <c r="K144" s="220" t="s">
        <v>809</v>
      </c>
      <c r="L144" s="208" t="s">
        <v>307</v>
      </c>
      <c r="M144" s="208" t="s">
        <v>974</v>
      </c>
      <c r="N144" s="209" t="s">
        <v>1651</v>
      </c>
      <c r="O144" s="209"/>
      <c r="P144" s="209" t="s">
        <v>22</v>
      </c>
      <c r="Q144" s="209"/>
      <c r="R144" s="209"/>
      <c r="S144" s="232"/>
      <c r="T144" s="235" t="s">
        <v>2598</v>
      </c>
      <c r="U144" s="147" t="s">
        <v>1498</v>
      </c>
      <c r="V144" s="220" t="s">
        <v>1499</v>
      </c>
      <c r="W144" s="220" t="s">
        <v>1500</v>
      </c>
      <c r="X144" s="220" t="s">
        <v>1501</v>
      </c>
      <c r="Y144" s="221" t="s">
        <v>2560</v>
      </c>
      <c r="Z144" s="213" t="s">
        <v>2591</v>
      </c>
      <c r="AA144" s="213" t="s">
        <v>2599</v>
      </c>
      <c r="AB144" s="213" t="s">
        <v>2018</v>
      </c>
      <c r="AC144" s="220" t="s">
        <v>2600</v>
      </c>
      <c r="AD144" s="213" t="s">
        <v>2601</v>
      </c>
      <c r="AE144" s="221" t="s">
        <v>2602</v>
      </c>
      <c r="AF144" s="221"/>
      <c r="AG144" s="221"/>
      <c r="AH144" s="221" t="s">
        <v>1663</v>
      </c>
      <c r="AI144" s="190"/>
    </row>
    <row r="145" ht="408.75" customHeight="1">
      <c r="A145" s="190"/>
      <c r="B145" s="216" t="s">
        <v>691</v>
      </c>
      <c r="C145" s="220" t="s">
        <v>801</v>
      </c>
      <c r="D145" s="220" t="s">
        <v>802</v>
      </c>
      <c r="E145" s="220" t="s">
        <v>803</v>
      </c>
      <c r="F145" s="290"/>
      <c r="G145" s="286" t="s">
        <v>2603</v>
      </c>
      <c r="H145" s="286" t="s">
        <v>2604</v>
      </c>
      <c r="I145" s="287" t="s">
        <v>2605</v>
      </c>
      <c r="J145" s="220" t="s">
        <v>810</v>
      </c>
      <c r="K145" s="220" t="s">
        <v>811</v>
      </c>
      <c r="L145" s="208" t="s">
        <v>307</v>
      </c>
      <c r="M145" s="208" t="s">
        <v>973</v>
      </c>
      <c r="N145" s="209" t="s">
        <v>1651</v>
      </c>
      <c r="O145" s="209"/>
      <c r="P145" s="209" t="s">
        <v>22</v>
      </c>
      <c r="Q145" s="209"/>
      <c r="R145" s="209"/>
      <c r="S145" s="232"/>
      <c r="T145" s="235" t="s">
        <v>2606</v>
      </c>
      <c r="U145" s="147" t="s">
        <v>1502</v>
      </c>
      <c r="V145" s="220" t="s">
        <v>1503</v>
      </c>
      <c r="W145" s="220" t="s">
        <v>1504</v>
      </c>
      <c r="X145" s="262" t="s">
        <v>1505</v>
      </c>
      <c r="Y145" s="216"/>
      <c r="Z145" s="213" t="s">
        <v>2607</v>
      </c>
      <c r="AA145" s="213" t="s">
        <v>2608</v>
      </c>
      <c r="AB145" s="213" t="s">
        <v>2450</v>
      </c>
      <c r="AC145" s="220" t="s">
        <v>2609</v>
      </c>
      <c r="AD145" s="213" t="s">
        <v>2610</v>
      </c>
      <c r="AE145" s="221" t="s">
        <v>2611</v>
      </c>
      <c r="AF145" s="221"/>
      <c r="AG145" s="221"/>
      <c r="AH145" s="221" t="s">
        <v>1663</v>
      </c>
      <c r="AI145" s="190"/>
    </row>
    <row r="146" ht="408.75" customHeight="1">
      <c r="A146" s="190"/>
      <c r="B146" s="216" t="s">
        <v>691</v>
      </c>
      <c r="C146" s="220" t="s">
        <v>812</v>
      </c>
      <c r="D146" s="220" t="s">
        <v>813</v>
      </c>
      <c r="E146" s="220" t="s">
        <v>814</v>
      </c>
      <c r="F146" s="274"/>
      <c r="G146" s="274"/>
      <c r="H146" s="296" t="s">
        <v>1939</v>
      </c>
      <c r="I146" s="274"/>
      <c r="J146" s="220" t="s">
        <v>815</v>
      </c>
      <c r="K146" s="220" t="s">
        <v>816</v>
      </c>
      <c r="L146" s="252" t="s">
        <v>307</v>
      </c>
      <c r="M146" s="208" t="s">
        <v>973</v>
      </c>
      <c r="N146" s="209" t="s">
        <v>1651</v>
      </c>
      <c r="O146" s="209"/>
      <c r="P146" s="209" t="s">
        <v>22</v>
      </c>
      <c r="Q146" s="209"/>
      <c r="R146" s="209"/>
      <c r="S146" s="232"/>
      <c r="T146" s="235" t="s">
        <v>2612</v>
      </c>
      <c r="U146" s="147" t="s">
        <v>1508</v>
      </c>
      <c r="V146" s="220" t="s">
        <v>1509</v>
      </c>
      <c r="W146" s="220" t="s">
        <v>1510</v>
      </c>
      <c r="X146" s="262" t="s">
        <v>1511</v>
      </c>
      <c r="Y146" s="220"/>
      <c r="Z146" s="213" t="s">
        <v>2016</v>
      </c>
      <c r="AA146" s="213" t="s">
        <v>2017</v>
      </c>
      <c r="AB146" s="213" t="s">
        <v>2018</v>
      </c>
      <c r="AC146" s="262" t="s">
        <v>2613</v>
      </c>
      <c r="AD146" s="213" t="s">
        <v>2614</v>
      </c>
      <c r="AE146" s="221" t="s">
        <v>2615</v>
      </c>
      <c r="AF146" s="221"/>
      <c r="AG146" s="221"/>
      <c r="AH146" s="221" t="s">
        <v>1663</v>
      </c>
      <c r="AI146" s="190"/>
    </row>
    <row r="147" ht="408.75" customHeight="1">
      <c r="A147" s="190"/>
      <c r="B147" s="216" t="s">
        <v>691</v>
      </c>
      <c r="C147" s="220" t="s">
        <v>812</v>
      </c>
      <c r="D147" s="220" t="s">
        <v>813</v>
      </c>
      <c r="E147" s="220" t="s">
        <v>814</v>
      </c>
      <c r="F147" s="274"/>
      <c r="G147" s="274"/>
      <c r="H147" s="298"/>
      <c r="I147" s="274"/>
      <c r="J147" s="220" t="s">
        <v>2616</v>
      </c>
      <c r="K147" s="220" t="s">
        <v>821</v>
      </c>
      <c r="L147" s="208" t="s">
        <v>307</v>
      </c>
      <c r="M147" s="208" t="s">
        <v>307</v>
      </c>
      <c r="N147" s="219"/>
      <c r="O147" s="219"/>
      <c r="P147" s="219" t="s">
        <v>22</v>
      </c>
      <c r="Q147" s="219"/>
      <c r="R147" s="219"/>
      <c r="S147" s="231"/>
      <c r="T147" s="235" t="s">
        <v>2617</v>
      </c>
      <c r="U147" s="152" t="s">
        <v>1513</v>
      </c>
      <c r="V147" s="220" t="s">
        <v>1514</v>
      </c>
      <c r="W147" s="220" t="s">
        <v>1515</v>
      </c>
      <c r="X147" s="262" t="s">
        <v>1516</v>
      </c>
      <c r="Y147" s="221"/>
      <c r="Z147" s="213" t="s">
        <v>2267</v>
      </c>
      <c r="AA147" s="213" t="s">
        <v>2504</v>
      </c>
      <c r="AB147" s="213" t="s">
        <v>1069</v>
      </c>
      <c r="AC147" s="220" t="s">
        <v>2618</v>
      </c>
      <c r="AD147" s="213" t="s">
        <v>2267</v>
      </c>
      <c r="AE147" s="221" t="s">
        <v>2619</v>
      </c>
      <c r="AF147" s="221"/>
      <c r="AG147" s="221"/>
      <c r="AH147" s="221" t="s">
        <v>1663</v>
      </c>
      <c r="AI147" s="190"/>
    </row>
    <row r="148" ht="408.75" customHeight="1">
      <c r="A148" s="190"/>
      <c r="B148" s="216" t="s">
        <v>691</v>
      </c>
      <c r="C148" s="220" t="s">
        <v>822</v>
      </c>
      <c r="D148" s="220" t="s">
        <v>823</v>
      </c>
      <c r="E148" s="220" t="s">
        <v>824</v>
      </c>
      <c r="F148" s="286" t="s">
        <v>2584</v>
      </c>
      <c r="G148" s="286" t="s">
        <v>2620</v>
      </c>
      <c r="H148" s="286" t="s">
        <v>823</v>
      </c>
      <c r="I148" s="287" t="s">
        <v>2621</v>
      </c>
      <c r="J148" s="220" t="s">
        <v>825</v>
      </c>
      <c r="K148" s="220" t="s">
        <v>826</v>
      </c>
      <c r="L148" s="208" t="s">
        <v>307</v>
      </c>
      <c r="M148" s="208" t="s">
        <v>973</v>
      </c>
      <c r="N148" s="219"/>
      <c r="O148" s="219"/>
      <c r="P148" s="219" t="s">
        <v>22</v>
      </c>
      <c r="Q148" s="219"/>
      <c r="R148" s="219"/>
      <c r="S148" s="232"/>
      <c r="T148" s="235" t="s">
        <v>2622</v>
      </c>
      <c r="U148" s="147" t="s">
        <v>1517</v>
      </c>
      <c r="V148" s="220" t="s">
        <v>1428</v>
      </c>
      <c r="W148" s="220" t="s">
        <v>1518</v>
      </c>
      <c r="X148" s="220" t="s">
        <v>1519</v>
      </c>
      <c r="Y148" s="220"/>
      <c r="Z148" s="213" t="s">
        <v>2623</v>
      </c>
      <c r="AA148" s="213" t="s">
        <v>2572</v>
      </c>
      <c r="AB148" s="213" t="s">
        <v>1069</v>
      </c>
      <c r="AC148" s="220" t="s">
        <v>2624</v>
      </c>
      <c r="AD148" s="213" t="s">
        <v>2625</v>
      </c>
      <c r="AE148" s="221" t="s">
        <v>2626</v>
      </c>
      <c r="AF148" s="221"/>
      <c r="AG148" s="221"/>
      <c r="AH148" s="221" t="s">
        <v>1663</v>
      </c>
      <c r="AI148" s="190"/>
    </row>
    <row r="149" ht="408.75" customHeight="1">
      <c r="A149" s="190"/>
      <c r="B149" s="216" t="s">
        <v>691</v>
      </c>
      <c r="C149" s="220" t="s">
        <v>829</v>
      </c>
      <c r="D149" s="220" t="s">
        <v>830</v>
      </c>
      <c r="E149" s="220" t="s">
        <v>831</v>
      </c>
      <c r="F149" s="286" t="s">
        <v>1854</v>
      </c>
      <c r="G149" s="286" t="s">
        <v>2627</v>
      </c>
      <c r="H149" s="286" t="s">
        <v>2628</v>
      </c>
      <c r="I149" s="287" t="s">
        <v>2629</v>
      </c>
      <c r="J149" s="220" t="s">
        <v>832</v>
      </c>
      <c r="K149" s="220" t="s">
        <v>833</v>
      </c>
      <c r="L149" s="208" t="s">
        <v>307</v>
      </c>
      <c r="M149" s="252"/>
      <c r="N149" s="209"/>
      <c r="O149" s="209"/>
      <c r="P149" s="209" t="s">
        <v>22</v>
      </c>
      <c r="Q149" s="209"/>
      <c r="R149" s="209"/>
      <c r="S149" s="232"/>
      <c r="T149" s="235" t="s">
        <v>2630</v>
      </c>
      <c r="U149" s="147" t="s">
        <v>2631</v>
      </c>
      <c r="V149" s="220" t="s">
        <v>1428</v>
      </c>
      <c r="W149" s="220" t="s">
        <v>1521</v>
      </c>
      <c r="X149" s="220" t="s">
        <v>2632</v>
      </c>
      <c r="Y149" s="220"/>
      <c r="Z149" s="213" t="s">
        <v>2016</v>
      </c>
      <c r="AA149" s="213" t="s">
        <v>2017</v>
      </c>
      <c r="AB149" s="213" t="s">
        <v>2018</v>
      </c>
      <c r="AC149" s="220" t="s">
        <v>2633</v>
      </c>
      <c r="AD149" s="213" t="s">
        <v>2634</v>
      </c>
      <c r="AE149" s="221" t="s">
        <v>2635</v>
      </c>
      <c r="AF149" s="221" t="s">
        <v>2636</v>
      </c>
      <c r="AG149" s="221"/>
      <c r="AH149" s="221" t="s">
        <v>1663</v>
      </c>
      <c r="AI149" s="190"/>
    </row>
    <row r="150" ht="408.75" customHeight="1">
      <c r="A150" s="190"/>
      <c r="B150" s="216" t="s">
        <v>691</v>
      </c>
      <c r="C150" s="220" t="s">
        <v>835</v>
      </c>
      <c r="D150" s="220" t="s">
        <v>836</v>
      </c>
      <c r="E150" s="220" t="s">
        <v>837</v>
      </c>
      <c r="F150" s="286" t="s">
        <v>2637</v>
      </c>
      <c r="G150" s="286" t="s">
        <v>2638</v>
      </c>
      <c r="H150" s="286" t="s">
        <v>2639</v>
      </c>
      <c r="I150" s="287" t="s">
        <v>2640</v>
      </c>
      <c r="J150" s="220" t="s">
        <v>838</v>
      </c>
      <c r="K150" s="220" t="s">
        <v>839</v>
      </c>
      <c r="L150" s="208" t="s">
        <v>307</v>
      </c>
      <c r="M150" s="252" t="s">
        <v>973</v>
      </c>
      <c r="N150" s="209"/>
      <c r="O150" s="209"/>
      <c r="P150" s="209" t="s">
        <v>22</v>
      </c>
      <c r="Q150" s="209"/>
      <c r="R150" s="209"/>
      <c r="S150" s="232"/>
      <c r="T150" s="235" t="s">
        <v>2641</v>
      </c>
      <c r="U150" s="147" t="s">
        <v>1523</v>
      </c>
      <c r="V150" s="220" t="s">
        <v>1524</v>
      </c>
      <c r="W150" s="220" t="s">
        <v>1525</v>
      </c>
      <c r="X150" s="220" t="s">
        <v>2642</v>
      </c>
      <c r="Y150" s="221"/>
      <c r="Z150" s="213" t="s">
        <v>2267</v>
      </c>
      <c r="AA150" s="213" t="s">
        <v>2643</v>
      </c>
      <c r="AB150" s="213" t="s">
        <v>1069</v>
      </c>
      <c r="AC150" s="262" t="s">
        <v>2644</v>
      </c>
      <c r="AD150" s="301" t="s">
        <v>2645</v>
      </c>
      <c r="AE150" s="221" t="s">
        <v>2646</v>
      </c>
      <c r="AF150" s="221"/>
      <c r="AG150" s="221"/>
      <c r="AH150" s="221" t="s">
        <v>1663</v>
      </c>
      <c r="AI150" s="190"/>
    </row>
    <row r="151" ht="408.75" customHeight="1">
      <c r="A151" s="190"/>
      <c r="B151" s="216" t="s">
        <v>691</v>
      </c>
      <c r="C151" s="220" t="s">
        <v>835</v>
      </c>
      <c r="D151" s="220" t="s">
        <v>836</v>
      </c>
      <c r="E151" s="220" t="s">
        <v>837</v>
      </c>
      <c r="F151" s="286" t="s">
        <v>2507</v>
      </c>
      <c r="G151" s="286" t="s">
        <v>2647</v>
      </c>
      <c r="H151" s="286" t="s">
        <v>2648</v>
      </c>
      <c r="I151" s="287" t="s">
        <v>2649</v>
      </c>
      <c r="J151" s="220" t="s">
        <v>2650</v>
      </c>
      <c r="K151" s="220" t="s">
        <v>1529</v>
      </c>
      <c r="L151" s="208" t="s">
        <v>307</v>
      </c>
      <c r="M151" s="252" t="s">
        <v>973</v>
      </c>
      <c r="N151" s="209"/>
      <c r="O151" s="209"/>
      <c r="P151" s="278" t="s">
        <v>22</v>
      </c>
      <c r="Q151" s="209"/>
      <c r="R151" s="209"/>
      <c r="S151" s="232"/>
      <c r="T151" s="235" t="s">
        <v>2651</v>
      </c>
      <c r="U151" s="147" t="s">
        <v>1530</v>
      </c>
      <c r="V151" s="220" t="s">
        <v>1531</v>
      </c>
      <c r="W151" s="220" t="s">
        <v>1532</v>
      </c>
      <c r="X151" s="220" t="s">
        <v>2652</v>
      </c>
      <c r="Y151" s="221" t="s">
        <v>2560</v>
      </c>
      <c r="Z151" s="220"/>
      <c r="AA151" s="220"/>
      <c r="AB151" s="220" t="s">
        <v>1726</v>
      </c>
      <c r="AC151" s="220" t="s">
        <v>2653</v>
      </c>
      <c r="AD151" s="220"/>
      <c r="AE151" s="221" t="s">
        <v>2654</v>
      </c>
      <c r="AF151" s="221"/>
      <c r="AG151" s="221"/>
      <c r="AH151" s="221" t="s">
        <v>2168</v>
      </c>
      <c r="AI151" s="190" t="s">
        <v>973</v>
      </c>
    </row>
    <row r="152" ht="408.75" customHeight="1">
      <c r="A152" s="190"/>
      <c r="B152" s="216" t="s">
        <v>691</v>
      </c>
      <c r="C152" s="220" t="s">
        <v>844</v>
      </c>
      <c r="D152" s="220" t="s">
        <v>845</v>
      </c>
      <c r="E152" s="220" t="s">
        <v>846</v>
      </c>
      <c r="F152" s="286" t="s">
        <v>2655</v>
      </c>
      <c r="G152" s="286" t="s">
        <v>2656</v>
      </c>
      <c r="H152" s="286" t="s">
        <v>2657</v>
      </c>
      <c r="I152" s="287" t="s">
        <v>2658</v>
      </c>
      <c r="J152" s="220" t="s">
        <v>847</v>
      </c>
      <c r="K152" s="220" t="s">
        <v>848</v>
      </c>
      <c r="L152" s="208" t="s">
        <v>307</v>
      </c>
      <c r="M152" s="208" t="s">
        <v>973</v>
      </c>
      <c r="N152" s="219"/>
      <c r="O152" s="219"/>
      <c r="P152" s="219" t="s">
        <v>307</v>
      </c>
      <c r="Q152" s="219"/>
      <c r="R152" s="219"/>
      <c r="S152" s="277" t="s">
        <v>2659</v>
      </c>
      <c r="T152" s="235" t="s">
        <v>2660</v>
      </c>
      <c r="U152" s="147" t="s">
        <v>1534</v>
      </c>
      <c r="V152" s="220" t="s">
        <v>1535</v>
      </c>
      <c r="W152" s="220" t="s">
        <v>1536</v>
      </c>
      <c r="X152" s="216" t="s">
        <v>2661</v>
      </c>
      <c r="Y152" s="221" t="s">
        <v>2662</v>
      </c>
      <c r="Z152" s="213" t="s">
        <v>2663</v>
      </c>
      <c r="AA152" s="213" t="s">
        <v>2663</v>
      </c>
      <c r="AB152" s="213" t="s">
        <v>2663</v>
      </c>
      <c r="AC152" s="220" t="s">
        <v>2664</v>
      </c>
      <c r="AD152" s="213" t="s">
        <v>2665</v>
      </c>
      <c r="AE152" s="261" t="s">
        <v>2666</v>
      </c>
      <c r="AF152" s="221"/>
      <c r="AG152" s="221"/>
      <c r="AH152" s="261" t="s">
        <v>1663</v>
      </c>
      <c r="AI152" s="190"/>
    </row>
    <row r="153" ht="408.75" customHeight="1">
      <c r="A153" s="190"/>
      <c r="B153" s="216" t="s">
        <v>691</v>
      </c>
      <c r="C153" s="220" t="s">
        <v>851</v>
      </c>
      <c r="D153" s="220" t="s">
        <v>852</v>
      </c>
      <c r="E153" s="220" t="s">
        <v>853</v>
      </c>
      <c r="F153" s="286" t="s">
        <v>2655</v>
      </c>
      <c r="G153" s="286" t="s">
        <v>2667</v>
      </c>
      <c r="H153" s="286" t="s">
        <v>2668</v>
      </c>
      <c r="I153" s="287" t="s">
        <v>2669</v>
      </c>
      <c r="J153" s="220" t="s">
        <v>854</v>
      </c>
      <c r="K153" s="220" t="s">
        <v>855</v>
      </c>
      <c r="L153" s="208" t="s">
        <v>307</v>
      </c>
      <c r="M153" s="208" t="s">
        <v>974</v>
      </c>
      <c r="N153" s="219"/>
      <c r="O153" s="219"/>
      <c r="P153" s="209" t="s">
        <v>22</v>
      </c>
      <c r="Q153" s="219"/>
      <c r="R153" s="219"/>
      <c r="S153" s="232"/>
      <c r="T153" s="235" t="s">
        <v>2670</v>
      </c>
      <c r="U153" s="147" t="s">
        <v>1537</v>
      </c>
      <c r="V153" s="220" t="s">
        <v>1538</v>
      </c>
      <c r="W153" s="220" t="s">
        <v>1539</v>
      </c>
      <c r="X153" s="262" t="s">
        <v>1540</v>
      </c>
      <c r="Y153" s="220"/>
      <c r="Z153" s="220"/>
      <c r="AA153" s="220"/>
      <c r="AB153" s="220" t="s">
        <v>1726</v>
      </c>
      <c r="AC153" s="220" t="s">
        <v>2671</v>
      </c>
      <c r="AD153" s="220"/>
      <c r="AE153" s="261" t="s">
        <v>2672</v>
      </c>
      <c r="AF153" s="221"/>
      <c r="AG153" s="221"/>
      <c r="AH153" s="261" t="s">
        <v>1663</v>
      </c>
      <c r="AI153" s="190"/>
    </row>
    <row r="154" ht="408.75" customHeight="1">
      <c r="A154" s="190"/>
      <c r="B154" s="216" t="s">
        <v>691</v>
      </c>
      <c r="C154" s="220" t="s">
        <v>857</v>
      </c>
      <c r="D154" s="220" t="s">
        <v>858</v>
      </c>
      <c r="E154" s="220" t="s">
        <v>859</v>
      </c>
      <c r="F154" s="286" t="s">
        <v>2655</v>
      </c>
      <c r="G154" s="286" t="s">
        <v>2673</v>
      </c>
      <c r="H154" s="286" t="s">
        <v>858</v>
      </c>
      <c r="I154" s="287" t="s">
        <v>2674</v>
      </c>
      <c r="J154" s="220" t="s">
        <v>860</v>
      </c>
      <c r="K154" s="220" t="s">
        <v>861</v>
      </c>
      <c r="L154" s="208" t="s">
        <v>307</v>
      </c>
      <c r="M154" s="208" t="s">
        <v>307</v>
      </c>
      <c r="N154" s="219"/>
      <c r="O154" s="219"/>
      <c r="P154" s="219" t="s">
        <v>307</v>
      </c>
      <c r="Q154" s="219"/>
      <c r="R154" s="219"/>
      <c r="S154" s="277" t="s">
        <v>2675</v>
      </c>
      <c r="T154" s="235"/>
      <c r="U154" s="152" t="s">
        <v>1541</v>
      </c>
      <c r="V154" s="220" t="s">
        <v>1428</v>
      </c>
      <c r="W154" s="220" t="s">
        <v>1542</v>
      </c>
      <c r="X154" s="262" t="s">
        <v>2676</v>
      </c>
      <c r="Y154" s="221" t="s">
        <v>2662</v>
      </c>
      <c r="Z154" s="220"/>
      <c r="AA154" s="220"/>
      <c r="AB154" s="220" t="s">
        <v>1726</v>
      </c>
      <c r="AC154" s="262" t="s">
        <v>2677</v>
      </c>
      <c r="AD154" s="220"/>
      <c r="AE154" s="221" t="s">
        <v>2678</v>
      </c>
      <c r="AF154" s="221"/>
      <c r="AG154" s="221"/>
      <c r="AH154" s="221" t="s">
        <v>1663</v>
      </c>
      <c r="AI154" s="190"/>
    </row>
    <row r="155" ht="408.75" customHeight="1">
      <c r="A155" s="190"/>
      <c r="B155" s="216" t="s">
        <v>691</v>
      </c>
      <c r="C155" s="220" t="s">
        <v>862</v>
      </c>
      <c r="D155" s="220" t="s">
        <v>863</v>
      </c>
      <c r="E155" s="220" t="s">
        <v>864</v>
      </c>
      <c r="F155" s="274"/>
      <c r="G155" s="274"/>
      <c r="H155" s="274" t="s">
        <v>1939</v>
      </c>
      <c r="I155" s="274"/>
      <c r="J155" s="220" t="s">
        <v>865</v>
      </c>
      <c r="K155" s="220" t="s">
        <v>866</v>
      </c>
      <c r="L155" s="208" t="s">
        <v>307</v>
      </c>
      <c r="M155" s="208" t="s">
        <v>307</v>
      </c>
      <c r="N155" s="219"/>
      <c r="O155" s="219"/>
      <c r="P155" s="209" t="s">
        <v>22</v>
      </c>
      <c r="Q155" s="219"/>
      <c r="R155" s="219"/>
      <c r="S155" s="232"/>
      <c r="T155" s="235" t="s">
        <v>1543</v>
      </c>
      <c r="U155" s="147" t="s">
        <v>1543</v>
      </c>
      <c r="V155" s="220" t="s">
        <v>1491</v>
      </c>
      <c r="W155" s="220" t="s">
        <v>1544</v>
      </c>
      <c r="X155" s="220" t="s">
        <v>2679</v>
      </c>
      <c r="Y155" s="220"/>
      <c r="Z155" s="220"/>
      <c r="AA155" s="220"/>
      <c r="AB155" s="220" t="s">
        <v>1726</v>
      </c>
      <c r="AC155" s="262" t="s">
        <v>2680</v>
      </c>
      <c r="AD155" s="220"/>
      <c r="AE155" s="261" t="s">
        <v>2681</v>
      </c>
      <c r="AF155" s="221"/>
      <c r="AG155" s="221"/>
      <c r="AH155" s="261" t="s">
        <v>1663</v>
      </c>
      <c r="AI155" s="190"/>
    </row>
    <row r="156" ht="408.75" customHeight="1">
      <c r="A156" s="190"/>
      <c r="B156" s="216" t="s">
        <v>691</v>
      </c>
      <c r="C156" s="220" t="s">
        <v>869</v>
      </c>
      <c r="D156" s="220" t="s">
        <v>870</v>
      </c>
      <c r="E156" s="220" t="s">
        <v>871</v>
      </c>
      <c r="F156" s="288" t="s">
        <v>2682</v>
      </c>
      <c r="G156" s="288" t="s">
        <v>2683</v>
      </c>
      <c r="H156" s="288" t="s">
        <v>2684</v>
      </c>
      <c r="I156" s="289" t="s">
        <v>2685</v>
      </c>
      <c r="J156" s="220" t="s">
        <v>872</v>
      </c>
      <c r="K156" s="220" t="s">
        <v>873</v>
      </c>
      <c r="L156" s="208" t="s">
        <v>307</v>
      </c>
      <c r="M156" s="208" t="s">
        <v>974</v>
      </c>
      <c r="N156" s="219"/>
      <c r="O156" s="219"/>
      <c r="P156" s="219" t="s">
        <v>22</v>
      </c>
      <c r="Q156" s="219"/>
      <c r="R156" s="219"/>
      <c r="S156" s="232"/>
      <c r="T156" s="235" t="s">
        <v>2686</v>
      </c>
      <c r="U156" s="147" t="s">
        <v>1546</v>
      </c>
      <c r="V156" s="220" t="s">
        <v>1547</v>
      </c>
      <c r="W156" s="220" t="s">
        <v>1548</v>
      </c>
      <c r="X156" s="220" t="s">
        <v>1549</v>
      </c>
      <c r="Y156" s="221" t="s">
        <v>2560</v>
      </c>
      <c r="Z156" s="213" t="s">
        <v>2267</v>
      </c>
      <c r="AA156" s="213" t="s">
        <v>2643</v>
      </c>
      <c r="AB156" s="213" t="s">
        <v>1069</v>
      </c>
      <c r="AC156" s="262" t="s">
        <v>2687</v>
      </c>
      <c r="AD156" s="301" t="s">
        <v>2645</v>
      </c>
      <c r="AE156" s="221" t="s">
        <v>2688</v>
      </c>
      <c r="AF156" s="221"/>
      <c r="AG156" s="221"/>
      <c r="AH156" s="221" t="s">
        <v>1663</v>
      </c>
      <c r="AI156" s="190"/>
    </row>
    <row r="157" ht="408.75" customHeight="1">
      <c r="A157" s="190"/>
      <c r="B157" s="216" t="s">
        <v>691</v>
      </c>
      <c r="C157" s="220" t="s">
        <v>869</v>
      </c>
      <c r="D157" s="220" t="s">
        <v>870</v>
      </c>
      <c r="E157" s="220" t="s">
        <v>871</v>
      </c>
      <c r="F157" s="300"/>
      <c r="G157" s="290"/>
      <c r="H157" s="290"/>
      <c r="I157" s="291"/>
      <c r="J157" s="220" t="s">
        <v>2689</v>
      </c>
      <c r="K157" s="220" t="s">
        <v>877</v>
      </c>
      <c r="L157" s="208" t="s">
        <v>307</v>
      </c>
      <c r="M157" s="208" t="s">
        <v>974</v>
      </c>
      <c r="N157" s="219"/>
      <c r="O157" s="219"/>
      <c r="P157" s="219" t="s">
        <v>22</v>
      </c>
      <c r="Q157" s="219"/>
      <c r="R157" s="219"/>
      <c r="S157" s="232"/>
      <c r="T157" s="235" t="s">
        <v>2686</v>
      </c>
      <c r="U157" s="147" t="s">
        <v>1551</v>
      </c>
      <c r="V157" s="220" t="s">
        <v>1428</v>
      </c>
      <c r="W157" s="220" t="s">
        <v>1552</v>
      </c>
      <c r="X157" s="220" t="s">
        <v>1553</v>
      </c>
      <c r="Y157" s="221" t="s">
        <v>2560</v>
      </c>
      <c r="Z157" s="213" t="s">
        <v>2267</v>
      </c>
      <c r="AA157" s="213" t="s">
        <v>2643</v>
      </c>
      <c r="AB157" s="213" t="s">
        <v>1069</v>
      </c>
      <c r="AC157" s="262" t="s">
        <v>2690</v>
      </c>
      <c r="AD157" s="213" t="s">
        <v>2691</v>
      </c>
      <c r="AE157" s="221" t="s">
        <v>2688</v>
      </c>
      <c r="AF157" s="221"/>
      <c r="AG157" s="221"/>
      <c r="AH157" s="221" t="s">
        <v>1663</v>
      </c>
      <c r="AI157" s="190"/>
    </row>
    <row r="158" ht="408.75" customHeight="1">
      <c r="A158" s="190"/>
      <c r="B158" s="216" t="s">
        <v>691</v>
      </c>
      <c r="C158" s="220" t="s">
        <v>869</v>
      </c>
      <c r="D158" s="220" t="s">
        <v>870</v>
      </c>
      <c r="E158" s="220" t="s">
        <v>871</v>
      </c>
      <c r="F158" s="290"/>
      <c r="G158" s="286" t="s">
        <v>2692</v>
      </c>
      <c r="H158" s="286" t="s">
        <v>2693</v>
      </c>
      <c r="I158" s="287" t="s">
        <v>2694</v>
      </c>
      <c r="J158" s="220" t="s">
        <v>2695</v>
      </c>
      <c r="K158" s="220" t="s">
        <v>879</v>
      </c>
      <c r="L158" s="208" t="s">
        <v>307</v>
      </c>
      <c r="M158" s="208" t="s">
        <v>974</v>
      </c>
      <c r="N158" s="219"/>
      <c r="O158" s="219"/>
      <c r="P158" s="219" t="s">
        <v>22</v>
      </c>
      <c r="Q158" s="219"/>
      <c r="R158" s="219"/>
      <c r="S158" s="232"/>
      <c r="T158" s="152" t="s">
        <v>2696</v>
      </c>
      <c r="U158" s="147" t="s">
        <v>1555</v>
      </c>
      <c r="V158" s="220" t="s">
        <v>1556</v>
      </c>
      <c r="W158" s="220" t="s">
        <v>1557</v>
      </c>
      <c r="X158" s="220" t="s">
        <v>1558</v>
      </c>
      <c r="Y158" s="221" t="s">
        <v>2560</v>
      </c>
      <c r="Z158" s="213" t="s">
        <v>2267</v>
      </c>
      <c r="AA158" s="213" t="s">
        <v>2643</v>
      </c>
      <c r="AB158" s="213" t="s">
        <v>1069</v>
      </c>
      <c r="AC158" s="220" t="s">
        <v>2697</v>
      </c>
      <c r="AD158" s="213" t="s">
        <v>2698</v>
      </c>
      <c r="AE158" s="221" t="s">
        <v>2699</v>
      </c>
      <c r="AF158" s="221"/>
      <c r="AG158" s="221"/>
      <c r="AH158" s="221" t="s">
        <v>1663</v>
      </c>
      <c r="AI158" s="190"/>
    </row>
    <row r="159" ht="408.75" customHeight="1">
      <c r="A159" s="190"/>
      <c r="B159" s="216" t="s">
        <v>691</v>
      </c>
      <c r="C159" s="220" t="s">
        <v>880</v>
      </c>
      <c r="D159" s="220" t="s">
        <v>881</v>
      </c>
      <c r="E159" s="220" t="s">
        <v>882</v>
      </c>
      <c r="F159" s="286" t="s">
        <v>2700</v>
      </c>
      <c r="G159" s="286" t="s">
        <v>2701</v>
      </c>
      <c r="H159" s="286" t="s">
        <v>2702</v>
      </c>
      <c r="I159" s="287" t="s">
        <v>2703</v>
      </c>
      <c r="J159" s="220" t="s">
        <v>883</v>
      </c>
      <c r="K159" s="220" t="s">
        <v>884</v>
      </c>
      <c r="L159" s="208" t="s">
        <v>307</v>
      </c>
      <c r="M159" s="208" t="s">
        <v>973</v>
      </c>
      <c r="N159" s="219"/>
      <c r="O159" s="219"/>
      <c r="P159" s="209" t="s">
        <v>22</v>
      </c>
      <c r="Q159" s="219"/>
      <c r="R159" s="219"/>
      <c r="S159" s="232"/>
      <c r="T159" s="235" t="s">
        <v>1559</v>
      </c>
      <c r="U159" s="147" t="s">
        <v>1559</v>
      </c>
      <c r="V159" s="220" t="s">
        <v>1560</v>
      </c>
      <c r="W159" s="220" t="s">
        <v>1561</v>
      </c>
      <c r="X159" s="220" t="s">
        <v>1562</v>
      </c>
      <c r="Y159" s="220"/>
      <c r="Z159" s="220"/>
      <c r="AA159" s="220"/>
      <c r="AB159" s="220" t="s">
        <v>1726</v>
      </c>
      <c r="AC159" s="220" t="s">
        <v>2704</v>
      </c>
      <c r="AD159" s="220"/>
      <c r="AE159" s="221" t="s">
        <v>2705</v>
      </c>
      <c r="AF159" s="221"/>
      <c r="AG159" s="221"/>
      <c r="AH159" s="221" t="s">
        <v>1663</v>
      </c>
      <c r="AI159" s="190"/>
    </row>
    <row r="160" ht="408.75" customHeight="1">
      <c r="A160" s="190"/>
      <c r="B160" s="216" t="s">
        <v>691</v>
      </c>
      <c r="C160" s="220" t="s">
        <v>886</v>
      </c>
      <c r="D160" s="220" t="s">
        <v>887</v>
      </c>
      <c r="E160" s="220" t="s">
        <v>888</v>
      </c>
      <c r="F160" s="288" t="s">
        <v>2706</v>
      </c>
      <c r="G160" s="286" t="s">
        <v>2707</v>
      </c>
      <c r="H160" s="286" t="s">
        <v>2708</v>
      </c>
      <c r="I160" s="287" t="s">
        <v>2709</v>
      </c>
      <c r="J160" s="220" t="s">
        <v>889</v>
      </c>
      <c r="K160" s="220" t="s">
        <v>890</v>
      </c>
      <c r="L160" s="208" t="s">
        <v>307</v>
      </c>
      <c r="M160" s="208" t="s">
        <v>974</v>
      </c>
      <c r="N160" s="219"/>
      <c r="O160" s="219"/>
      <c r="P160" s="219" t="s">
        <v>307</v>
      </c>
      <c r="Q160" s="219"/>
      <c r="R160" s="219"/>
      <c r="S160" s="277" t="s">
        <v>2710</v>
      </c>
      <c r="T160" s="235" t="s">
        <v>2711</v>
      </c>
      <c r="U160" s="147" t="s">
        <v>1563</v>
      </c>
      <c r="V160" s="220" t="s">
        <v>1564</v>
      </c>
      <c r="W160" s="220" t="s">
        <v>1565</v>
      </c>
      <c r="X160" s="220" t="s">
        <v>2712</v>
      </c>
      <c r="Y160" s="221" t="s">
        <v>2662</v>
      </c>
      <c r="Z160" s="213" t="s">
        <v>2016</v>
      </c>
      <c r="AA160" s="213" t="s">
        <v>2224</v>
      </c>
      <c r="AB160" s="213" t="s">
        <v>2018</v>
      </c>
      <c r="AC160" s="220" t="s">
        <v>2713</v>
      </c>
      <c r="AD160" s="213" t="s">
        <v>2714</v>
      </c>
      <c r="AE160" s="221" t="s">
        <v>2715</v>
      </c>
      <c r="AF160" s="221"/>
      <c r="AG160" s="221"/>
      <c r="AH160" s="221" t="s">
        <v>1663</v>
      </c>
      <c r="AI160" s="190"/>
    </row>
    <row r="161" ht="408.75" customHeight="1">
      <c r="A161" s="190"/>
      <c r="B161" s="302" t="s">
        <v>691</v>
      </c>
      <c r="C161" s="275" t="s">
        <v>886</v>
      </c>
      <c r="D161" s="275" t="s">
        <v>887</v>
      </c>
      <c r="E161" s="275" t="s">
        <v>888</v>
      </c>
      <c r="F161" s="290"/>
      <c r="G161" s="286" t="s">
        <v>2716</v>
      </c>
      <c r="H161" s="286" t="s">
        <v>2717</v>
      </c>
      <c r="I161" s="287" t="s">
        <v>2718</v>
      </c>
      <c r="J161" s="275" t="s">
        <v>2719</v>
      </c>
      <c r="K161" s="275" t="s">
        <v>893</v>
      </c>
      <c r="L161" s="303" t="s">
        <v>976</v>
      </c>
      <c r="M161" s="303" t="s">
        <v>976</v>
      </c>
      <c r="N161" s="219"/>
      <c r="O161" s="219"/>
      <c r="P161" s="219" t="s">
        <v>976</v>
      </c>
      <c r="Q161" s="219"/>
      <c r="R161" s="219"/>
      <c r="S161" s="277" t="s">
        <v>2720</v>
      </c>
      <c r="T161" s="235"/>
      <c r="U161" s="147"/>
      <c r="V161" s="275" t="s">
        <v>976</v>
      </c>
      <c r="W161" s="275" t="s">
        <v>976</v>
      </c>
      <c r="X161" s="275" t="s">
        <v>976</v>
      </c>
      <c r="Y161" s="275"/>
      <c r="Z161" s="302"/>
      <c r="AA161" s="275"/>
      <c r="AB161" s="275" t="s">
        <v>1726</v>
      </c>
      <c r="AC161" s="275" t="s">
        <v>976</v>
      </c>
      <c r="AD161" s="275" t="s">
        <v>976</v>
      </c>
      <c r="AE161" s="215" t="s">
        <v>976</v>
      </c>
      <c r="AF161" s="215" t="s">
        <v>976</v>
      </c>
      <c r="AG161" s="275"/>
      <c r="AH161" s="275" t="s">
        <v>1655</v>
      </c>
      <c r="AI161" s="190"/>
    </row>
    <row r="162" ht="408.75" customHeight="1">
      <c r="A162" s="190"/>
      <c r="B162" s="216" t="s">
        <v>691</v>
      </c>
      <c r="C162" s="220" t="s">
        <v>894</v>
      </c>
      <c r="D162" s="220" t="s">
        <v>895</v>
      </c>
      <c r="E162" s="220" t="s">
        <v>896</v>
      </c>
      <c r="F162" s="286" t="s">
        <v>2700</v>
      </c>
      <c r="G162" s="286" t="s">
        <v>2721</v>
      </c>
      <c r="H162" s="286" t="s">
        <v>2722</v>
      </c>
      <c r="I162" s="287" t="s">
        <v>2723</v>
      </c>
      <c r="J162" s="220" t="s">
        <v>897</v>
      </c>
      <c r="K162" s="220" t="s">
        <v>898</v>
      </c>
      <c r="L162" s="208" t="s">
        <v>307</v>
      </c>
      <c r="M162" s="208" t="s">
        <v>973</v>
      </c>
      <c r="N162" s="219"/>
      <c r="O162" s="219"/>
      <c r="P162" s="209" t="s">
        <v>22</v>
      </c>
      <c r="Q162" s="219"/>
      <c r="R162" s="219"/>
      <c r="S162" s="232"/>
      <c r="T162" s="235" t="s">
        <v>2724</v>
      </c>
      <c r="U162" s="147" t="s">
        <v>1567</v>
      </c>
      <c r="V162" s="220" t="s">
        <v>1568</v>
      </c>
      <c r="W162" s="220" t="s">
        <v>1569</v>
      </c>
      <c r="X162" s="220" t="s">
        <v>1570</v>
      </c>
      <c r="Y162" s="221"/>
      <c r="Z162" s="213" t="s">
        <v>2725</v>
      </c>
      <c r="AA162" s="213" t="s">
        <v>2726</v>
      </c>
      <c r="AB162" s="213" t="s">
        <v>2552</v>
      </c>
      <c r="AC162" s="220" t="s">
        <v>2727</v>
      </c>
      <c r="AD162" s="213" t="s">
        <v>2728</v>
      </c>
      <c r="AE162" s="221" t="s">
        <v>2729</v>
      </c>
      <c r="AF162" s="221"/>
      <c r="AG162" s="221"/>
      <c r="AH162" s="221" t="s">
        <v>1663</v>
      </c>
      <c r="AI162" s="190"/>
    </row>
    <row r="163" ht="408.75" customHeight="1">
      <c r="A163" s="190"/>
      <c r="B163" s="205" t="s">
        <v>691</v>
      </c>
      <c r="C163" s="147" t="s">
        <v>901</v>
      </c>
      <c r="D163" s="147" t="s">
        <v>902</v>
      </c>
      <c r="E163" s="147" t="s">
        <v>903</v>
      </c>
      <c r="F163" s="274"/>
      <c r="G163" s="274"/>
      <c r="H163" s="296" t="s">
        <v>2730</v>
      </c>
      <c r="I163" s="274"/>
      <c r="J163" s="147" t="s">
        <v>904</v>
      </c>
      <c r="K163" s="147" t="s">
        <v>905</v>
      </c>
      <c r="L163" s="208" t="s">
        <v>307</v>
      </c>
      <c r="M163" s="304" t="s">
        <v>22</v>
      </c>
      <c r="N163" s="209" t="s">
        <v>1651</v>
      </c>
      <c r="O163" s="209"/>
      <c r="P163" s="209" t="s">
        <v>22</v>
      </c>
      <c r="Q163" s="209"/>
      <c r="R163" s="209"/>
      <c r="S163" s="231"/>
      <c r="T163" s="235" t="s">
        <v>2731</v>
      </c>
      <c r="U163" s="152" t="s">
        <v>1573</v>
      </c>
      <c r="V163" s="147" t="s">
        <v>1574</v>
      </c>
      <c r="W163" s="147" t="s">
        <v>1575</v>
      </c>
      <c r="X163" s="147" t="s">
        <v>1576</v>
      </c>
      <c r="Y163" s="147"/>
      <c r="Z163" s="147"/>
      <c r="AA163" s="147"/>
      <c r="AB163" s="147" t="s">
        <v>2233</v>
      </c>
      <c r="AC163" s="147" t="s">
        <v>1654</v>
      </c>
      <c r="AD163" s="147" t="s">
        <v>1654</v>
      </c>
      <c r="AE163" s="214" t="s">
        <v>1654</v>
      </c>
      <c r="AF163" s="214" t="s">
        <v>1654</v>
      </c>
      <c r="AG163" s="275"/>
      <c r="AH163" s="275" t="s">
        <v>1663</v>
      </c>
      <c r="AI163" s="190"/>
    </row>
    <row r="164" ht="408.75" customHeight="1">
      <c r="A164" s="190"/>
      <c r="B164" s="216" t="s">
        <v>691</v>
      </c>
      <c r="C164" s="220" t="s">
        <v>901</v>
      </c>
      <c r="D164" s="220" t="s">
        <v>902</v>
      </c>
      <c r="E164" s="220" t="s">
        <v>903</v>
      </c>
      <c r="F164" s="274"/>
      <c r="G164" s="274"/>
      <c r="H164" s="297"/>
      <c r="I164" s="274"/>
      <c r="J164" s="220" t="s">
        <v>2732</v>
      </c>
      <c r="K164" s="220" t="s">
        <v>1579</v>
      </c>
      <c r="L164" s="208" t="s">
        <v>307</v>
      </c>
      <c r="M164" s="208" t="s">
        <v>307</v>
      </c>
      <c r="N164" s="219"/>
      <c r="O164" s="219"/>
      <c r="P164" s="219" t="s">
        <v>307</v>
      </c>
      <c r="Q164" s="219"/>
      <c r="R164" s="219"/>
      <c r="S164" s="277" t="s">
        <v>2733</v>
      </c>
      <c r="T164" s="247"/>
      <c r="U164" s="247"/>
      <c r="V164" s="220" t="s">
        <v>1580</v>
      </c>
      <c r="W164" s="220" t="s">
        <v>1581</v>
      </c>
      <c r="X164" s="220"/>
      <c r="Y164" s="220" t="s">
        <v>1680</v>
      </c>
      <c r="Z164" s="220"/>
      <c r="AA164" s="220"/>
      <c r="AB164" s="220" t="s">
        <v>1726</v>
      </c>
      <c r="AC164" s="262" t="s">
        <v>2734</v>
      </c>
      <c r="AD164" s="220"/>
      <c r="AE164" s="261" t="s">
        <v>2735</v>
      </c>
      <c r="AF164" s="221"/>
      <c r="AG164" s="261" t="s">
        <v>2735</v>
      </c>
      <c r="AH164" s="261" t="s">
        <v>1663</v>
      </c>
      <c r="AI164" s="190"/>
    </row>
    <row r="165" ht="408.75" customHeight="1">
      <c r="A165" s="190"/>
      <c r="B165" s="216" t="s">
        <v>691</v>
      </c>
      <c r="C165" s="220" t="s">
        <v>901</v>
      </c>
      <c r="D165" s="220" t="s">
        <v>902</v>
      </c>
      <c r="E165" s="220" t="s">
        <v>903</v>
      </c>
      <c r="F165" s="274"/>
      <c r="G165" s="274"/>
      <c r="H165" s="298"/>
      <c r="I165" s="274"/>
      <c r="J165" s="220" t="s">
        <v>910</v>
      </c>
      <c r="K165" s="220" t="s">
        <v>911</v>
      </c>
      <c r="L165" s="208" t="s">
        <v>1684</v>
      </c>
      <c r="M165" s="208" t="s">
        <v>974</v>
      </c>
      <c r="N165" s="219"/>
      <c r="O165" s="219"/>
      <c r="P165" s="219" t="s">
        <v>307</v>
      </c>
      <c r="Q165" s="219"/>
      <c r="R165" s="219"/>
      <c r="S165" s="277" t="s">
        <v>2736</v>
      </c>
      <c r="T165" s="235" t="s">
        <v>2737</v>
      </c>
      <c r="U165" s="147" t="s">
        <v>1582</v>
      </c>
      <c r="V165" s="220"/>
      <c r="W165" s="220"/>
      <c r="X165" s="262" t="s">
        <v>2738</v>
      </c>
      <c r="Y165" s="220" t="s">
        <v>1680</v>
      </c>
      <c r="Z165" s="213" t="s">
        <v>2739</v>
      </c>
      <c r="AA165" s="213" t="s">
        <v>2740</v>
      </c>
      <c r="AB165" s="213" t="s">
        <v>2552</v>
      </c>
      <c r="AC165" s="262" t="s">
        <v>2741</v>
      </c>
      <c r="AD165" s="213" t="s">
        <v>2742</v>
      </c>
      <c r="AE165" s="261" t="s">
        <v>2743</v>
      </c>
      <c r="AF165" s="221"/>
      <c r="AG165" s="261" t="s">
        <v>2744</v>
      </c>
      <c r="AH165" s="261" t="s">
        <v>1663</v>
      </c>
      <c r="AI165" s="190"/>
    </row>
    <row r="166" ht="408.75" customHeight="1">
      <c r="A166" s="190"/>
      <c r="B166" s="216" t="s">
        <v>691</v>
      </c>
      <c r="C166" s="220" t="s">
        <v>913</v>
      </c>
      <c r="D166" s="220" t="s">
        <v>914</v>
      </c>
      <c r="E166" s="220" t="s">
        <v>915</v>
      </c>
      <c r="F166" s="288" t="s">
        <v>2700</v>
      </c>
      <c r="G166" s="286" t="s">
        <v>2745</v>
      </c>
      <c r="H166" s="286" t="s">
        <v>2746</v>
      </c>
      <c r="I166" s="287" t="s">
        <v>2747</v>
      </c>
      <c r="J166" s="220" t="s">
        <v>916</v>
      </c>
      <c r="K166" s="220" t="s">
        <v>917</v>
      </c>
      <c r="L166" s="208" t="s">
        <v>307</v>
      </c>
      <c r="M166" s="208" t="s">
        <v>973</v>
      </c>
      <c r="N166" s="219"/>
      <c r="O166" s="219"/>
      <c r="P166" s="209" t="s">
        <v>22</v>
      </c>
      <c r="Q166" s="219"/>
      <c r="R166" s="219"/>
      <c r="S166" s="232"/>
      <c r="T166" s="235" t="s">
        <v>1584</v>
      </c>
      <c r="U166" s="147" t="s">
        <v>1584</v>
      </c>
      <c r="V166" s="220" t="s">
        <v>1585</v>
      </c>
      <c r="W166" s="220" t="s">
        <v>1586</v>
      </c>
      <c r="X166" s="220" t="s">
        <v>1587</v>
      </c>
      <c r="Y166" s="220"/>
      <c r="Z166" s="213" t="s">
        <v>2748</v>
      </c>
      <c r="AA166" s="213" t="s">
        <v>2749</v>
      </c>
      <c r="AB166" s="213" t="s">
        <v>1069</v>
      </c>
      <c r="AC166" s="220" t="s">
        <v>2750</v>
      </c>
      <c r="AD166" s="220"/>
      <c r="AE166" s="221" t="s">
        <v>2751</v>
      </c>
      <c r="AF166" s="221"/>
      <c r="AG166" s="221"/>
      <c r="AH166" s="221" t="s">
        <v>1663</v>
      </c>
      <c r="AI166" s="190"/>
    </row>
    <row r="167" ht="408.75" customHeight="1">
      <c r="A167" s="190"/>
      <c r="B167" s="216" t="s">
        <v>691</v>
      </c>
      <c r="C167" s="220" t="s">
        <v>913</v>
      </c>
      <c r="D167" s="220" t="s">
        <v>914</v>
      </c>
      <c r="E167" s="220" t="s">
        <v>915</v>
      </c>
      <c r="F167" s="290"/>
      <c r="G167" s="287" t="s">
        <v>2752</v>
      </c>
      <c r="H167" s="287" t="s">
        <v>2753</v>
      </c>
      <c r="I167" s="287" t="s">
        <v>2754</v>
      </c>
      <c r="J167" s="220" t="s">
        <v>919</v>
      </c>
      <c r="K167" s="220" t="s">
        <v>920</v>
      </c>
      <c r="L167" s="208" t="s">
        <v>307</v>
      </c>
      <c r="M167" s="208" t="s">
        <v>973</v>
      </c>
      <c r="N167" s="219"/>
      <c r="O167" s="219"/>
      <c r="P167" s="219" t="s">
        <v>22</v>
      </c>
      <c r="Q167" s="219"/>
      <c r="R167" s="219"/>
      <c r="S167" s="231"/>
      <c r="T167" s="235"/>
      <c r="U167" s="152" t="s">
        <v>1590</v>
      </c>
      <c r="V167" s="220" t="s">
        <v>1474</v>
      </c>
      <c r="W167" s="220" t="s">
        <v>1591</v>
      </c>
      <c r="X167" s="220" t="s">
        <v>1592</v>
      </c>
      <c r="Y167" s="220"/>
      <c r="Z167" s="213" t="s">
        <v>2755</v>
      </c>
      <c r="AA167" s="213" t="s">
        <v>2756</v>
      </c>
      <c r="AB167" s="213" t="s">
        <v>1022</v>
      </c>
      <c r="AC167" s="220" t="s">
        <v>2757</v>
      </c>
      <c r="AD167" s="213" t="s">
        <v>2758</v>
      </c>
      <c r="AE167" s="221" t="s">
        <v>2759</v>
      </c>
      <c r="AF167" s="221"/>
      <c r="AG167" s="221"/>
      <c r="AH167" s="221" t="s">
        <v>1663</v>
      </c>
      <c r="AI167" s="190"/>
    </row>
    <row r="168" ht="408.75" customHeight="1">
      <c r="A168" s="190"/>
      <c r="B168" s="216" t="s">
        <v>691</v>
      </c>
      <c r="C168" s="220" t="s">
        <v>921</v>
      </c>
      <c r="D168" s="220" t="s">
        <v>922</v>
      </c>
      <c r="E168" s="220" t="s">
        <v>923</v>
      </c>
      <c r="F168" s="286" t="s">
        <v>2700</v>
      </c>
      <c r="G168" s="286" t="s">
        <v>2760</v>
      </c>
      <c r="H168" s="286" t="s">
        <v>2761</v>
      </c>
      <c r="I168" s="287" t="s">
        <v>2762</v>
      </c>
      <c r="J168" s="220" t="s">
        <v>924</v>
      </c>
      <c r="K168" s="220" t="s">
        <v>925</v>
      </c>
      <c r="L168" s="208" t="s">
        <v>307</v>
      </c>
      <c r="M168" s="208" t="s">
        <v>307</v>
      </c>
      <c r="N168" s="219"/>
      <c r="O168" s="219"/>
      <c r="P168" s="248" t="s">
        <v>307</v>
      </c>
      <c r="Q168" s="219"/>
      <c r="R168" s="219"/>
      <c r="S168" s="277" t="s">
        <v>2763</v>
      </c>
      <c r="T168" s="235"/>
      <c r="U168" s="147" t="s">
        <v>1593</v>
      </c>
      <c r="V168" s="220" t="s">
        <v>1594</v>
      </c>
      <c r="W168" s="220" t="s">
        <v>1595</v>
      </c>
      <c r="X168" s="220"/>
      <c r="Y168" s="220" t="s">
        <v>1680</v>
      </c>
      <c r="Z168" s="220"/>
      <c r="AA168" s="220"/>
      <c r="AB168" s="220" t="s">
        <v>1726</v>
      </c>
      <c r="AC168" s="220" t="s">
        <v>2764</v>
      </c>
      <c r="AD168" s="220"/>
      <c r="AE168" s="221" t="s">
        <v>2765</v>
      </c>
      <c r="AF168" s="221" t="s">
        <v>2137</v>
      </c>
      <c r="AG168" s="221" t="s">
        <v>2765</v>
      </c>
      <c r="AH168" s="221" t="s">
        <v>2168</v>
      </c>
      <c r="AI168" s="190" t="s">
        <v>2766</v>
      </c>
    </row>
    <row r="169" ht="408.75" customHeight="1">
      <c r="A169" s="190"/>
      <c r="B169" s="205" t="s">
        <v>691</v>
      </c>
      <c r="C169" s="147" t="s">
        <v>927</v>
      </c>
      <c r="D169" s="147" t="s">
        <v>928</v>
      </c>
      <c r="E169" s="147" t="s">
        <v>929</v>
      </c>
      <c r="F169" s="286" t="s">
        <v>2490</v>
      </c>
      <c r="G169" s="286" t="s">
        <v>2767</v>
      </c>
      <c r="H169" s="286" t="s">
        <v>2768</v>
      </c>
      <c r="I169" s="287" t="s">
        <v>2769</v>
      </c>
      <c r="J169" s="147" t="s">
        <v>930</v>
      </c>
      <c r="K169" s="147" t="s">
        <v>931</v>
      </c>
      <c r="L169" s="208" t="s">
        <v>22</v>
      </c>
      <c r="M169" s="208" t="s">
        <v>22</v>
      </c>
      <c r="N169" s="219"/>
      <c r="O169" s="219"/>
      <c r="P169" s="219" t="s">
        <v>22</v>
      </c>
      <c r="Q169" s="219"/>
      <c r="R169" s="219"/>
      <c r="S169" s="231"/>
      <c r="T169" s="211" t="s">
        <v>1669</v>
      </c>
      <c r="U169" s="152" t="s">
        <v>1596</v>
      </c>
      <c r="V169" s="147" t="s">
        <v>1597</v>
      </c>
      <c r="W169" s="147" t="s">
        <v>1598</v>
      </c>
      <c r="X169" s="230" t="s">
        <v>1599</v>
      </c>
      <c r="Y169" s="152"/>
      <c r="Z169" s="273"/>
      <c r="AA169" s="233"/>
      <c r="AB169" s="233" t="s">
        <v>1600</v>
      </c>
      <c r="AC169" s="147" t="s">
        <v>1654</v>
      </c>
      <c r="AD169" s="147" t="s">
        <v>1654</v>
      </c>
      <c r="AE169" s="214" t="s">
        <v>1654</v>
      </c>
      <c r="AF169" s="214" t="s">
        <v>1654</v>
      </c>
      <c r="AG169" s="275"/>
      <c r="AH169" s="275" t="s">
        <v>1655</v>
      </c>
      <c r="AI169" s="190"/>
    </row>
    <row r="170" ht="408.75" customHeight="1">
      <c r="A170" s="190"/>
      <c r="B170" s="216" t="s">
        <v>691</v>
      </c>
      <c r="C170" s="220" t="s">
        <v>927</v>
      </c>
      <c r="D170" s="220" t="s">
        <v>928</v>
      </c>
      <c r="E170" s="220" t="s">
        <v>929</v>
      </c>
      <c r="F170" s="286" t="s">
        <v>2700</v>
      </c>
      <c r="G170" s="286" t="s">
        <v>2770</v>
      </c>
      <c r="H170" s="286" t="s">
        <v>2771</v>
      </c>
      <c r="I170" s="287" t="s">
        <v>2772</v>
      </c>
      <c r="J170" s="220" t="s">
        <v>2773</v>
      </c>
      <c r="K170" s="220" t="s">
        <v>934</v>
      </c>
      <c r="L170" s="208" t="s">
        <v>307</v>
      </c>
      <c r="M170" s="208" t="s">
        <v>974</v>
      </c>
      <c r="N170" s="219"/>
      <c r="O170" s="219"/>
      <c r="P170" s="219" t="s">
        <v>22</v>
      </c>
      <c r="Q170" s="219"/>
      <c r="R170" s="219"/>
      <c r="S170" s="232"/>
      <c r="T170" s="235" t="s">
        <v>2774</v>
      </c>
      <c r="U170" s="147" t="s">
        <v>1602</v>
      </c>
      <c r="V170" s="220" t="s">
        <v>1428</v>
      </c>
      <c r="W170" s="220" t="s">
        <v>1603</v>
      </c>
      <c r="X170" s="262" t="s">
        <v>1604</v>
      </c>
      <c r="Y170" s="220" t="s">
        <v>2775</v>
      </c>
      <c r="Z170" s="213" t="s">
        <v>2776</v>
      </c>
      <c r="AA170" s="213" t="s">
        <v>2777</v>
      </c>
      <c r="AB170" s="213" t="s">
        <v>1069</v>
      </c>
      <c r="AC170" s="220" t="s">
        <v>2778</v>
      </c>
      <c r="AD170" s="213" t="s">
        <v>2779</v>
      </c>
      <c r="AE170" s="221" t="s">
        <v>2780</v>
      </c>
      <c r="AF170" s="221"/>
      <c r="AG170" s="221"/>
      <c r="AH170" s="221" t="s">
        <v>1663</v>
      </c>
      <c r="AI170" s="190"/>
    </row>
    <row r="171" ht="408.75" customHeight="1">
      <c r="A171" s="190"/>
      <c r="B171" s="216" t="s">
        <v>691</v>
      </c>
      <c r="C171" s="220" t="s">
        <v>935</v>
      </c>
      <c r="D171" s="220" t="s">
        <v>936</v>
      </c>
      <c r="E171" s="220" t="s">
        <v>937</v>
      </c>
      <c r="F171" s="286" t="s">
        <v>2490</v>
      </c>
      <c r="G171" s="286" t="s">
        <v>2781</v>
      </c>
      <c r="H171" s="286" t="s">
        <v>936</v>
      </c>
      <c r="I171" s="293" t="s">
        <v>2782</v>
      </c>
      <c r="J171" s="220" t="s">
        <v>938</v>
      </c>
      <c r="K171" s="220" t="s">
        <v>939</v>
      </c>
      <c r="L171" s="208" t="s">
        <v>307</v>
      </c>
      <c r="M171" s="208" t="s">
        <v>973</v>
      </c>
      <c r="N171" s="219"/>
      <c r="O171" s="219"/>
      <c r="P171" s="219" t="s">
        <v>22</v>
      </c>
      <c r="Q171" s="219"/>
      <c r="R171" s="219"/>
      <c r="S171" s="232"/>
      <c r="T171" s="235" t="s">
        <v>2783</v>
      </c>
      <c r="U171" s="147" t="s">
        <v>1605</v>
      </c>
      <c r="V171" s="220" t="s">
        <v>1491</v>
      </c>
      <c r="W171" s="220" t="s">
        <v>1606</v>
      </c>
      <c r="X171" s="220" t="s">
        <v>1607</v>
      </c>
      <c r="Y171" s="220"/>
      <c r="Z171" s="213" t="s">
        <v>2784</v>
      </c>
      <c r="AA171" s="213" t="s">
        <v>2031</v>
      </c>
      <c r="AB171" s="213" t="s">
        <v>2018</v>
      </c>
      <c r="AC171" s="220" t="s">
        <v>2785</v>
      </c>
      <c r="AD171" s="213" t="s">
        <v>2786</v>
      </c>
      <c r="AE171" s="221" t="s">
        <v>2787</v>
      </c>
      <c r="AF171" s="221"/>
      <c r="AG171" s="221"/>
      <c r="AH171" s="221" t="s">
        <v>1663</v>
      </c>
      <c r="AI171" s="190"/>
    </row>
    <row r="172" ht="408.75" customHeight="1">
      <c r="A172" s="190"/>
      <c r="B172" s="216" t="s">
        <v>691</v>
      </c>
      <c r="C172" s="220" t="s">
        <v>935</v>
      </c>
      <c r="D172" s="220" t="s">
        <v>936</v>
      </c>
      <c r="E172" s="220" t="s">
        <v>937</v>
      </c>
      <c r="F172" s="286" t="s">
        <v>2700</v>
      </c>
      <c r="G172" s="286" t="s">
        <v>2788</v>
      </c>
      <c r="H172" s="286" t="s">
        <v>2789</v>
      </c>
      <c r="I172" s="287" t="s">
        <v>2790</v>
      </c>
      <c r="J172" s="220" t="s">
        <v>942</v>
      </c>
      <c r="K172" s="220" t="s">
        <v>943</v>
      </c>
      <c r="L172" s="208" t="s">
        <v>307</v>
      </c>
      <c r="M172" s="208" t="s">
        <v>973</v>
      </c>
      <c r="N172" s="209" t="s">
        <v>1651</v>
      </c>
      <c r="O172" s="209"/>
      <c r="P172" s="209" t="s">
        <v>22</v>
      </c>
      <c r="Q172" s="209"/>
      <c r="R172" s="209"/>
      <c r="S172" s="231"/>
      <c r="T172" s="152" t="s">
        <v>1608</v>
      </c>
      <c r="U172" s="152" t="s">
        <v>1608</v>
      </c>
      <c r="V172" s="220" t="s">
        <v>1609</v>
      </c>
      <c r="W172" s="220" t="s">
        <v>1610</v>
      </c>
      <c r="X172" s="262" t="s">
        <v>1611</v>
      </c>
      <c r="Y172" s="221"/>
      <c r="Z172" s="213" t="s">
        <v>2663</v>
      </c>
      <c r="AA172" s="213" t="s">
        <v>2663</v>
      </c>
      <c r="AB172" s="213" t="s">
        <v>2663</v>
      </c>
      <c r="AC172" s="220" t="s">
        <v>2791</v>
      </c>
      <c r="AD172" s="213" t="s">
        <v>2792</v>
      </c>
      <c r="AE172" s="221"/>
      <c r="AF172" s="221"/>
      <c r="AG172" s="221"/>
      <c r="AH172" s="221" t="s">
        <v>1663</v>
      </c>
      <c r="AI172" s="190"/>
    </row>
    <row r="173" ht="408.75" customHeight="1">
      <c r="A173" s="190"/>
      <c r="B173" s="216" t="s">
        <v>691</v>
      </c>
      <c r="C173" s="220" t="s">
        <v>935</v>
      </c>
      <c r="D173" s="220" t="s">
        <v>936</v>
      </c>
      <c r="E173" s="220" t="s">
        <v>937</v>
      </c>
      <c r="F173" s="286" t="s">
        <v>2700</v>
      </c>
      <c r="G173" s="286" t="s">
        <v>2793</v>
      </c>
      <c r="H173" s="286" t="s">
        <v>2794</v>
      </c>
      <c r="I173" s="287" t="s">
        <v>2795</v>
      </c>
      <c r="J173" s="220" t="s">
        <v>944</v>
      </c>
      <c r="K173" s="220" t="s">
        <v>945</v>
      </c>
      <c r="L173" s="208" t="s">
        <v>307</v>
      </c>
      <c r="M173" s="208" t="s">
        <v>973</v>
      </c>
      <c r="N173" s="219"/>
      <c r="O173" s="219"/>
      <c r="P173" s="219" t="s">
        <v>22</v>
      </c>
      <c r="Q173" s="219"/>
      <c r="R173" s="219"/>
      <c r="S173" s="232"/>
      <c r="T173" s="235" t="s">
        <v>1612</v>
      </c>
      <c r="U173" s="147" t="s">
        <v>1612</v>
      </c>
      <c r="V173" s="220" t="s">
        <v>1560</v>
      </c>
      <c r="W173" s="220" t="s">
        <v>1613</v>
      </c>
      <c r="X173" s="220" t="s">
        <v>1614</v>
      </c>
      <c r="Y173" s="220"/>
      <c r="Z173" s="213" t="s">
        <v>2784</v>
      </c>
      <c r="AA173" s="213" t="s">
        <v>2031</v>
      </c>
      <c r="AB173" s="213" t="s">
        <v>2018</v>
      </c>
      <c r="AC173" s="220" t="s">
        <v>2796</v>
      </c>
      <c r="AD173" s="213" t="s">
        <v>2797</v>
      </c>
      <c r="AE173" s="221" t="s">
        <v>2798</v>
      </c>
      <c r="AF173" s="221"/>
      <c r="AG173" s="221"/>
      <c r="AH173" s="221" t="s">
        <v>1663</v>
      </c>
      <c r="AI173" s="190"/>
    </row>
    <row r="174" ht="408.75" customHeight="1">
      <c r="A174" s="190"/>
      <c r="B174" s="216" t="s">
        <v>691</v>
      </c>
      <c r="C174" s="220" t="s">
        <v>935</v>
      </c>
      <c r="D174" s="220" t="s">
        <v>936</v>
      </c>
      <c r="E174" s="220" t="s">
        <v>937</v>
      </c>
      <c r="F174" s="286" t="s">
        <v>2700</v>
      </c>
      <c r="G174" s="286" t="s">
        <v>2799</v>
      </c>
      <c r="H174" s="286" t="s">
        <v>2800</v>
      </c>
      <c r="I174" s="287" t="s">
        <v>2801</v>
      </c>
      <c r="J174" s="220" t="s">
        <v>946</v>
      </c>
      <c r="K174" s="220" t="s">
        <v>947</v>
      </c>
      <c r="L174" s="208" t="s">
        <v>307</v>
      </c>
      <c r="M174" s="208" t="s">
        <v>307</v>
      </c>
      <c r="N174" s="219"/>
      <c r="O174" s="219"/>
      <c r="P174" s="248" t="s">
        <v>22</v>
      </c>
      <c r="Q174" s="219"/>
      <c r="R174" s="219"/>
      <c r="S174" s="231"/>
      <c r="T174" s="235" t="s">
        <v>2802</v>
      </c>
      <c r="U174" s="152" t="s">
        <v>1615</v>
      </c>
      <c r="V174" s="220" t="s">
        <v>1531</v>
      </c>
      <c r="W174" s="220" t="s">
        <v>1616</v>
      </c>
      <c r="X174" s="220" t="s">
        <v>1617</v>
      </c>
      <c r="Y174" s="221" t="s">
        <v>2560</v>
      </c>
      <c r="Z174" s="220"/>
      <c r="AA174" s="220"/>
      <c r="AB174" s="220" t="s">
        <v>1726</v>
      </c>
      <c r="AC174" s="220" t="s">
        <v>2803</v>
      </c>
      <c r="AD174" s="220"/>
      <c r="AE174" s="221" t="s">
        <v>2804</v>
      </c>
      <c r="AF174" s="221"/>
      <c r="AG174" s="221"/>
      <c r="AH174" s="221" t="s">
        <v>2168</v>
      </c>
      <c r="AI174" s="190" t="s">
        <v>973</v>
      </c>
    </row>
    <row r="175" ht="408.75" customHeight="1">
      <c r="A175" s="190"/>
      <c r="B175" s="216" t="s">
        <v>691</v>
      </c>
      <c r="C175" s="220" t="s">
        <v>948</v>
      </c>
      <c r="D175" s="220" t="s">
        <v>949</v>
      </c>
      <c r="E175" s="220" t="s">
        <v>950</v>
      </c>
      <c r="F175" s="286" t="s">
        <v>2805</v>
      </c>
      <c r="G175" s="286" t="s">
        <v>2806</v>
      </c>
      <c r="H175" s="286" t="s">
        <v>2807</v>
      </c>
      <c r="I175" s="287" t="s">
        <v>2808</v>
      </c>
      <c r="J175" s="220" t="s">
        <v>951</v>
      </c>
      <c r="K175" s="220" t="s">
        <v>952</v>
      </c>
      <c r="L175" s="208" t="s">
        <v>307</v>
      </c>
      <c r="M175" s="208" t="s">
        <v>973</v>
      </c>
      <c r="N175" s="219"/>
      <c r="O175" s="219"/>
      <c r="P175" s="219" t="s">
        <v>22</v>
      </c>
      <c r="Q175" s="219"/>
      <c r="R175" s="219"/>
      <c r="S175" s="232"/>
      <c r="T175" s="235" t="s">
        <v>1619</v>
      </c>
      <c r="U175" s="147" t="s">
        <v>1619</v>
      </c>
      <c r="V175" s="220" t="s">
        <v>1531</v>
      </c>
      <c r="W175" s="220" t="s">
        <v>1620</v>
      </c>
      <c r="X175" s="220" t="s">
        <v>1621</v>
      </c>
      <c r="Y175" s="221"/>
      <c r="Z175" s="213" t="s">
        <v>2809</v>
      </c>
      <c r="AA175" s="213" t="s">
        <v>2810</v>
      </c>
      <c r="AB175" s="213" t="s">
        <v>2811</v>
      </c>
      <c r="AC175" s="220" t="s">
        <v>2812</v>
      </c>
      <c r="AD175" s="213" t="s">
        <v>2813</v>
      </c>
      <c r="AE175" s="221" t="s">
        <v>2814</v>
      </c>
      <c r="AF175" s="221"/>
      <c r="AG175" s="221"/>
      <c r="AH175" s="221" t="s">
        <v>1663</v>
      </c>
      <c r="AI175" s="190"/>
    </row>
    <row r="176" ht="408.75" customHeight="1">
      <c r="A176" s="190"/>
      <c r="B176" s="216" t="s">
        <v>691</v>
      </c>
      <c r="C176" s="220" t="s">
        <v>955</v>
      </c>
      <c r="D176" s="220" t="s">
        <v>956</v>
      </c>
      <c r="E176" s="220" t="s">
        <v>957</v>
      </c>
      <c r="F176" s="288" t="s">
        <v>2815</v>
      </c>
      <c r="G176" s="288" t="s">
        <v>2816</v>
      </c>
      <c r="H176" s="288" t="s">
        <v>2817</v>
      </c>
      <c r="I176" s="289" t="s">
        <v>2818</v>
      </c>
      <c r="J176" s="220" t="s">
        <v>958</v>
      </c>
      <c r="K176" s="220" t="s">
        <v>959</v>
      </c>
      <c r="L176" s="208" t="s">
        <v>307</v>
      </c>
      <c r="M176" s="208" t="s">
        <v>307</v>
      </c>
      <c r="N176" s="219"/>
      <c r="O176" s="219"/>
      <c r="P176" s="219" t="s">
        <v>22</v>
      </c>
      <c r="Q176" s="219"/>
      <c r="R176" s="219"/>
      <c r="S176" s="232"/>
      <c r="T176" s="235" t="s">
        <v>2819</v>
      </c>
      <c r="U176" s="147" t="s">
        <v>1624</v>
      </c>
      <c r="V176" s="220" t="s">
        <v>1625</v>
      </c>
      <c r="W176" s="220" t="s">
        <v>1626</v>
      </c>
      <c r="X176" s="220" t="s">
        <v>1627</v>
      </c>
      <c r="Y176" s="220"/>
      <c r="Z176" s="220"/>
      <c r="AA176" s="220"/>
      <c r="AB176" s="220" t="s">
        <v>2112</v>
      </c>
      <c r="AC176" s="220" t="s">
        <v>2820</v>
      </c>
      <c r="AD176" s="220"/>
      <c r="AE176" s="221" t="s">
        <v>2821</v>
      </c>
      <c r="AF176" s="221"/>
      <c r="AG176" s="221"/>
      <c r="AH176" s="221" t="s">
        <v>1663</v>
      </c>
      <c r="AI176" s="190"/>
    </row>
    <row r="177" ht="408.75" customHeight="1">
      <c r="A177" s="190"/>
      <c r="B177" s="216" t="s">
        <v>691</v>
      </c>
      <c r="C177" s="220" t="s">
        <v>955</v>
      </c>
      <c r="D177" s="220" t="s">
        <v>956</v>
      </c>
      <c r="E177" s="220" t="s">
        <v>957</v>
      </c>
      <c r="F177" s="290"/>
      <c r="G177" s="290"/>
      <c r="H177" s="290"/>
      <c r="I177" s="291"/>
      <c r="J177" s="220" t="s">
        <v>962</v>
      </c>
      <c r="K177" s="220" t="s">
        <v>963</v>
      </c>
      <c r="L177" s="208" t="s">
        <v>307</v>
      </c>
      <c r="M177" s="208" t="s">
        <v>307</v>
      </c>
      <c r="N177" s="219"/>
      <c r="O177" s="219"/>
      <c r="P177" s="219" t="s">
        <v>22</v>
      </c>
      <c r="Q177" s="219"/>
      <c r="R177" s="219"/>
      <c r="S177" s="232"/>
      <c r="T177" s="152" t="s">
        <v>2822</v>
      </c>
      <c r="U177" s="147" t="s">
        <v>1628</v>
      </c>
      <c r="V177" s="220" t="s">
        <v>1625</v>
      </c>
      <c r="W177" s="220" t="s">
        <v>1626</v>
      </c>
      <c r="X177" s="220" t="s">
        <v>1627</v>
      </c>
      <c r="Y177" s="220"/>
      <c r="Z177" s="220"/>
      <c r="AA177" s="220"/>
      <c r="AB177" s="220" t="s">
        <v>2112</v>
      </c>
      <c r="AC177" s="220" t="s">
        <v>2820</v>
      </c>
      <c r="AD177" s="220"/>
      <c r="AE177" s="221" t="s">
        <v>2823</v>
      </c>
      <c r="AF177" s="221" t="s">
        <v>2824</v>
      </c>
      <c r="AG177" s="221"/>
      <c r="AH177" s="221" t="s">
        <v>1663</v>
      </c>
      <c r="AI177" s="190"/>
    </row>
    <row r="178" ht="17.25" customHeight="1">
      <c r="A178" s="190"/>
      <c r="B178" s="191"/>
      <c r="C178" s="191"/>
      <c r="D178" s="191"/>
      <c r="E178" s="192"/>
      <c r="F178" s="192"/>
      <c r="G178" s="192"/>
      <c r="H178" s="192"/>
      <c r="I178" s="192"/>
      <c r="J178" s="193"/>
      <c r="K178" s="192"/>
      <c r="L178" s="190"/>
      <c r="M178" s="194"/>
      <c r="N178" s="194"/>
      <c r="O178" s="194"/>
      <c r="P178" s="194"/>
      <c r="Q178" s="194"/>
      <c r="R178" s="194"/>
      <c r="S178" s="195"/>
      <c r="T178" s="195"/>
      <c r="U178" s="195"/>
      <c r="V178" s="191"/>
      <c r="W178" s="192"/>
      <c r="X178" s="192"/>
      <c r="Y178" s="192"/>
      <c r="Z178" s="191"/>
      <c r="AA178" s="191"/>
      <c r="AB178" s="193" t="s">
        <v>209</v>
      </c>
      <c r="AC178" s="193"/>
      <c r="AD178" s="191"/>
      <c r="AE178" s="194"/>
      <c r="AF178" s="194"/>
      <c r="AG178" s="194"/>
      <c r="AH178" s="194"/>
      <c r="AI178" s="190"/>
    </row>
    <row r="179" ht="16.5" customHeight="1">
      <c r="A179" s="190"/>
      <c r="B179" s="191"/>
      <c r="C179" s="191"/>
      <c r="D179" s="191"/>
      <c r="E179" s="192"/>
      <c r="F179" s="192"/>
      <c r="G179" s="192"/>
      <c r="H179" s="192"/>
      <c r="I179" s="192"/>
      <c r="J179" s="193"/>
      <c r="K179" s="192"/>
      <c r="L179" s="190"/>
      <c r="M179" s="194"/>
      <c r="N179" s="194"/>
      <c r="O179" s="194"/>
      <c r="P179" s="194"/>
      <c r="Q179" s="194"/>
      <c r="R179" s="194"/>
      <c r="S179" s="195"/>
      <c r="T179" s="195"/>
      <c r="U179" s="195"/>
      <c r="V179" s="191"/>
      <c r="W179" s="192"/>
      <c r="X179" s="192"/>
      <c r="Y179" s="192"/>
      <c r="Z179" s="191"/>
      <c r="AA179" s="191"/>
      <c r="AB179" s="193"/>
      <c r="AC179" s="193"/>
      <c r="AD179" s="191"/>
      <c r="AE179" s="194"/>
      <c r="AF179" s="194"/>
      <c r="AG179" s="194"/>
      <c r="AH179" s="194"/>
      <c r="AI179" s="190"/>
    </row>
    <row r="180" ht="16.5" customHeight="1">
      <c r="A180" s="190"/>
      <c r="B180" s="191"/>
      <c r="C180" s="191"/>
      <c r="D180" s="191"/>
      <c r="E180" s="192"/>
      <c r="F180" s="192"/>
      <c r="G180" s="192"/>
      <c r="H180" s="192"/>
      <c r="I180" s="192"/>
      <c r="J180" s="193"/>
      <c r="K180" s="192"/>
      <c r="L180" s="190"/>
      <c r="M180" s="194"/>
      <c r="N180" s="194"/>
      <c r="O180" s="194"/>
      <c r="P180" s="194"/>
      <c r="Q180" s="194"/>
      <c r="R180" s="194"/>
      <c r="S180" s="195"/>
      <c r="T180" s="195"/>
      <c r="U180" s="195"/>
      <c r="V180" s="191"/>
      <c r="W180" s="192"/>
      <c r="X180" s="192"/>
      <c r="Y180" s="192"/>
      <c r="Z180" s="191"/>
      <c r="AA180" s="191"/>
      <c r="AB180" s="193"/>
      <c r="AC180" s="193"/>
      <c r="AD180" s="191"/>
      <c r="AE180" s="194"/>
      <c r="AF180" s="194"/>
      <c r="AG180" s="194"/>
      <c r="AH180" s="194"/>
      <c r="AI180" s="190"/>
    </row>
    <row r="181" ht="16.5" customHeight="1">
      <c r="A181" s="190"/>
      <c r="B181" s="191"/>
      <c r="C181" s="191"/>
      <c r="D181" s="191"/>
      <c r="E181" s="192"/>
      <c r="F181" s="192"/>
      <c r="G181" s="192"/>
      <c r="H181" s="192"/>
      <c r="I181" s="192"/>
      <c r="J181" s="193"/>
      <c r="K181" s="192"/>
      <c r="L181" s="190"/>
      <c r="M181" s="194"/>
      <c r="N181" s="194"/>
      <c r="O181" s="194"/>
      <c r="P181" s="194"/>
      <c r="Q181" s="194"/>
      <c r="R181" s="194"/>
      <c r="S181" s="195"/>
      <c r="T181" s="195"/>
      <c r="U181" s="195"/>
      <c r="V181" s="191"/>
      <c r="W181" s="192"/>
      <c r="X181" s="192"/>
      <c r="Y181" s="192"/>
      <c r="Z181" s="191"/>
      <c r="AA181" s="191"/>
      <c r="AB181" s="193"/>
      <c r="AC181" s="193"/>
      <c r="AD181" s="191"/>
      <c r="AE181" s="194"/>
      <c r="AF181" s="194"/>
      <c r="AG181" s="194"/>
      <c r="AH181" s="194"/>
      <c r="AI181" s="190"/>
    </row>
    <row r="182" ht="16.5" customHeight="1">
      <c r="A182" s="190"/>
      <c r="B182" s="191"/>
      <c r="C182" s="191"/>
      <c r="D182" s="191"/>
      <c r="E182" s="192"/>
      <c r="F182" s="192"/>
      <c r="G182" s="192"/>
      <c r="H182" s="192"/>
      <c r="I182" s="192"/>
      <c r="J182" s="193"/>
      <c r="K182" s="192"/>
      <c r="L182" s="190"/>
      <c r="M182" s="194"/>
      <c r="N182" s="194"/>
      <c r="O182" s="194"/>
      <c r="P182" s="194"/>
      <c r="Q182" s="194"/>
      <c r="R182" s="194"/>
      <c r="S182" s="195"/>
      <c r="T182" s="195"/>
      <c r="U182" s="195"/>
      <c r="V182" s="191"/>
      <c r="W182" s="192"/>
      <c r="X182" s="192"/>
      <c r="Y182" s="192"/>
      <c r="Z182" s="191"/>
      <c r="AA182" s="191"/>
      <c r="AB182" s="193"/>
      <c r="AC182" s="193"/>
      <c r="AD182" s="191"/>
      <c r="AE182" s="194"/>
      <c r="AF182" s="194"/>
      <c r="AG182" s="194"/>
      <c r="AH182" s="194"/>
      <c r="AI182" s="190"/>
    </row>
    <row r="183" ht="16.5" customHeight="1">
      <c r="A183" s="190"/>
      <c r="B183" s="191"/>
      <c r="C183" s="191"/>
      <c r="D183" s="191"/>
      <c r="E183" s="192"/>
      <c r="F183" s="192"/>
      <c r="G183" s="192"/>
      <c r="H183" s="192"/>
      <c r="I183" s="192"/>
      <c r="J183" s="193"/>
      <c r="K183" s="192"/>
      <c r="L183" s="190"/>
      <c r="M183" s="194"/>
      <c r="N183" s="194"/>
      <c r="O183" s="194"/>
      <c r="P183" s="194"/>
      <c r="Q183" s="194"/>
      <c r="R183" s="194"/>
      <c r="S183" s="195"/>
      <c r="T183" s="195"/>
      <c r="U183" s="195"/>
      <c r="V183" s="191"/>
      <c r="W183" s="192"/>
      <c r="X183" s="192"/>
      <c r="Y183" s="192"/>
      <c r="Z183" s="191"/>
      <c r="AA183" s="191"/>
      <c r="AB183" s="193"/>
      <c r="AC183" s="193"/>
      <c r="AD183" s="191"/>
      <c r="AE183" s="194"/>
      <c r="AF183" s="194"/>
      <c r="AG183" s="194"/>
      <c r="AH183" s="194"/>
      <c r="AI183" s="190"/>
    </row>
    <row r="184" ht="16.5" customHeight="1">
      <c r="A184" s="190"/>
      <c r="B184" s="191"/>
      <c r="C184" s="191"/>
      <c r="D184" s="191"/>
      <c r="E184" s="192"/>
      <c r="F184" s="192"/>
      <c r="G184" s="192"/>
      <c r="H184" s="192"/>
      <c r="I184" s="192"/>
      <c r="J184" s="193"/>
      <c r="K184" s="192"/>
      <c r="L184" s="190"/>
      <c r="M184" s="194"/>
      <c r="N184" s="194"/>
      <c r="O184" s="194"/>
      <c r="P184" s="194"/>
      <c r="Q184" s="194"/>
      <c r="R184" s="194"/>
      <c r="S184" s="195"/>
      <c r="T184" s="195"/>
      <c r="U184" s="195"/>
      <c r="V184" s="191"/>
      <c r="W184" s="192"/>
      <c r="X184" s="192"/>
      <c r="Y184" s="192"/>
      <c r="Z184" s="191"/>
      <c r="AA184" s="191"/>
      <c r="AB184" s="193"/>
      <c r="AC184" s="193"/>
      <c r="AD184" s="191"/>
      <c r="AE184" s="194"/>
      <c r="AF184" s="194"/>
      <c r="AG184" s="194"/>
      <c r="AH184" s="194"/>
      <c r="AI184" s="190"/>
    </row>
    <row r="185" ht="16.5" customHeight="1">
      <c r="A185" s="190"/>
      <c r="B185" s="191"/>
      <c r="C185" s="191"/>
      <c r="D185" s="191"/>
      <c r="E185" s="192"/>
      <c r="F185" s="192"/>
      <c r="G185" s="192"/>
      <c r="H185" s="192"/>
      <c r="I185" s="192"/>
      <c r="J185" s="193"/>
      <c r="K185" s="192"/>
      <c r="L185" s="190"/>
      <c r="M185" s="194"/>
      <c r="N185" s="194"/>
      <c r="O185" s="194"/>
      <c r="P185" s="194"/>
      <c r="Q185" s="194"/>
      <c r="R185" s="194"/>
      <c r="S185" s="195"/>
      <c r="T185" s="195"/>
      <c r="U185" s="195"/>
      <c r="V185" s="191"/>
      <c r="W185" s="192"/>
      <c r="X185" s="192"/>
      <c r="Y185" s="192"/>
      <c r="Z185" s="191"/>
      <c r="AA185" s="191"/>
      <c r="AB185" s="193"/>
      <c r="AC185" s="193"/>
      <c r="AD185" s="191"/>
      <c r="AE185" s="194"/>
      <c r="AF185" s="194"/>
      <c r="AG185" s="194"/>
      <c r="AH185" s="194"/>
      <c r="AI185" s="190"/>
    </row>
    <row r="186" ht="16.5" customHeight="1">
      <c r="A186" s="190"/>
      <c r="B186" s="191"/>
      <c r="C186" s="191"/>
      <c r="D186" s="191"/>
      <c r="E186" s="192"/>
      <c r="F186" s="192"/>
      <c r="G186" s="192"/>
      <c r="H186" s="192"/>
      <c r="I186" s="192"/>
      <c r="J186" s="193"/>
      <c r="K186" s="192"/>
      <c r="L186" s="190"/>
      <c r="M186" s="194"/>
      <c r="N186" s="194"/>
      <c r="O186" s="194"/>
      <c r="P186" s="194"/>
      <c r="Q186" s="194"/>
      <c r="R186" s="194"/>
      <c r="S186" s="195"/>
      <c r="T186" s="195"/>
      <c r="U186" s="195"/>
      <c r="V186" s="191"/>
      <c r="W186" s="192"/>
      <c r="X186" s="192"/>
      <c r="Y186" s="192"/>
      <c r="Z186" s="191"/>
      <c r="AA186" s="191"/>
      <c r="AB186" s="193"/>
      <c r="AC186" s="193"/>
      <c r="AD186" s="191"/>
      <c r="AE186" s="194"/>
      <c r="AF186" s="194"/>
      <c r="AG186" s="194"/>
      <c r="AH186" s="194"/>
      <c r="AI186" s="190"/>
    </row>
    <row r="187" ht="16.5" customHeight="1">
      <c r="A187" s="190"/>
      <c r="B187" s="191"/>
      <c r="C187" s="191"/>
      <c r="D187" s="191"/>
      <c r="E187" s="192"/>
      <c r="F187" s="192"/>
      <c r="G187" s="192"/>
      <c r="H187" s="192"/>
      <c r="I187" s="192"/>
      <c r="J187" s="193"/>
      <c r="K187" s="192"/>
      <c r="L187" s="190"/>
      <c r="M187" s="194"/>
      <c r="N187" s="194"/>
      <c r="O187" s="194"/>
      <c r="P187" s="194"/>
      <c r="Q187" s="194"/>
      <c r="R187" s="194"/>
      <c r="S187" s="195"/>
      <c r="T187" s="195"/>
      <c r="U187" s="195"/>
      <c r="V187" s="191"/>
      <c r="W187" s="192"/>
      <c r="X187" s="192"/>
      <c r="Y187" s="192"/>
      <c r="Z187" s="191"/>
      <c r="AA187" s="191"/>
      <c r="AB187" s="193"/>
      <c r="AC187" s="193"/>
      <c r="AD187" s="191"/>
      <c r="AE187" s="194"/>
      <c r="AF187" s="194"/>
      <c r="AG187" s="194"/>
      <c r="AH187" s="194"/>
      <c r="AI187" s="190"/>
    </row>
    <row r="188" ht="16.5" customHeight="1">
      <c r="A188" s="190"/>
      <c r="B188" s="191"/>
      <c r="C188" s="191"/>
      <c r="D188" s="191"/>
      <c r="E188" s="192"/>
      <c r="F188" s="192"/>
      <c r="G188" s="192"/>
      <c r="H188" s="192"/>
      <c r="I188" s="192"/>
      <c r="J188" s="193"/>
      <c r="K188" s="192"/>
      <c r="L188" s="190"/>
      <c r="M188" s="194"/>
      <c r="N188" s="194"/>
      <c r="O188" s="194"/>
      <c r="P188" s="194"/>
      <c r="Q188" s="194"/>
      <c r="R188" s="194"/>
      <c r="S188" s="195"/>
      <c r="T188" s="195"/>
      <c r="U188" s="195"/>
      <c r="V188" s="191"/>
      <c r="W188" s="192"/>
      <c r="X188" s="192"/>
      <c r="Y188" s="192"/>
      <c r="Z188" s="191"/>
      <c r="AA188" s="191"/>
      <c r="AB188" s="193"/>
      <c r="AC188" s="193"/>
      <c r="AD188" s="191"/>
      <c r="AE188" s="194"/>
      <c r="AF188" s="194"/>
      <c r="AG188" s="194"/>
      <c r="AH188" s="194"/>
      <c r="AI188" s="190"/>
    </row>
    <row r="189" ht="16.5" customHeight="1">
      <c r="A189" s="190"/>
      <c r="B189" s="191"/>
      <c r="C189" s="191"/>
      <c r="D189" s="191"/>
      <c r="E189" s="192"/>
      <c r="F189" s="192"/>
      <c r="G189" s="192"/>
      <c r="H189" s="192"/>
      <c r="I189" s="192"/>
      <c r="J189" s="193"/>
      <c r="K189" s="192"/>
      <c r="L189" s="190"/>
      <c r="M189" s="194"/>
      <c r="N189" s="194"/>
      <c r="O189" s="194"/>
      <c r="P189" s="194"/>
      <c r="Q189" s="194"/>
      <c r="R189" s="194"/>
      <c r="S189" s="195"/>
      <c r="T189" s="195"/>
      <c r="U189" s="195"/>
      <c r="V189" s="191"/>
      <c r="W189" s="192"/>
      <c r="X189" s="192"/>
      <c r="Y189" s="192"/>
      <c r="Z189" s="191"/>
      <c r="AA189" s="191"/>
      <c r="AB189" s="193"/>
      <c r="AC189" s="193"/>
      <c r="AD189" s="191"/>
      <c r="AE189" s="194"/>
      <c r="AF189" s="194"/>
      <c r="AG189" s="194"/>
      <c r="AH189" s="194"/>
      <c r="AI189" s="190"/>
    </row>
    <row r="190" ht="16.5" customHeight="1">
      <c r="A190" s="190"/>
      <c r="B190" s="191"/>
      <c r="C190" s="191"/>
      <c r="D190" s="191"/>
      <c r="E190" s="192"/>
      <c r="F190" s="192"/>
      <c r="G190" s="192"/>
      <c r="H190" s="192"/>
      <c r="I190" s="192"/>
      <c r="J190" s="193"/>
      <c r="K190" s="192"/>
      <c r="L190" s="190"/>
      <c r="M190" s="194"/>
      <c r="N190" s="194"/>
      <c r="O190" s="194"/>
      <c r="P190" s="194"/>
      <c r="Q190" s="194"/>
      <c r="R190" s="194"/>
      <c r="S190" s="195"/>
      <c r="T190" s="195"/>
      <c r="U190" s="195"/>
      <c r="V190" s="191"/>
      <c r="W190" s="192"/>
      <c r="X190" s="192"/>
      <c r="Y190" s="192"/>
      <c r="Z190" s="191"/>
      <c r="AA190" s="191"/>
      <c r="AB190" s="193"/>
      <c r="AC190" s="193"/>
      <c r="AD190" s="191"/>
      <c r="AE190" s="194"/>
      <c r="AF190" s="194"/>
      <c r="AG190" s="194"/>
      <c r="AH190" s="194"/>
      <c r="AI190" s="190"/>
    </row>
    <row r="191" ht="16.5" customHeight="1">
      <c r="A191" s="190"/>
      <c r="B191" s="191"/>
      <c r="C191" s="191"/>
      <c r="D191" s="191"/>
      <c r="E191" s="192"/>
      <c r="F191" s="192"/>
      <c r="G191" s="192"/>
      <c r="H191" s="192"/>
      <c r="I191" s="192"/>
      <c r="J191" s="193"/>
      <c r="K191" s="192"/>
      <c r="L191" s="190"/>
      <c r="M191" s="194"/>
      <c r="N191" s="194"/>
      <c r="O191" s="194"/>
      <c r="P191" s="194"/>
      <c r="Q191" s="194"/>
      <c r="R191" s="194"/>
      <c r="S191" s="195"/>
      <c r="T191" s="195"/>
      <c r="U191" s="195"/>
      <c r="V191" s="191"/>
      <c r="W191" s="192"/>
      <c r="X191" s="192"/>
      <c r="Y191" s="192"/>
      <c r="Z191" s="191"/>
      <c r="AA191" s="191"/>
      <c r="AB191" s="193"/>
      <c r="AC191" s="193"/>
      <c r="AD191" s="191"/>
      <c r="AE191" s="194"/>
      <c r="AF191" s="194"/>
      <c r="AG191" s="194"/>
      <c r="AH191" s="194"/>
      <c r="AI191" s="190"/>
    </row>
    <row r="192" ht="16.5" customHeight="1">
      <c r="A192" s="190"/>
      <c r="B192" s="191"/>
      <c r="C192" s="191"/>
      <c r="D192" s="191"/>
      <c r="E192" s="192"/>
      <c r="F192" s="192"/>
      <c r="G192" s="192"/>
      <c r="H192" s="192"/>
      <c r="I192" s="192"/>
      <c r="J192" s="193"/>
      <c r="K192" s="192"/>
      <c r="L192" s="190"/>
      <c r="M192" s="194"/>
      <c r="N192" s="194"/>
      <c r="O192" s="194"/>
      <c r="P192" s="194"/>
      <c r="Q192" s="194"/>
      <c r="R192" s="194"/>
      <c r="S192" s="195"/>
      <c r="T192" s="195"/>
      <c r="U192" s="195"/>
      <c r="V192" s="191"/>
      <c r="W192" s="192"/>
      <c r="X192" s="192"/>
      <c r="Y192" s="192"/>
      <c r="Z192" s="191"/>
      <c r="AA192" s="191"/>
      <c r="AB192" s="193"/>
      <c r="AC192" s="193"/>
      <c r="AD192" s="191"/>
      <c r="AE192" s="194"/>
      <c r="AF192" s="194"/>
      <c r="AG192" s="194"/>
      <c r="AH192" s="194"/>
      <c r="AI192" s="190"/>
    </row>
    <row r="193" ht="16.5" customHeight="1">
      <c r="A193" s="190"/>
      <c r="B193" s="191"/>
      <c r="C193" s="191"/>
      <c r="D193" s="191"/>
      <c r="E193" s="192"/>
      <c r="F193" s="192"/>
      <c r="G193" s="192"/>
      <c r="H193" s="192"/>
      <c r="I193" s="192"/>
      <c r="J193" s="193"/>
      <c r="K193" s="192"/>
      <c r="L193" s="190"/>
      <c r="M193" s="194"/>
      <c r="N193" s="194"/>
      <c r="O193" s="194"/>
      <c r="P193" s="194"/>
      <c r="Q193" s="194"/>
      <c r="R193" s="194"/>
      <c r="S193" s="195"/>
      <c r="T193" s="195"/>
      <c r="U193" s="195"/>
      <c r="V193" s="191"/>
      <c r="W193" s="192"/>
      <c r="X193" s="192"/>
      <c r="Y193" s="192"/>
      <c r="Z193" s="191"/>
      <c r="AA193" s="191"/>
      <c r="AB193" s="193"/>
      <c r="AC193" s="193"/>
      <c r="AD193" s="191"/>
      <c r="AE193" s="194"/>
      <c r="AF193" s="194"/>
      <c r="AG193" s="194"/>
      <c r="AH193" s="194"/>
      <c r="AI193" s="190"/>
    </row>
    <row r="194" ht="16.5" customHeight="1">
      <c r="A194" s="190"/>
      <c r="B194" s="191"/>
      <c r="C194" s="191"/>
      <c r="D194" s="191"/>
      <c r="E194" s="192"/>
      <c r="F194" s="192"/>
      <c r="G194" s="192"/>
      <c r="H194" s="192"/>
      <c r="I194" s="192"/>
      <c r="J194" s="193"/>
      <c r="K194" s="192"/>
      <c r="L194" s="190"/>
      <c r="M194" s="194"/>
      <c r="N194" s="194"/>
      <c r="O194" s="194"/>
      <c r="P194" s="194"/>
      <c r="Q194" s="194"/>
      <c r="R194" s="194"/>
      <c r="S194" s="195"/>
      <c r="T194" s="195"/>
      <c r="U194" s="195"/>
      <c r="V194" s="191"/>
      <c r="W194" s="192"/>
      <c r="X194" s="192"/>
      <c r="Y194" s="192"/>
      <c r="Z194" s="191"/>
      <c r="AA194" s="191"/>
      <c r="AB194" s="193"/>
      <c r="AC194" s="193"/>
      <c r="AD194" s="191"/>
      <c r="AE194" s="194"/>
      <c r="AF194" s="194"/>
      <c r="AG194" s="194"/>
      <c r="AH194" s="194"/>
      <c r="AI194" s="190"/>
    </row>
    <row r="195" ht="16.5" customHeight="1">
      <c r="A195" s="190"/>
      <c r="B195" s="191"/>
      <c r="C195" s="191"/>
      <c r="D195" s="191"/>
      <c r="E195" s="192"/>
      <c r="F195" s="192"/>
      <c r="G195" s="192"/>
      <c r="H195" s="192"/>
      <c r="I195" s="192"/>
      <c r="J195" s="193"/>
      <c r="K195" s="192"/>
      <c r="L195" s="190"/>
      <c r="M195" s="194"/>
      <c r="N195" s="194"/>
      <c r="O195" s="194"/>
      <c r="P195" s="194"/>
      <c r="Q195" s="194"/>
      <c r="R195" s="194"/>
      <c r="S195" s="195"/>
      <c r="T195" s="195"/>
      <c r="U195" s="195"/>
      <c r="V195" s="191"/>
      <c r="W195" s="192"/>
      <c r="X195" s="192"/>
      <c r="Y195" s="192"/>
      <c r="Z195" s="191"/>
      <c r="AA195" s="191"/>
      <c r="AB195" s="193"/>
      <c r="AC195" s="193"/>
      <c r="AD195" s="191"/>
      <c r="AE195" s="194"/>
      <c r="AF195" s="194"/>
      <c r="AG195" s="194"/>
      <c r="AH195" s="194"/>
      <c r="AI195" s="190"/>
    </row>
    <row r="196" ht="16.5" customHeight="1">
      <c r="A196" s="190"/>
      <c r="B196" s="191"/>
      <c r="C196" s="191"/>
      <c r="D196" s="191"/>
      <c r="E196" s="192"/>
      <c r="F196" s="192"/>
      <c r="G196" s="192"/>
      <c r="H196" s="192"/>
      <c r="I196" s="192"/>
      <c r="J196" s="193"/>
      <c r="K196" s="192"/>
      <c r="L196" s="190"/>
      <c r="M196" s="194"/>
      <c r="N196" s="194"/>
      <c r="O196" s="194"/>
      <c r="P196" s="194"/>
      <c r="Q196" s="194"/>
      <c r="R196" s="194"/>
      <c r="S196" s="195"/>
      <c r="T196" s="195"/>
      <c r="U196" s="195"/>
      <c r="V196" s="191"/>
      <c r="W196" s="192"/>
      <c r="X196" s="192"/>
      <c r="Y196" s="192"/>
      <c r="Z196" s="191"/>
      <c r="AA196" s="191"/>
      <c r="AB196" s="193"/>
      <c r="AC196" s="193"/>
      <c r="AD196" s="191"/>
      <c r="AE196" s="194"/>
      <c r="AF196" s="194"/>
      <c r="AG196" s="194"/>
      <c r="AH196" s="194"/>
      <c r="AI196" s="190"/>
    </row>
    <row r="197" ht="16.5" customHeight="1">
      <c r="A197" s="190"/>
      <c r="B197" s="191"/>
      <c r="C197" s="191"/>
      <c r="D197" s="191"/>
      <c r="E197" s="192"/>
      <c r="F197" s="192"/>
      <c r="G197" s="192"/>
      <c r="H197" s="192"/>
      <c r="I197" s="192"/>
      <c r="J197" s="193"/>
      <c r="K197" s="192"/>
      <c r="L197" s="190"/>
      <c r="M197" s="194"/>
      <c r="N197" s="194"/>
      <c r="O197" s="194"/>
      <c r="P197" s="194"/>
      <c r="Q197" s="194"/>
      <c r="R197" s="194"/>
      <c r="S197" s="195"/>
      <c r="T197" s="195"/>
      <c r="U197" s="195"/>
      <c r="V197" s="191"/>
      <c r="W197" s="192"/>
      <c r="X197" s="192"/>
      <c r="Y197" s="192"/>
      <c r="Z197" s="191"/>
      <c r="AA197" s="191"/>
      <c r="AB197" s="193"/>
      <c r="AC197" s="193"/>
      <c r="AD197" s="191"/>
      <c r="AE197" s="194"/>
      <c r="AF197" s="194"/>
      <c r="AG197" s="194"/>
      <c r="AH197" s="194"/>
      <c r="AI197" s="190"/>
    </row>
    <row r="198" ht="16.5" customHeight="1">
      <c r="A198" s="190"/>
      <c r="B198" s="191"/>
      <c r="C198" s="191"/>
      <c r="D198" s="191"/>
      <c r="E198" s="192"/>
      <c r="F198" s="192"/>
      <c r="G198" s="192"/>
      <c r="H198" s="192"/>
      <c r="I198" s="192"/>
      <c r="J198" s="193"/>
      <c r="K198" s="192"/>
      <c r="L198" s="190"/>
      <c r="M198" s="194"/>
      <c r="N198" s="194"/>
      <c r="O198" s="194"/>
      <c r="P198" s="194"/>
      <c r="Q198" s="194"/>
      <c r="R198" s="194"/>
      <c r="S198" s="195"/>
      <c r="T198" s="195"/>
      <c r="U198" s="195"/>
      <c r="V198" s="191"/>
      <c r="W198" s="192"/>
      <c r="X198" s="192"/>
      <c r="Y198" s="192"/>
      <c r="Z198" s="191"/>
      <c r="AA198" s="191"/>
      <c r="AB198" s="193"/>
      <c r="AC198" s="193"/>
      <c r="AD198" s="191"/>
      <c r="AE198" s="194"/>
      <c r="AF198" s="194"/>
      <c r="AG198" s="194"/>
      <c r="AH198" s="194"/>
      <c r="AI198" s="190"/>
    </row>
    <row r="199" ht="16.5" customHeight="1">
      <c r="A199" s="190"/>
      <c r="B199" s="191"/>
      <c r="C199" s="191"/>
      <c r="D199" s="191"/>
      <c r="E199" s="192"/>
      <c r="F199" s="192"/>
      <c r="G199" s="192"/>
      <c r="H199" s="192"/>
      <c r="I199" s="192"/>
      <c r="J199" s="193"/>
      <c r="K199" s="192"/>
      <c r="L199" s="190"/>
      <c r="M199" s="194"/>
      <c r="N199" s="194"/>
      <c r="O199" s="194"/>
      <c r="P199" s="194"/>
      <c r="Q199" s="194"/>
      <c r="R199" s="194"/>
      <c r="S199" s="195"/>
      <c r="T199" s="195"/>
      <c r="U199" s="195"/>
      <c r="V199" s="191"/>
      <c r="W199" s="192"/>
      <c r="X199" s="192"/>
      <c r="Y199" s="192"/>
      <c r="Z199" s="191"/>
      <c r="AA199" s="191"/>
      <c r="AB199" s="193"/>
      <c r="AC199" s="193"/>
      <c r="AD199" s="191"/>
      <c r="AE199" s="194"/>
      <c r="AF199" s="194"/>
      <c r="AG199" s="194"/>
      <c r="AH199" s="194"/>
      <c r="AI199" s="190"/>
    </row>
    <row r="200" ht="16.5" customHeight="1">
      <c r="A200" s="190"/>
      <c r="B200" s="191"/>
      <c r="C200" s="191"/>
      <c r="D200" s="191"/>
      <c r="E200" s="192"/>
      <c r="F200" s="192"/>
      <c r="G200" s="192"/>
      <c r="H200" s="192"/>
      <c r="I200" s="192"/>
      <c r="J200" s="193"/>
      <c r="K200" s="192"/>
      <c r="L200" s="190"/>
      <c r="M200" s="194"/>
      <c r="N200" s="194"/>
      <c r="O200" s="194"/>
      <c r="P200" s="194"/>
      <c r="Q200" s="194"/>
      <c r="R200" s="194"/>
      <c r="S200" s="195"/>
      <c r="T200" s="195"/>
      <c r="U200" s="195"/>
      <c r="V200" s="191"/>
      <c r="W200" s="192"/>
      <c r="X200" s="192"/>
      <c r="Y200" s="192"/>
      <c r="Z200" s="191"/>
      <c r="AA200" s="191"/>
      <c r="AB200" s="193"/>
      <c r="AC200" s="193"/>
      <c r="AD200" s="191"/>
      <c r="AE200" s="194"/>
      <c r="AF200" s="194"/>
      <c r="AG200" s="194"/>
      <c r="AH200" s="194"/>
      <c r="AI200" s="190"/>
    </row>
    <row r="201" ht="16.5" customHeight="1">
      <c r="A201" s="190"/>
      <c r="B201" s="191"/>
      <c r="C201" s="191"/>
      <c r="D201" s="191"/>
      <c r="E201" s="192"/>
      <c r="F201" s="192"/>
      <c r="G201" s="192"/>
      <c r="H201" s="192"/>
      <c r="I201" s="192"/>
      <c r="J201" s="193"/>
      <c r="K201" s="192"/>
      <c r="L201" s="190"/>
      <c r="M201" s="194"/>
      <c r="N201" s="194"/>
      <c r="O201" s="194"/>
      <c r="P201" s="194"/>
      <c r="Q201" s="194"/>
      <c r="R201" s="194"/>
      <c r="S201" s="195"/>
      <c r="T201" s="195"/>
      <c r="U201" s="195"/>
      <c r="V201" s="191"/>
      <c r="W201" s="192"/>
      <c r="X201" s="192"/>
      <c r="Y201" s="192"/>
      <c r="Z201" s="191"/>
      <c r="AA201" s="191"/>
      <c r="AB201" s="193"/>
      <c r="AC201" s="193"/>
      <c r="AD201" s="191"/>
      <c r="AE201" s="194"/>
      <c r="AF201" s="194"/>
      <c r="AG201" s="194"/>
      <c r="AH201" s="194"/>
      <c r="AI201" s="190"/>
    </row>
    <row r="202" ht="16.5" customHeight="1">
      <c r="A202" s="190"/>
      <c r="B202" s="191"/>
      <c r="C202" s="191"/>
      <c r="D202" s="191"/>
      <c r="E202" s="192"/>
      <c r="F202" s="192"/>
      <c r="G202" s="192"/>
      <c r="H202" s="192"/>
      <c r="I202" s="192"/>
      <c r="J202" s="193"/>
      <c r="K202" s="192"/>
      <c r="L202" s="190"/>
      <c r="M202" s="194"/>
      <c r="N202" s="194"/>
      <c r="O202" s="194"/>
      <c r="P202" s="194"/>
      <c r="Q202" s="194"/>
      <c r="R202" s="194"/>
      <c r="S202" s="195"/>
      <c r="T202" s="195"/>
      <c r="U202" s="195"/>
      <c r="V202" s="191"/>
      <c r="W202" s="192"/>
      <c r="X202" s="192"/>
      <c r="Y202" s="192"/>
      <c r="Z202" s="191"/>
      <c r="AA202" s="191"/>
      <c r="AB202" s="193"/>
      <c r="AC202" s="193"/>
      <c r="AD202" s="191"/>
      <c r="AE202" s="194"/>
      <c r="AF202" s="194"/>
      <c r="AG202" s="194"/>
      <c r="AH202" s="194"/>
      <c r="AI202" s="190"/>
    </row>
    <row r="203" ht="16.5" customHeight="1">
      <c r="A203" s="190"/>
      <c r="B203" s="191"/>
      <c r="C203" s="191"/>
      <c r="D203" s="191"/>
      <c r="E203" s="192"/>
      <c r="F203" s="192"/>
      <c r="G203" s="192"/>
      <c r="H203" s="192"/>
      <c r="I203" s="192"/>
      <c r="J203" s="193"/>
      <c r="K203" s="192"/>
      <c r="L203" s="190"/>
      <c r="M203" s="194"/>
      <c r="N203" s="194"/>
      <c r="O203" s="194"/>
      <c r="P203" s="194"/>
      <c r="Q203" s="194"/>
      <c r="R203" s="194"/>
      <c r="S203" s="195"/>
      <c r="T203" s="195"/>
      <c r="U203" s="195"/>
      <c r="V203" s="191"/>
      <c r="W203" s="192"/>
      <c r="X203" s="192"/>
      <c r="Y203" s="192"/>
      <c r="Z203" s="191"/>
      <c r="AA203" s="191"/>
      <c r="AB203" s="193"/>
      <c r="AC203" s="193"/>
      <c r="AD203" s="191"/>
      <c r="AE203" s="194"/>
      <c r="AF203" s="194"/>
      <c r="AG203" s="194"/>
      <c r="AH203" s="194"/>
      <c r="AI203" s="190"/>
    </row>
    <row r="204" ht="16.5" customHeight="1">
      <c r="A204" s="190"/>
      <c r="B204" s="191"/>
      <c r="C204" s="191"/>
      <c r="D204" s="191"/>
      <c r="E204" s="192"/>
      <c r="F204" s="192"/>
      <c r="G204" s="192"/>
      <c r="H204" s="192"/>
      <c r="I204" s="192"/>
      <c r="J204" s="193"/>
      <c r="K204" s="192"/>
      <c r="L204" s="190"/>
      <c r="M204" s="194"/>
      <c r="N204" s="194"/>
      <c r="O204" s="194"/>
      <c r="P204" s="194"/>
      <c r="Q204" s="194"/>
      <c r="R204" s="194"/>
      <c r="S204" s="195"/>
      <c r="T204" s="195"/>
      <c r="U204" s="195"/>
      <c r="V204" s="191"/>
      <c r="W204" s="192"/>
      <c r="X204" s="192"/>
      <c r="Y204" s="192"/>
      <c r="Z204" s="191"/>
      <c r="AA204" s="191"/>
      <c r="AB204" s="193"/>
      <c r="AC204" s="193"/>
      <c r="AD204" s="191"/>
      <c r="AE204" s="194"/>
      <c r="AF204" s="194"/>
      <c r="AG204" s="194"/>
      <c r="AH204" s="194"/>
      <c r="AI204" s="190"/>
    </row>
    <row r="205" ht="16.5" customHeight="1">
      <c r="A205" s="190"/>
      <c r="B205" s="191"/>
      <c r="C205" s="191"/>
      <c r="D205" s="191"/>
      <c r="E205" s="192"/>
      <c r="F205" s="192"/>
      <c r="G205" s="192"/>
      <c r="H205" s="192"/>
      <c r="I205" s="192"/>
      <c r="J205" s="193"/>
      <c r="K205" s="192"/>
      <c r="L205" s="190"/>
      <c r="M205" s="194"/>
      <c r="N205" s="194"/>
      <c r="O205" s="194"/>
      <c r="P205" s="194"/>
      <c r="Q205" s="194"/>
      <c r="R205" s="194"/>
      <c r="S205" s="195"/>
      <c r="T205" s="195"/>
      <c r="U205" s="195"/>
      <c r="V205" s="191"/>
      <c r="W205" s="192"/>
      <c r="X205" s="192"/>
      <c r="Y205" s="192"/>
      <c r="Z205" s="191"/>
      <c r="AA205" s="191"/>
      <c r="AB205" s="193"/>
      <c r="AC205" s="193"/>
      <c r="AD205" s="191"/>
      <c r="AE205" s="194"/>
      <c r="AF205" s="194"/>
      <c r="AG205" s="194"/>
      <c r="AH205" s="194"/>
      <c r="AI205" s="190"/>
    </row>
    <row r="206" ht="16.5" customHeight="1">
      <c r="A206" s="190"/>
      <c r="B206" s="191"/>
      <c r="C206" s="191"/>
      <c r="D206" s="191"/>
      <c r="E206" s="192"/>
      <c r="F206" s="192"/>
      <c r="G206" s="192"/>
      <c r="H206" s="192"/>
      <c r="I206" s="192"/>
      <c r="J206" s="193"/>
      <c r="K206" s="192"/>
      <c r="L206" s="190"/>
      <c r="M206" s="194"/>
      <c r="N206" s="194"/>
      <c r="O206" s="194"/>
      <c r="P206" s="194"/>
      <c r="Q206" s="194"/>
      <c r="R206" s="194"/>
      <c r="S206" s="195"/>
      <c r="T206" s="195"/>
      <c r="U206" s="195"/>
      <c r="V206" s="191"/>
      <c r="W206" s="192"/>
      <c r="X206" s="192"/>
      <c r="Y206" s="192"/>
      <c r="Z206" s="191"/>
      <c r="AA206" s="191"/>
      <c r="AB206" s="193"/>
      <c r="AC206" s="193"/>
      <c r="AD206" s="191"/>
      <c r="AE206" s="194"/>
      <c r="AF206" s="194"/>
      <c r="AG206" s="194"/>
      <c r="AH206" s="194"/>
      <c r="AI206" s="190"/>
    </row>
    <row r="207" ht="16.5" customHeight="1">
      <c r="A207" s="190"/>
      <c r="B207" s="191"/>
      <c r="C207" s="191"/>
      <c r="D207" s="191"/>
      <c r="E207" s="192"/>
      <c r="F207" s="192"/>
      <c r="G207" s="192"/>
      <c r="H207" s="192"/>
      <c r="I207" s="192"/>
      <c r="J207" s="193"/>
      <c r="K207" s="192"/>
      <c r="L207" s="190"/>
      <c r="M207" s="194"/>
      <c r="N207" s="194"/>
      <c r="O207" s="194"/>
      <c r="P207" s="194"/>
      <c r="Q207" s="194"/>
      <c r="R207" s="194"/>
      <c r="S207" s="195"/>
      <c r="T207" s="195"/>
      <c r="U207" s="195"/>
      <c r="V207" s="191"/>
      <c r="W207" s="192"/>
      <c r="X207" s="192"/>
      <c r="Y207" s="192"/>
      <c r="Z207" s="191"/>
      <c r="AA207" s="191"/>
      <c r="AB207" s="193"/>
      <c r="AC207" s="193"/>
      <c r="AD207" s="191"/>
      <c r="AE207" s="194"/>
      <c r="AF207" s="194"/>
      <c r="AG207" s="194"/>
      <c r="AH207" s="194"/>
      <c r="AI207" s="190"/>
    </row>
    <row r="208" ht="16.5" customHeight="1">
      <c r="A208" s="190"/>
      <c r="B208" s="191"/>
      <c r="C208" s="191"/>
      <c r="D208" s="191"/>
      <c r="E208" s="192"/>
      <c r="F208" s="192"/>
      <c r="G208" s="192"/>
      <c r="H208" s="192"/>
      <c r="I208" s="192"/>
      <c r="J208" s="193"/>
      <c r="K208" s="192"/>
      <c r="L208" s="190"/>
      <c r="M208" s="194"/>
      <c r="N208" s="194"/>
      <c r="O208" s="194"/>
      <c r="P208" s="194"/>
      <c r="Q208" s="194"/>
      <c r="R208" s="194"/>
      <c r="S208" s="195"/>
      <c r="T208" s="195"/>
      <c r="U208" s="195"/>
      <c r="V208" s="191"/>
      <c r="W208" s="192"/>
      <c r="X208" s="192"/>
      <c r="Y208" s="192"/>
      <c r="Z208" s="191"/>
      <c r="AA208" s="191"/>
      <c r="AB208" s="193"/>
      <c r="AC208" s="193"/>
      <c r="AD208" s="191"/>
      <c r="AE208" s="194"/>
      <c r="AF208" s="194"/>
      <c r="AG208" s="194"/>
      <c r="AH208" s="194"/>
      <c r="AI208" s="190"/>
    </row>
    <row r="209" ht="16.5" customHeight="1">
      <c r="A209" s="190"/>
      <c r="B209" s="191"/>
      <c r="C209" s="191"/>
      <c r="D209" s="191"/>
      <c r="E209" s="192"/>
      <c r="F209" s="192"/>
      <c r="G209" s="192"/>
      <c r="H209" s="192"/>
      <c r="I209" s="192"/>
      <c r="J209" s="193"/>
      <c r="K209" s="192"/>
      <c r="L209" s="190"/>
      <c r="M209" s="194"/>
      <c r="N209" s="194"/>
      <c r="O209" s="194"/>
      <c r="P209" s="194"/>
      <c r="Q209" s="194"/>
      <c r="R209" s="194"/>
      <c r="S209" s="195"/>
      <c r="T209" s="195"/>
      <c r="U209" s="195"/>
      <c r="V209" s="191"/>
      <c r="W209" s="192"/>
      <c r="X209" s="192"/>
      <c r="Y209" s="192"/>
      <c r="Z209" s="191"/>
      <c r="AA209" s="191"/>
      <c r="AB209" s="193"/>
      <c r="AC209" s="193"/>
      <c r="AD209" s="191"/>
      <c r="AE209" s="194"/>
      <c r="AF209" s="194"/>
      <c r="AG209" s="194"/>
      <c r="AH209" s="194"/>
      <c r="AI209" s="190"/>
    </row>
    <row r="210" ht="16.5" customHeight="1">
      <c r="A210" s="190"/>
      <c r="B210" s="191"/>
      <c r="C210" s="191"/>
      <c r="D210" s="191"/>
      <c r="E210" s="192"/>
      <c r="F210" s="192"/>
      <c r="G210" s="192"/>
      <c r="H210" s="192"/>
      <c r="I210" s="192"/>
      <c r="J210" s="193"/>
      <c r="K210" s="192"/>
      <c r="L210" s="190"/>
      <c r="M210" s="194"/>
      <c r="N210" s="194"/>
      <c r="O210" s="194"/>
      <c r="P210" s="194"/>
      <c r="Q210" s="194"/>
      <c r="R210" s="194"/>
      <c r="S210" s="195"/>
      <c r="T210" s="195"/>
      <c r="U210" s="195"/>
      <c r="V210" s="191"/>
      <c r="W210" s="192"/>
      <c r="X210" s="192"/>
      <c r="Y210" s="192"/>
      <c r="Z210" s="191"/>
      <c r="AA210" s="191"/>
      <c r="AB210" s="193"/>
      <c r="AC210" s="193"/>
      <c r="AD210" s="191"/>
      <c r="AE210" s="194"/>
      <c r="AF210" s="194"/>
      <c r="AG210" s="194"/>
      <c r="AH210" s="194"/>
      <c r="AI210" s="190"/>
    </row>
    <row r="211" ht="16.5" customHeight="1">
      <c r="A211" s="190"/>
      <c r="B211" s="191"/>
      <c r="C211" s="191"/>
      <c r="D211" s="191"/>
      <c r="E211" s="192"/>
      <c r="F211" s="192"/>
      <c r="G211" s="192"/>
      <c r="H211" s="192"/>
      <c r="I211" s="192"/>
      <c r="J211" s="193"/>
      <c r="K211" s="192"/>
      <c r="L211" s="190"/>
      <c r="M211" s="194"/>
      <c r="N211" s="194"/>
      <c r="O211" s="194"/>
      <c r="P211" s="194"/>
      <c r="Q211" s="194"/>
      <c r="R211" s="194"/>
      <c r="S211" s="195"/>
      <c r="T211" s="195"/>
      <c r="U211" s="195"/>
      <c r="V211" s="191"/>
      <c r="W211" s="192"/>
      <c r="X211" s="192"/>
      <c r="Y211" s="192"/>
      <c r="Z211" s="191"/>
      <c r="AA211" s="191"/>
      <c r="AB211" s="193"/>
      <c r="AC211" s="193"/>
      <c r="AD211" s="191"/>
      <c r="AE211" s="194"/>
      <c r="AF211" s="194"/>
      <c r="AG211" s="194"/>
      <c r="AH211" s="194"/>
      <c r="AI211" s="190"/>
    </row>
    <row r="212" ht="16.5" customHeight="1">
      <c r="A212" s="190"/>
      <c r="B212" s="191"/>
      <c r="C212" s="191"/>
      <c r="D212" s="191"/>
      <c r="E212" s="192"/>
      <c r="F212" s="192"/>
      <c r="G212" s="192"/>
      <c r="H212" s="192"/>
      <c r="I212" s="192"/>
      <c r="J212" s="193"/>
      <c r="K212" s="192"/>
      <c r="L212" s="190"/>
      <c r="M212" s="194"/>
      <c r="N212" s="194"/>
      <c r="O212" s="194"/>
      <c r="P212" s="194"/>
      <c r="Q212" s="194"/>
      <c r="R212" s="194"/>
      <c r="S212" s="195"/>
      <c r="T212" s="195"/>
      <c r="U212" s="195"/>
      <c r="V212" s="191"/>
      <c r="W212" s="192"/>
      <c r="X212" s="192"/>
      <c r="Y212" s="192"/>
      <c r="Z212" s="191"/>
      <c r="AA212" s="191"/>
      <c r="AB212" s="193"/>
      <c r="AC212" s="193"/>
      <c r="AD212" s="191"/>
      <c r="AE212" s="194"/>
      <c r="AF212" s="194"/>
      <c r="AG212" s="194"/>
      <c r="AH212" s="194"/>
      <c r="AI212" s="190"/>
    </row>
    <row r="213" ht="16.5" customHeight="1">
      <c r="A213" s="190"/>
      <c r="B213" s="191"/>
      <c r="C213" s="191"/>
      <c r="D213" s="191"/>
      <c r="E213" s="192"/>
      <c r="F213" s="192"/>
      <c r="G213" s="192"/>
      <c r="H213" s="192"/>
      <c r="I213" s="192"/>
      <c r="J213" s="193"/>
      <c r="K213" s="192"/>
      <c r="L213" s="190"/>
      <c r="M213" s="194"/>
      <c r="N213" s="194"/>
      <c r="O213" s="194"/>
      <c r="P213" s="194"/>
      <c r="Q213" s="194"/>
      <c r="R213" s="194"/>
      <c r="S213" s="195"/>
      <c r="T213" s="195"/>
      <c r="U213" s="195"/>
      <c r="V213" s="191"/>
      <c r="W213" s="192"/>
      <c r="X213" s="192"/>
      <c r="Y213" s="192"/>
      <c r="Z213" s="191"/>
      <c r="AA213" s="191"/>
      <c r="AB213" s="193"/>
      <c r="AC213" s="193"/>
      <c r="AD213" s="191"/>
      <c r="AE213" s="194"/>
      <c r="AF213" s="194"/>
      <c r="AG213" s="194"/>
      <c r="AH213" s="194"/>
      <c r="AI213" s="190"/>
    </row>
    <row r="214" ht="16.5" customHeight="1">
      <c r="A214" s="190"/>
      <c r="B214" s="191"/>
      <c r="C214" s="191"/>
      <c r="D214" s="191"/>
      <c r="E214" s="192"/>
      <c r="F214" s="192"/>
      <c r="G214" s="192"/>
      <c r="H214" s="192"/>
      <c r="I214" s="192"/>
      <c r="J214" s="193"/>
      <c r="K214" s="192"/>
      <c r="L214" s="190"/>
      <c r="M214" s="194"/>
      <c r="N214" s="194"/>
      <c r="O214" s="194"/>
      <c r="P214" s="194"/>
      <c r="Q214" s="194"/>
      <c r="R214" s="194"/>
      <c r="S214" s="195"/>
      <c r="T214" s="195"/>
      <c r="U214" s="195"/>
      <c r="V214" s="191"/>
      <c r="W214" s="192"/>
      <c r="X214" s="192"/>
      <c r="Y214" s="192"/>
      <c r="Z214" s="191"/>
      <c r="AA214" s="191"/>
      <c r="AB214" s="193"/>
      <c r="AC214" s="193"/>
      <c r="AD214" s="191"/>
      <c r="AE214" s="194"/>
      <c r="AF214" s="194"/>
      <c r="AG214" s="194"/>
      <c r="AH214" s="194"/>
      <c r="AI214" s="190"/>
    </row>
    <row r="215" ht="16.5" customHeight="1">
      <c r="A215" s="190"/>
      <c r="B215" s="191"/>
      <c r="C215" s="191"/>
      <c r="D215" s="191"/>
      <c r="E215" s="192"/>
      <c r="F215" s="192"/>
      <c r="G215" s="192"/>
      <c r="H215" s="192"/>
      <c r="I215" s="192"/>
      <c r="J215" s="193"/>
      <c r="K215" s="192"/>
      <c r="L215" s="190"/>
      <c r="M215" s="194"/>
      <c r="N215" s="194"/>
      <c r="O215" s="194"/>
      <c r="P215" s="194"/>
      <c r="Q215" s="194"/>
      <c r="R215" s="194"/>
      <c r="S215" s="195"/>
      <c r="T215" s="195"/>
      <c r="U215" s="195"/>
      <c r="V215" s="191"/>
      <c r="W215" s="192"/>
      <c r="X215" s="192"/>
      <c r="Y215" s="192"/>
      <c r="Z215" s="191"/>
      <c r="AA215" s="191"/>
      <c r="AB215" s="193"/>
      <c r="AC215" s="193"/>
      <c r="AD215" s="191"/>
      <c r="AE215" s="194"/>
      <c r="AF215" s="194"/>
      <c r="AG215" s="194"/>
      <c r="AH215" s="194"/>
      <c r="AI215" s="190"/>
    </row>
    <row r="216" ht="16.5" customHeight="1">
      <c r="A216" s="190"/>
      <c r="B216" s="191"/>
      <c r="C216" s="191"/>
      <c r="D216" s="191"/>
      <c r="E216" s="192"/>
      <c r="F216" s="192"/>
      <c r="G216" s="192"/>
      <c r="H216" s="192"/>
      <c r="I216" s="192"/>
      <c r="J216" s="193"/>
      <c r="K216" s="192"/>
      <c r="L216" s="190"/>
      <c r="M216" s="194"/>
      <c r="N216" s="194"/>
      <c r="O216" s="194"/>
      <c r="P216" s="194"/>
      <c r="Q216" s="194"/>
      <c r="R216" s="194"/>
      <c r="S216" s="195"/>
      <c r="T216" s="195"/>
      <c r="U216" s="195"/>
      <c r="V216" s="191"/>
      <c r="W216" s="192"/>
      <c r="X216" s="192"/>
      <c r="Y216" s="192"/>
      <c r="Z216" s="191"/>
      <c r="AA216" s="191"/>
      <c r="AB216" s="193"/>
      <c r="AC216" s="193"/>
      <c r="AD216" s="191"/>
      <c r="AE216" s="194"/>
      <c r="AF216" s="194"/>
      <c r="AG216" s="194"/>
      <c r="AH216" s="194"/>
      <c r="AI216" s="190"/>
    </row>
    <row r="217" ht="16.5" customHeight="1">
      <c r="A217" s="190"/>
      <c r="B217" s="191"/>
      <c r="C217" s="191"/>
      <c r="D217" s="191"/>
      <c r="E217" s="192"/>
      <c r="F217" s="192"/>
      <c r="G217" s="192"/>
      <c r="H217" s="192"/>
      <c r="I217" s="192"/>
      <c r="J217" s="193"/>
      <c r="K217" s="192"/>
      <c r="L217" s="190"/>
      <c r="M217" s="194"/>
      <c r="N217" s="194"/>
      <c r="O217" s="194"/>
      <c r="P217" s="194"/>
      <c r="Q217" s="194"/>
      <c r="R217" s="194"/>
      <c r="S217" s="195"/>
      <c r="T217" s="195"/>
      <c r="U217" s="195"/>
      <c r="V217" s="191"/>
      <c r="W217" s="192"/>
      <c r="X217" s="192"/>
      <c r="Y217" s="192"/>
      <c r="Z217" s="191"/>
      <c r="AA217" s="191"/>
      <c r="AB217" s="193"/>
      <c r="AC217" s="193"/>
      <c r="AD217" s="191"/>
      <c r="AE217" s="194"/>
      <c r="AF217" s="194"/>
      <c r="AG217" s="194"/>
      <c r="AH217" s="194"/>
      <c r="AI217" s="190"/>
    </row>
    <row r="218" ht="16.5" customHeight="1">
      <c r="A218" s="190"/>
      <c r="B218" s="191"/>
      <c r="C218" s="191"/>
      <c r="D218" s="191"/>
      <c r="E218" s="192"/>
      <c r="F218" s="192"/>
      <c r="G218" s="192"/>
      <c r="H218" s="192"/>
      <c r="I218" s="192"/>
      <c r="J218" s="193"/>
      <c r="K218" s="192"/>
      <c r="L218" s="190"/>
      <c r="M218" s="194"/>
      <c r="N218" s="194"/>
      <c r="O218" s="194"/>
      <c r="P218" s="194"/>
      <c r="Q218" s="194"/>
      <c r="R218" s="194"/>
      <c r="S218" s="195"/>
      <c r="T218" s="195"/>
      <c r="U218" s="195"/>
      <c r="V218" s="191"/>
      <c r="W218" s="192"/>
      <c r="X218" s="192"/>
      <c r="Y218" s="192"/>
      <c r="Z218" s="191"/>
      <c r="AA218" s="191"/>
      <c r="AB218" s="193"/>
      <c r="AC218" s="193"/>
      <c r="AD218" s="191"/>
      <c r="AE218" s="194"/>
      <c r="AF218" s="194"/>
      <c r="AG218" s="194"/>
      <c r="AH218" s="194"/>
      <c r="AI218" s="190"/>
    </row>
    <row r="219" ht="16.5" customHeight="1">
      <c r="A219" s="190"/>
      <c r="B219" s="191"/>
      <c r="C219" s="191"/>
      <c r="D219" s="191"/>
      <c r="E219" s="192"/>
      <c r="F219" s="192"/>
      <c r="G219" s="192"/>
      <c r="H219" s="192"/>
      <c r="I219" s="192"/>
      <c r="J219" s="193"/>
      <c r="K219" s="192"/>
      <c r="L219" s="190"/>
      <c r="M219" s="194"/>
      <c r="N219" s="194"/>
      <c r="O219" s="194"/>
      <c r="P219" s="194"/>
      <c r="Q219" s="194"/>
      <c r="R219" s="194"/>
      <c r="S219" s="195"/>
      <c r="T219" s="195"/>
      <c r="U219" s="195"/>
      <c r="V219" s="191"/>
      <c r="W219" s="192"/>
      <c r="X219" s="192"/>
      <c r="Y219" s="192"/>
      <c r="Z219" s="191"/>
      <c r="AA219" s="191"/>
      <c r="AB219" s="193"/>
      <c r="AC219" s="193"/>
      <c r="AD219" s="191"/>
      <c r="AE219" s="194"/>
      <c r="AF219" s="194"/>
      <c r="AG219" s="194"/>
      <c r="AH219" s="194"/>
      <c r="AI219" s="190"/>
    </row>
    <row r="220" ht="16.5" customHeight="1">
      <c r="A220" s="190"/>
      <c r="B220" s="191"/>
      <c r="C220" s="191"/>
      <c r="D220" s="191"/>
      <c r="E220" s="192"/>
      <c r="F220" s="192"/>
      <c r="G220" s="192"/>
      <c r="H220" s="192"/>
      <c r="I220" s="192"/>
      <c r="J220" s="193"/>
      <c r="K220" s="192"/>
      <c r="L220" s="190"/>
      <c r="M220" s="194"/>
      <c r="N220" s="194"/>
      <c r="O220" s="194"/>
      <c r="P220" s="194"/>
      <c r="Q220" s="194"/>
      <c r="R220" s="194"/>
      <c r="S220" s="195"/>
      <c r="T220" s="195"/>
      <c r="U220" s="195"/>
      <c r="V220" s="191"/>
      <c r="W220" s="192"/>
      <c r="X220" s="192"/>
      <c r="Y220" s="192"/>
      <c r="Z220" s="191"/>
      <c r="AA220" s="191"/>
      <c r="AB220" s="193"/>
      <c r="AC220" s="193"/>
      <c r="AD220" s="191"/>
      <c r="AE220" s="194"/>
      <c r="AF220" s="194"/>
      <c r="AG220" s="194"/>
      <c r="AH220" s="194"/>
      <c r="AI220" s="190"/>
    </row>
    <row r="221" ht="16.5" customHeight="1">
      <c r="A221" s="190"/>
      <c r="B221" s="191"/>
      <c r="C221" s="191"/>
      <c r="D221" s="191"/>
      <c r="E221" s="192"/>
      <c r="F221" s="192"/>
      <c r="G221" s="192"/>
      <c r="H221" s="192"/>
      <c r="I221" s="192"/>
      <c r="J221" s="193"/>
      <c r="K221" s="192"/>
      <c r="L221" s="190"/>
      <c r="M221" s="194"/>
      <c r="N221" s="194"/>
      <c r="O221" s="194"/>
      <c r="P221" s="194"/>
      <c r="Q221" s="194"/>
      <c r="R221" s="194"/>
      <c r="S221" s="195"/>
      <c r="T221" s="195"/>
      <c r="U221" s="195"/>
      <c r="V221" s="191"/>
      <c r="W221" s="192"/>
      <c r="X221" s="192"/>
      <c r="Y221" s="192"/>
      <c r="Z221" s="191"/>
      <c r="AA221" s="191"/>
      <c r="AB221" s="193"/>
      <c r="AC221" s="193"/>
      <c r="AD221" s="191"/>
      <c r="AE221" s="194"/>
      <c r="AF221" s="194"/>
      <c r="AG221" s="194"/>
      <c r="AH221" s="194"/>
      <c r="AI221" s="190"/>
    </row>
    <row r="222" ht="16.5" customHeight="1">
      <c r="A222" s="190"/>
      <c r="B222" s="191"/>
      <c r="C222" s="191"/>
      <c r="D222" s="191"/>
      <c r="E222" s="192"/>
      <c r="F222" s="192"/>
      <c r="G222" s="192"/>
      <c r="H222" s="192"/>
      <c r="I222" s="192"/>
      <c r="J222" s="193"/>
      <c r="K222" s="192"/>
      <c r="L222" s="190"/>
      <c r="M222" s="194"/>
      <c r="N222" s="194"/>
      <c r="O222" s="194"/>
      <c r="P222" s="194"/>
      <c r="Q222" s="194"/>
      <c r="R222" s="194"/>
      <c r="S222" s="195"/>
      <c r="T222" s="195"/>
      <c r="U222" s="195"/>
      <c r="V222" s="191"/>
      <c r="W222" s="192"/>
      <c r="X222" s="192"/>
      <c r="Y222" s="192"/>
      <c r="Z222" s="191"/>
      <c r="AA222" s="191"/>
      <c r="AB222" s="193"/>
      <c r="AC222" s="193"/>
      <c r="AD222" s="191"/>
      <c r="AE222" s="194"/>
      <c r="AF222" s="194"/>
      <c r="AG222" s="194"/>
      <c r="AH222" s="194"/>
      <c r="AI222" s="190"/>
    </row>
    <row r="223" ht="16.5" customHeight="1">
      <c r="A223" s="190"/>
      <c r="B223" s="191"/>
      <c r="C223" s="191"/>
      <c r="D223" s="191"/>
      <c r="E223" s="192"/>
      <c r="F223" s="192"/>
      <c r="G223" s="192"/>
      <c r="H223" s="192"/>
      <c r="I223" s="192"/>
      <c r="J223" s="193"/>
      <c r="K223" s="192"/>
      <c r="L223" s="190"/>
      <c r="M223" s="194"/>
      <c r="N223" s="194"/>
      <c r="O223" s="194"/>
      <c r="P223" s="194"/>
      <c r="Q223" s="194"/>
      <c r="R223" s="194"/>
      <c r="S223" s="195"/>
      <c r="T223" s="195"/>
      <c r="U223" s="195"/>
      <c r="V223" s="191"/>
      <c r="W223" s="192"/>
      <c r="X223" s="192"/>
      <c r="Y223" s="192"/>
      <c r="Z223" s="191"/>
      <c r="AA223" s="191"/>
      <c r="AB223" s="193"/>
      <c r="AC223" s="193"/>
      <c r="AD223" s="191"/>
      <c r="AE223" s="194"/>
      <c r="AF223" s="194"/>
      <c r="AG223" s="194"/>
      <c r="AH223" s="194"/>
      <c r="AI223" s="190"/>
    </row>
    <row r="224" ht="16.5" customHeight="1">
      <c r="A224" s="190"/>
      <c r="B224" s="191"/>
      <c r="C224" s="191"/>
      <c r="D224" s="191"/>
      <c r="E224" s="192"/>
      <c r="F224" s="192"/>
      <c r="G224" s="192"/>
      <c r="H224" s="192"/>
      <c r="I224" s="192"/>
      <c r="J224" s="193"/>
      <c r="K224" s="192"/>
      <c r="L224" s="190"/>
      <c r="M224" s="194"/>
      <c r="N224" s="194"/>
      <c r="O224" s="194"/>
      <c r="P224" s="194"/>
      <c r="Q224" s="194"/>
      <c r="R224" s="194"/>
      <c r="S224" s="195"/>
      <c r="T224" s="195"/>
      <c r="U224" s="195"/>
      <c r="V224" s="191"/>
      <c r="W224" s="192"/>
      <c r="X224" s="192"/>
      <c r="Y224" s="192"/>
      <c r="Z224" s="191"/>
      <c r="AA224" s="191"/>
      <c r="AB224" s="193"/>
      <c r="AC224" s="193"/>
      <c r="AD224" s="191"/>
      <c r="AE224" s="194"/>
      <c r="AF224" s="194"/>
      <c r="AG224" s="194"/>
      <c r="AH224" s="194"/>
      <c r="AI224" s="190"/>
    </row>
    <row r="225" ht="16.5" customHeight="1">
      <c r="A225" s="190"/>
      <c r="B225" s="191"/>
      <c r="C225" s="191"/>
      <c r="D225" s="191"/>
      <c r="E225" s="192"/>
      <c r="F225" s="192"/>
      <c r="G225" s="192"/>
      <c r="H225" s="192"/>
      <c r="I225" s="192"/>
      <c r="J225" s="193"/>
      <c r="K225" s="192"/>
      <c r="L225" s="190"/>
      <c r="M225" s="194"/>
      <c r="N225" s="194"/>
      <c r="O225" s="194"/>
      <c r="P225" s="194"/>
      <c r="Q225" s="194"/>
      <c r="R225" s="194"/>
      <c r="S225" s="195"/>
      <c r="T225" s="195"/>
      <c r="U225" s="195"/>
      <c r="V225" s="191"/>
      <c r="W225" s="192"/>
      <c r="X225" s="192"/>
      <c r="Y225" s="192"/>
      <c r="Z225" s="191"/>
      <c r="AA225" s="191"/>
      <c r="AB225" s="193"/>
      <c r="AC225" s="193"/>
      <c r="AD225" s="191"/>
      <c r="AE225" s="194"/>
      <c r="AF225" s="194"/>
      <c r="AG225" s="194"/>
      <c r="AH225" s="194"/>
      <c r="AI225" s="190"/>
    </row>
    <row r="226" ht="16.5" customHeight="1">
      <c r="A226" s="190"/>
      <c r="B226" s="191"/>
      <c r="C226" s="191"/>
      <c r="D226" s="191"/>
      <c r="E226" s="192"/>
      <c r="F226" s="192"/>
      <c r="G226" s="192"/>
      <c r="H226" s="192"/>
      <c r="I226" s="192"/>
      <c r="J226" s="193"/>
      <c r="K226" s="192"/>
      <c r="L226" s="190"/>
      <c r="M226" s="194"/>
      <c r="N226" s="194"/>
      <c r="O226" s="194"/>
      <c r="P226" s="194"/>
      <c r="Q226" s="194"/>
      <c r="R226" s="194"/>
      <c r="S226" s="195"/>
      <c r="T226" s="195"/>
      <c r="U226" s="195"/>
      <c r="V226" s="191"/>
      <c r="W226" s="192"/>
      <c r="X226" s="192"/>
      <c r="Y226" s="192"/>
      <c r="Z226" s="191"/>
      <c r="AA226" s="191"/>
      <c r="AB226" s="193"/>
      <c r="AC226" s="193"/>
      <c r="AD226" s="191"/>
      <c r="AE226" s="194"/>
      <c r="AF226" s="194"/>
      <c r="AG226" s="194"/>
      <c r="AH226" s="194"/>
      <c r="AI226" s="190"/>
    </row>
    <row r="227" ht="16.5" customHeight="1">
      <c r="A227" s="190"/>
      <c r="B227" s="191"/>
      <c r="C227" s="191"/>
      <c r="D227" s="191"/>
      <c r="E227" s="192"/>
      <c r="F227" s="192"/>
      <c r="G227" s="192"/>
      <c r="H227" s="192"/>
      <c r="I227" s="192"/>
      <c r="J227" s="193"/>
      <c r="K227" s="192"/>
      <c r="L227" s="190"/>
      <c r="M227" s="194"/>
      <c r="N227" s="194"/>
      <c r="O227" s="194"/>
      <c r="P227" s="194"/>
      <c r="Q227" s="194"/>
      <c r="R227" s="194"/>
      <c r="S227" s="195"/>
      <c r="T227" s="195"/>
      <c r="U227" s="195"/>
      <c r="V227" s="191"/>
      <c r="W227" s="192"/>
      <c r="X227" s="192"/>
      <c r="Y227" s="192"/>
      <c r="Z227" s="191"/>
      <c r="AA227" s="191"/>
      <c r="AB227" s="193"/>
      <c r="AC227" s="193"/>
      <c r="AD227" s="191"/>
      <c r="AE227" s="194"/>
      <c r="AF227" s="194"/>
      <c r="AG227" s="194"/>
      <c r="AH227" s="194"/>
      <c r="AI227" s="190"/>
    </row>
    <row r="228" ht="16.5" customHeight="1">
      <c r="A228" s="190"/>
      <c r="B228" s="191"/>
      <c r="C228" s="191"/>
      <c r="D228" s="191"/>
      <c r="E228" s="192"/>
      <c r="F228" s="192"/>
      <c r="G228" s="192"/>
      <c r="H228" s="192"/>
      <c r="I228" s="192"/>
      <c r="J228" s="193"/>
      <c r="K228" s="192"/>
      <c r="L228" s="190"/>
      <c r="M228" s="194"/>
      <c r="N228" s="194"/>
      <c r="O228" s="194"/>
      <c r="P228" s="194"/>
      <c r="Q228" s="194"/>
      <c r="R228" s="194"/>
      <c r="S228" s="195"/>
      <c r="T228" s="195"/>
      <c r="U228" s="195"/>
      <c r="V228" s="191"/>
      <c r="W228" s="192"/>
      <c r="X228" s="192"/>
      <c r="Y228" s="192"/>
      <c r="Z228" s="191"/>
      <c r="AA228" s="191"/>
      <c r="AB228" s="193"/>
      <c r="AC228" s="193"/>
      <c r="AD228" s="191"/>
      <c r="AE228" s="194"/>
      <c r="AF228" s="194"/>
      <c r="AG228" s="194"/>
      <c r="AH228" s="194"/>
      <c r="AI228" s="190"/>
    </row>
    <row r="229" ht="16.5" customHeight="1">
      <c r="A229" s="190"/>
      <c r="B229" s="191"/>
      <c r="C229" s="191"/>
      <c r="D229" s="191"/>
      <c r="E229" s="192"/>
      <c r="F229" s="192"/>
      <c r="G229" s="192"/>
      <c r="H229" s="192"/>
      <c r="I229" s="192"/>
      <c r="J229" s="193"/>
      <c r="K229" s="192"/>
      <c r="L229" s="190"/>
      <c r="M229" s="194"/>
      <c r="N229" s="194"/>
      <c r="O229" s="194"/>
      <c r="P229" s="194"/>
      <c r="Q229" s="194"/>
      <c r="R229" s="194"/>
      <c r="S229" s="195"/>
      <c r="T229" s="195"/>
      <c r="U229" s="195"/>
      <c r="V229" s="191"/>
      <c r="W229" s="192"/>
      <c r="X229" s="192"/>
      <c r="Y229" s="192"/>
      <c r="Z229" s="191"/>
      <c r="AA229" s="191"/>
      <c r="AB229" s="193"/>
      <c r="AC229" s="193"/>
      <c r="AD229" s="191"/>
      <c r="AE229" s="194"/>
      <c r="AF229" s="194"/>
      <c r="AG229" s="194"/>
      <c r="AH229" s="194"/>
      <c r="AI229" s="190"/>
    </row>
    <row r="230" ht="16.5" customHeight="1">
      <c r="A230" s="190"/>
      <c r="B230" s="191"/>
      <c r="C230" s="191"/>
      <c r="D230" s="191"/>
      <c r="E230" s="192"/>
      <c r="F230" s="192"/>
      <c r="G230" s="192"/>
      <c r="H230" s="192"/>
      <c r="I230" s="192"/>
      <c r="J230" s="193"/>
      <c r="K230" s="192"/>
      <c r="L230" s="190"/>
      <c r="M230" s="194"/>
      <c r="N230" s="194"/>
      <c r="O230" s="194"/>
      <c r="P230" s="194"/>
      <c r="Q230" s="194"/>
      <c r="R230" s="194"/>
      <c r="S230" s="195"/>
      <c r="T230" s="195"/>
      <c r="U230" s="195"/>
      <c r="V230" s="191"/>
      <c r="W230" s="192"/>
      <c r="X230" s="192"/>
      <c r="Y230" s="192"/>
      <c r="Z230" s="191"/>
      <c r="AA230" s="191"/>
      <c r="AB230" s="193"/>
      <c r="AC230" s="193"/>
      <c r="AD230" s="191"/>
      <c r="AE230" s="194"/>
      <c r="AF230" s="194"/>
      <c r="AG230" s="194"/>
      <c r="AH230" s="194"/>
      <c r="AI230" s="190"/>
    </row>
    <row r="231" ht="16.5" customHeight="1">
      <c r="A231" s="190"/>
      <c r="B231" s="191"/>
      <c r="C231" s="191"/>
      <c r="D231" s="191"/>
      <c r="E231" s="192"/>
      <c r="F231" s="192"/>
      <c r="G231" s="192"/>
      <c r="H231" s="192"/>
      <c r="I231" s="192"/>
      <c r="J231" s="193"/>
      <c r="K231" s="192"/>
      <c r="L231" s="190"/>
      <c r="M231" s="194"/>
      <c r="N231" s="194"/>
      <c r="O231" s="194"/>
      <c r="P231" s="194"/>
      <c r="Q231" s="194"/>
      <c r="R231" s="194"/>
      <c r="S231" s="195"/>
      <c r="T231" s="195"/>
      <c r="U231" s="195"/>
      <c r="V231" s="191"/>
      <c r="W231" s="192"/>
      <c r="X231" s="192"/>
      <c r="Y231" s="192"/>
      <c r="Z231" s="191"/>
      <c r="AA231" s="191"/>
      <c r="AB231" s="193"/>
      <c r="AC231" s="193"/>
      <c r="AD231" s="191"/>
      <c r="AE231" s="194"/>
      <c r="AF231" s="194"/>
      <c r="AG231" s="194"/>
      <c r="AH231" s="194"/>
      <c r="AI231" s="190"/>
    </row>
    <row r="232" ht="16.5" customHeight="1">
      <c r="A232" s="190"/>
      <c r="B232" s="191"/>
      <c r="C232" s="191"/>
      <c r="D232" s="191"/>
      <c r="E232" s="192"/>
      <c r="F232" s="192"/>
      <c r="G232" s="192"/>
      <c r="H232" s="192"/>
      <c r="I232" s="192"/>
      <c r="J232" s="193"/>
      <c r="K232" s="192"/>
      <c r="L232" s="190"/>
      <c r="M232" s="194"/>
      <c r="N232" s="194"/>
      <c r="O232" s="194"/>
      <c r="P232" s="194"/>
      <c r="Q232" s="194"/>
      <c r="R232" s="194"/>
      <c r="S232" s="195"/>
      <c r="T232" s="195"/>
      <c r="U232" s="195"/>
      <c r="V232" s="191"/>
      <c r="W232" s="192"/>
      <c r="X232" s="192"/>
      <c r="Y232" s="192"/>
      <c r="Z232" s="191"/>
      <c r="AA232" s="191"/>
      <c r="AB232" s="193"/>
      <c r="AC232" s="193"/>
      <c r="AD232" s="191"/>
      <c r="AE232" s="194"/>
      <c r="AF232" s="194"/>
      <c r="AG232" s="194"/>
      <c r="AH232" s="194"/>
      <c r="AI232" s="190"/>
    </row>
    <row r="233" ht="16.5" customHeight="1">
      <c r="A233" s="190"/>
      <c r="B233" s="191"/>
      <c r="C233" s="191"/>
      <c r="D233" s="191"/>
      <c r="E233" s="192"/>
      <c r="F233" s="192"/>
      <c r="G233" s="192"/>
      <c r="H233" s="192"/>
      <c r="I233" s="192"/>
      <c r="J233" s="193"/>
      <c r="K233" s="192"/>
      <c r="L233" s="190"/>
      <c r="M233" s="194"/>
      <c r="N233" s="194"/>
      <c r="O233" s="194"/>
      <c r="P233" s="194"/>
      <c r="Q233" s="194"/>
      <c r="R233" s="194"/>
      <c r="S233" s="195"/>
      <c r="T233" s="195"/>
      <c r="U233" s="195"/>
      <c r="V233" s="191"/>
      <c r="W233" s="192"/>
      <c r="X233" s="192"/>
      <c r="Y233" s="192"/>
      <c r="Z233" s="191"/>
      <c r="AA233" s="191"/>
      <c r="AB233" s="193"/>
      <c r="AC233" s="193"/>
      <c r="AD233" s="191"/>
      <c r="AE233" s="194"/>
      <c r="AF233" s="194"/>
      <c r="AG233" s="194"/>
      <c r="AH233" s="194"/>
      <c r="AI233" s="190"/>
    </row>
    <row r="234" ht="16.5" customHeight="1">
      <c r="A234" s="190"/>
      <c r="B234" s="191"/>
      <c r="C234" s="191"/>
      <c r="D234" s="191"/>
      <c r="E234" s="192"/>
      <c r="F234" s="192"/>
      <c r="G234" s="192"/>
      <c r="H234" s="192"/>
      <c r="I234" s="192"/>
      <c r="J234" s="193"/>
      <c r="K234" s="192"/>
      <c r="L234" s="190"/>
      <c r="M234" s="194"/>
      <c r="N234" s="194"/>
      <c r="O234" s="194"/>
      <c r="P234" s="194"/>
      <c r="Q234" s="194"/>
      <c r="R234" s="194"/>
      <c r="S234" s="195"/>
      <c r="T234" s="195"/>
      <c r="U234" s="195"/>
      <c r="V234" s="191"/>
      <c r="W234" s="192"/>
      <c r="X234" s="192"/>
      <c r="Y234" s="192"/>
      <c r="Z234" s="191"/>
      <c r="AA234" s="191"/>
      <c r="AB234" s="193"/>
      <c r="AC234" s="193"/>
      <c r="AD234" s="191"/>
      <c r="AE234" s="194"/>
      <c r="AF234" s="194"/>
      <c r="AG234" s="194"/>
      <c r="AH234" s="194"/>
      <c r="AI234" s="190"/>
    </row>
    <row r="235" ht="16.5" customHeight="1">
      <c r="A235" s="190"/>
      <c r="B235" s="191"/>
      <c r="C235" s="191"/>
      <c r="D235" s="191"/>
      <c r="E235" s="192"/>
      <c r="F235" s="192"/>
      <c r="G235" s="192"/>
      <c r="H235" s="192"/>
      <c r="I235" s="192"/>
      <c r="J235" s="193"/>
      <c r="K235" s="192"/>
      <c r="L235" s="190"/>
      <c r="M235" s="194"/>
      <c r="N235" s="194"/>
      <c r="O235" s="194"/>
      <c r="P235" s="194"/>
      <c r="Q235" s="194"/>
      <c r="R235" s="194"/>
      <c r="S235" s="195"/>
      <c r="T235" s="195"/>
      <c r="U235" s="195"/>
      <c r="V235" s="191"/>
      <c r="W235" s="192"/>
      <c r="X235" s="192"/>
      <c r="Y235" s="192"/>
      <c r="Z235" s="191"/>
      <c r="AA235" s="191"/>
      <c r="AB235" s="193"/>
      <c r="AC235" s="193"/>
      <c r="AD235" s="191"/>
      <c r="AE235" s="194"/>
      <c r="AF235" s="194"/>
      <c r="AG235" s="194"/>
      <c r="AH235" s="194"/>
      <c r="AI235" s="190"/>
    </row>
    <row r="236" ht="16.5" customHeight="1">
      <c r="A236" s="190"/>
      <c r="B236" s="191"/>
      <c r="C236" s="191"/>
      <c r="D236" s="191"/>
      <c r="E236" s="192"/>
      <c r="F236" s="192"/>
      <c r="G236" s="192"/>
      <c r="H236" s="192"/>
      <c r="I236" s="192"/>
      <c r="J236" s="193"/>
      <c r="K236" s="192"/>
      <c r="L236" s="190"/>
      <c r="M236" s="194"/>
      <c r="N236" s="194"/>
      <c r="O236" s="194"/>
      <c r="P236" s="194"/>
      <c r="Q236" s="194"/>
      <c r="R236" s="194"/>
      <c r="S236" s="195"/>
      <c r="T236" s="195"/>
      <c r="U236" s="195"/>
      <c r="V236" s="191"/>
      <c r="W236" s="192"/>
      <c r="X236" s="192"/>
      <c r="Y236" s="192"/>
      <c r="Z236" s="191"/>
      <c r="AA236" s="191"/>
      <c r="AB236" s="193"/>
      <c r="AC236" s="193"/>
      <c r="AD236" s="191"/>
      <c r="AE236" s="194"/>
      <c r="AF236" s="194"/>
      <c r="AG236" s="194"/>
      <c r="AH236" s="194"/>
      <c r="AI236" s="190"/>
    </row>
    <row r="237" ht="16.5" customHeight="1">
      <c r="A237" s="190"/>
      <c r="B237" s="191"/>
      <c r="C237" s="191"/>
      <c r="D237" s="191"/>
      <c r="E237" s="192"/>
      <c r="F237" s="192"/>
      <c r="G237" s="192"/>
      <c r="H237" s="192"/>
      <c r="I237" s="192"/>
      <c r="J237" s="193"/>
      <c r="K237" s="192"/>
      <c r="L237" s="190"/>
      <c r="M237" s="194"/>
      <c r="N237" s="194"/>
      <c r="O237" s="194"/>
      <c r="P237" s="194"/>
      <c r="Q237" s="194"/>
      <c r="R237" s="194"/>
      <c r="S237" s="195"/>
      <c r="T237" s="195"/>
      <c r="U237" s="195"/>
      <c r="V237" s="191"/>
      <c r="W237" s="192"/>
      <c r="X237" s="192"/>
      <c r="Y237" s="192"/>
      <c r="Z237" s="191"/>
      <c r="AA237" s="191"/>
      <c r="AB237" s="193"/>
      <c r="AC237" s="193"/>
      <c r="AD237" s="191"/>
      <c r="AE237" s="194"/>
      <c r="AF237" s="194"/>
      <c r="AG237" s="194"/>
      <c r="AH237" s="194"/>
      <c r="AI237" s="190"/>
    </row>
    <row r="238" ht="16.5" customHeight="1">
      <c r="A238" s="190"/>
      <c r="B238" s="191"/>
      <c r="C238" s="191"/>
      <c r="D238" s="191"/>
      <c r="E238" s="192"/>
      <c r="F238" s="192"/>
      <c r="G238" s="192"/>
      <c r="H238" s="192"/>
      <c r="I238" s="192"/>
      <c r="J238" s="193"/>
      <c r="K238" s="192"/>
      <c r="L238" s="190"/>
      <c r="M238" s="194"/>
      <c r="N238" s="194"/>
      <c r="O238" s="194"/>
      <c r="P238" s="194"/>
      <c r="Q238" s="194"/>
      <c r="R238" s="194"/>
      <c r="S238" s="195"/>
      <c r="T238" s="195"/>
      <c r="U238" s="195"/>
      <c r="V238" s="191"/>
      <c r="W238" s="192"/>
      <c r="X238" s="192"/>
      <c r="Y238" s="192"/>
      <c r="Z238" s="191"/>
      <c r="AA238" s="191"/>
      <c r="AB238" s="193"/>
      <c r="AC238" s="193"/>
      <c r="AD238" s="191"/>
      <c r="AE238" s="194"/>
      <c r="AF238" s="194"/>
      <c r="AG238" s="194"/>
      <c r="AH238" s="194"/>
      <c r="AI238" s="190"/>
    </row>
    <row r="239" ht="16.5" customHeight="1">
      <c r="A239" s="190"/>
      <c r="B239" s="191"/>
      <c r="C239" s="191"/>
      <c r="D239" s="191"/>
      <c r="E239" s="192"/>
      <c r="F239" s="192"/>
      <c r="G239" s="192"/>
      <c r="H239" s="192"/>
      <c r="I239" s="192"/>
      <c r="J239" s="193"/>
      <c r="K239" s="192"/>
      <c r="L239" s="190"/>
      <c r="M239" s="194"/>
      <c r="N239" s="194"/>
      <c r="O239" s="194"/>
      <c r="P239" s="194"/>
      <c r="Q239" s="194"/>
      <c r="R239" s="194"/>
      <c r="S239" s="195"/>
      <c r="T239" s="195"/>
      <c r="U239" s="195"/>
      <c r="V239" s="191"/>
      <c r="W239" s="192"/>
      <c r="X239" s="192"/>
      <c r="Y239" s="192"/>
      <c r="Z239" s="191"/>
      <c r="AA239" s="191"/>
      <c r="AB239" s="193"/>
      <c r="AC239" s="193"/>
      <c r="AD239" s="191"/>
      <c r="AE239" s="194"/>
      <c r="AF239" s="194"/>
      <c r="AG239" s="194"/>
      <c r="AH239" s="194"/>
      <c r="AI239" s="190"/>
    </row>
    <row r="240" ht="16.5" customHeight="1">
      <c r="A240" s="190"/>
      <c r="B240" s="191"/>
      <c r="C240" s="191"/>
      <c r="D240" s="191"/>
      <c r="E240" s="192"/>
      <c r="F240" s="192"/>
      <c r="G240" s="192"/>
      <c r="H240" s="192"/>
      <c r="I240" s="192"/>
      <c r="J240" s="193"/>
      <c r="K240" s="192"/>
      <c r="L240" s="190"/>
      <c r="M240" s="194"/>
      <c r="N240" s="194"/>
      <c r="O240" s="194"/>
      <c r="P240" s="194"/>
      <c r="Q240" s="194"/>
      <c r="R240" s="194"/>
      <c r="S240" s="195"/>
      <c r="T240" s="195"/>
      <c r="U240" s="195"/>
      <c r="V240" s="191"/>
      <c r="W240" s="192"/>
      <c r="X240" s="192"/>
      <c r="Y240" s="192"/>
      <c r="Z240" s="191"/>
      <c r="AA240" s="191"/>
      <c r="AB240" s="193"/>
      <c r="AC240" s="193"/>
      <c r="AD240" s="191"/>
      <c r="AE240" s="194"/>
      <c r="AF240" s="194"/>
      <c r="AG240" s="194"/>
      <c r="AH240" s="194"/>
      <c r="AI240" s="190"/>
    </row>
    <row r="241" ht="16.5" customHeight="1">
      <c r="A241" s="190"/>
      <c r="B241" s="191"/>
      <c r="C241" s="191"/>
      <c r="D241" s="191"/>
      <c r="E241" s="192"/>
      <c r="F241" s="192"/>
      <c r="G241" s="192"/>
      <c r="H241" s="192"/>
      <c r="I241" s="192"/>
      <c r="J241" s="193"/>
      <c r="K241" s="192"/>
      <c r="L241" s="190"/>
      <c r="M241" s="194"/>
      <c r="N241" s="194"/>
      <c r="O241" s="194"/>
      <c r="P241" s="194"/>
      <c r="Q241" s="194"/>
      <c r="R241" s="194"/>
      <c r="S241" s="195"/>
      <c r="T241" s="195"/>
      <c r="U241" s="195"/>
      <c r="V241" s="191"/>
      <c r="W241" s="192"/>
      <c r="X241" s="192"/>
      <c r="Y241" s="192"/>
      <c r="Z241" s="191"/>
      <c r="AA241" s="191"/>
      <c r="AB241" s="193"/>
      <c r="AC241" s="193"/>
      <c r="AD241" s="191"/>
      <c r="AE241" s="194"/>
      <c r="AF241" s="194"/>
      <c r="AG241" s="194"/>
      <c r="AH241" s="194"/>
      <c r="AI241" s="190"/>
    </row>
    <row r="242" ht="16.5" customHeight="1">
      <c r="A242" s="190"/>
      <c r="B242" s="191"/>
      <c r="C242" s="191"/>
      <c r="D242" s="191"/>
      <c r="E242" s="192"/>
      <c r="F242" s="192"/>
      <c r="G242" s="192"/>
      <c r="H242" s="192"/>
      <c r="I242" s="192"/>
      <c r="J242" s="193"/>
      <c r="K242" s="192"/>
      <c r="L242" s="190"/>
      <c r="M242" s="194"/>
      <c r="N242" s="194"/>
      <c r="O242" s="194"/>
      <c r="P242" s="194"/>
      <c r="Q242" s="194"/>
      <c r="R242" s="194"/>
      <c r="S242" s="195"/>
      <c r="T242" s="195"/>
      <c r="U242" s="195"/>
      <c r="V242" s="191"/>
      <c r="W242" s="192"/>
      <c r="X242" s="192"/>
      <c r="Y242" s="192"/>
      <c r="Z242" s="191"/>
      <c r="AA242" s="191"/>
      <c r="AB242" s="193"/>
      <c r="AC242" s="193"/>
      <c r="AD242" s="191"/>
      <c r="AE242" s="194"/>
      <c r="AF242" s="194"/>
      <c r="AG242" s="194"/>
      <c r="AH242" s="194"/>
      <c r="AI242" s="190"/>
    </row>
    <row r="243" ht="16.5" customHeight="1">
      <c r="A243" s="190"/>
      <c r="B243" s="191"/>
      <c r="C243" s="191"/>
      <c r="D243" s="191"/>
      <c r="E243" s="192"/>
      <c r="F243" s="192"/>
      <c r="G243" s="192"/>
      <c r="H243" s="192"/>
      <c r="I243" s="192"/>
      <c r="J243" s="193"/>
      <c r="K243" s="192"/>
      <c r="L243" s="190"/>
      <c r="M243" s="194"/>
      <c r="N243" s="194"/>
      <c r="O243" s="194"/>
      <c r="P243" s="194"/>
      <c r="Q243" s="194"/>
      <c r="R243" s="194"/>
      <c r="S243" s="195"/>
      <c r="T243" s="195"/>
      <c r="U243" s="195"/>
      <c r="V243" s="191"/>
      <c r="W243" s="192"/>
      <c r="X243" s="192"/>
      <c r="Y243" s="192"/>
      <c r="Z243" s="191"/>
      <c r="AA243" s="191"/>
      <c r="AB243" s="193"/>
      <c r="AC243" s="193"/>
      <c r="AD243" s="191"/>
      <c r="AE243" s="194"/>
      <c r="AF243" s="194"/>
      <c r="AG243" s="194"/>
      <c r="AH243" s="194"/>
      <c r="AI243" s="190"/>
    </row>
    <row r="244" ht="16.5" customHeight="1">
      <c r="A244" s="190"/>
      <c r="B244" s="191"/>
      <c r="C244" s="191"/>
      <c r="D244" s="191"/>
      <c r="E244" s="192"/>
      <c r="F244" s="192"/>
      <c r="G244" s="192"/>
      <c r="H244" s="192"/>
      <c r="I244" s="192"/>
      <c r="J244" s="193"/>
      <c r="K244" s="192"/>
      <c r="L244" s="190"/>
      <c r="M244" s="194"/>
      <c r="N244" s="194"/>
      <c r="O244" s="194"/>
      <c r="P244" s="194"/>
      <c r="Q244" s="194"/>
      <c r="R244" s="194"/>
      <c r="S244" s="195"/>
      <c r="T244" s="195"/>
      <c r="U244" s="195"/>
      <c r="V244" s="191"/>
      <c r="W244" s="192"/>
      <c r="X244" s="192"/>
      <c r="Y244" s="192"/>
      <c r="Z244" s="191"/>
      <c r="AA244" s="191"/>
      <c r="AB244" s="193"/>
      <c r="AC244" s="193"/>
      <c r="AD244" s="191"/>
      <c r="AE244" s="194"/>
      <c r="AF244" s="194"/>
      <c r="AG244" s="194"/>
      <c r="AH244" s="194"/>
      <c r="AI244" s="190"/>
    </row>
    <row r="245" ht="16.5" customHeight="1">
      <c r="A245" s="190"/>
      <c r="B245" s="191"/>
      <c r="C245" s="191"/>
      <c r="D245" s="191"/>
      <c r="E245" s="192"/>
      <c r="F245" s="192"/>
      <c r="G245" s="192"/>
      <c r="H245" s="192"/>
      <c r="I245" s="192"/>
      <c r="J245" s="193"/>
      <c r="K245" s="192"/>
      <c r="L245" s="190"/>
      <c r="M245" s="194"/>
      <c r="N245" s="194"/>
      <c r="O245" s="194"/>
      <c r="P245" s="194"/>
      <c r="Q245" s="194"/>
      <c r="R245" s="194"/>
      <c r="S245" s="195"/>
      <c r="T245" s="195"/>
      <c r="U245" s="195"/>
      <c r="V245" s="191"/>
      <c r="W245" s="192"/>
      <c r="X245" s="192"/>
      <c r="Y245" s="192"/>
      <c r="Z245" s="191"/>
      <c r="AA245" s="191"/>
      <c r="AB245" s="193"/>
      <c r="AC245" s="193"/>
      <c r="AD245" s="191"/>
      <c r="AE245" s="194"/>
      <c r="AF245" s="194"/>
      <c r="AG245" s="194"/>
      <c r="AH245" s="194"/>
      <c r="AI245" s="190"/>
    </row>
    <row r="246" ht="16.5" customHeight="1">
      <c r="A246" s="190"/>
      <c r="B246" s="191"/>
      <c r="C246" s="191"/>
      <c r="D246" s="191"/>
      <c r="E246" s="192"/>
      <c r="F246" s="192"/>
      <c r="G246" s="192"/>
      <c r="H246" s="192"/>
      <c r="I246" s="192"/>
      <c r="J246" s="193"/>
      <c r="K246" s="192"/>
      <c r="L246" s="190"/>
      <c r="M246" s="194"/>
      <c r="N246" s="194"/>
      <c r="O246" s="194"/>
      <c r="P246" s="194"/>
      <c r="Q246" s="194"/>
      <c r="R246" s="194"/>
      <c r="S246" s="195"/>
      <c r="T246" s="195"/>
      <c r="U246" s="195"/>
      <c r="V246" s="191"/>
      <c r="W246" s="192"/>
      <c r="X246" s="192"/>
      <c r="Y246" s="192"/>
      <c r="Z246" s="191"/>
      <c r="AA246" s="191"/>
      <c r="AB246" s="193"/>
      <c r="AC246" s="193"/>
      <c r="AD246" s="191"/>
      <c r="AE246" s="194"/>
      <c r="AF246" s="194"/>
      <c r="AG246" s="194"/>
      <c r="AH246" s="194"/>
      <c r="AI246" s="190"/>
    </row>
    <row r="247" ht="16.5" customHeight="1">
      <c r="A247" s="190"/>
      <c r="B247" s="191"/>
      <c r="C247" s="191"/>
      <c r="D247" s="191"/>
      <c r="E247" s="192"/>
      <c r="F247" s="192"/>
      <c r="G247" s="192"/>
      <c r="H247" s="192"/>
      <c r="I247" s="192"/>
      <c r="J247" s="193"/>
      <c r="K247" s="192"/>
      <c r="L247" s="190"/>
      <c r="M247" s="194"/>
      <c r="N247" s="194"/>
      <c r="O247" s="194"/>
      <c r="P247" s="194"/>
      <c r="Q247" s="194"/>
      <c r="R247" s="194"/>
      <c r="S247" s="195"/>
      <c r="T247" s="195"/>
      <c r="U247" s="195"/>
      <c r="V247" s="191"/>
      <c r="W247" s="192"/>
      <c r="X247" s="192"/>
      <c r="Y247" s="192"/>
      <c r="Z247" s="191"/>
      <c r="AA247" s="191"/>
      <c r="AB247" s="193"/>
      <c r="AC247" s="193"/>
      <c r="AD247" s="191"/>
      <c r="AE247" s="194"/>
      <c r="AF247" s="194"/>
      <c r="AG247" s="194"/>
      <c r="AH247" s="194"/>
      <c r="AI247" s="190"/>
    </row>
    <row r="248" ht="16.5" customHeight="1">
      <c r="A248" s="190"/>
      <c r="B248" s="191"/>
      <c r="C248" s="191"/>
      <c r="D248" s="191"/>
      <c r="E248" s="192"/>
      <c r="F248" s="192"/>
      <c r="G248" s="192"/>
      <c r="H248" s="192"/>
      <c r="I248" s="192"/>
      <c r="J248" s="193"/>
      <c r="K248" s="192"/>
      <c r="L248" s="190"/>
      <c r="M248" s="194"/>
      <c r="N248" s="194"/>
      <c r="O248" s="194"/>
      <c r="P248" s="194"/>
      <c r="Q248" s="194"/>
      <c r="R248" s="194"/>
      <c r="S248" s="195"/>
      <c r="T248" s="195"/>
      <c r="U248" s="195"/>
      <c r="V248" s="191"/>
      <c r="W248" s="192"/>
      <c r="X248" s="192"/>
      <c r="Y248" s="192"/>
      <c r="Z248" s="191"/>
      <c r="AA248" s="191"/>
      <c r="AB248" s="193"/>
      <c r="AC248" s="193"/>
      <c r="AD248" s="191"/>
      <c r="AE248" s="194"/>
      <c r="AF248" s="194"/>
      <c r="AG248" s="194"/>
      <c r="AH248" s="194"/>
      <c r="AI248" s="190"/>
    </row>
    <row r="249" ht="16.5" customHeight="1">
      <c r="A249" s="190"/>
      <c r="B249" s="191"/>
      <c r="C249" s="191"/>
      <c r="D249" s="191"/>
      <c r="E249" s="192"/>
      <c r="F249" s="192"/>
      <c r="G249" s="192"/>
      <c r="H249" s="192"/>
      <c r="I249" s="192"/>
      <c r="J249" s="193"/>
      <c r="K249" s="192"/>
      <c r="L249" s="190"/>
      <c r="M249" s="194"/>
      <c r="N249" s="194"/>
      <c r="O249" s="194"/>
      <c r="P249" s="194"/>
      <c r="Q249" s="194"/>
      <c r="R249" s="194"/>
      <c r="S249" s="195"/>
      <c r="T249" s="195"/>
      <c r="U249" s="195"/>
      <c r="V249" s="191"/>
      <c r="W249" s="192"/>
      <c r="X249" s="192"/>
      <c r="Y249" s="192"/>
      <c r="Z249" s="191"/>
      <c r="AA249" s="191"/>
      <c r="AB249" s="193"/>
      <c r="AC249" s="193"/>
      <c r="AD249" s="191"/>
      <c r="AE249" s="194"/>
      <c r="AF249" s="194"/>
      <c r="AG249" s="194"/>
      <c r="AH249" s="194"/>
      <c r="AI249" s="190"/>
    </row>
    <row r="250" ht="16.5" customHeight="1">
      <c r="A250" s="190"/>
      <c r="B250" s="191"/>
      <c r="C250" s="191"/>
      <c r="D250" s="191"/>
      <c r="E250" s="192"/>
      <c r="F250" s="192"/>
      <c r="G250" s="192"/>
      <c r="H250" s="192"/>
      <c r="I250" s="192"/>
      <c r="J250" s="193"/>
      <c r="K250" s="192"/>
      <c r="L250" s="190"/>
      <c r="M250" s="194"/>
      <c r="N250" s="194"/>
      <c r="O250" s="194"/>
      <c r="P250" s="194"/>
      <c r="Q250" s="194"/>
      <c r="R250" s="194"/>
      <c r="S250" s="195"/>
      <c r="T250" s="195"/>
      <c r="U250" s="195"/>
      <c r="V250" s="191"/>
      <c r="W250" s="192"/>
      <c r="X250" s="192"/>
      <c r="Y250" s="192"/>
      <c r="Z250" s="191"/>
      <c r="AA250" s="191"/>
      <c r="AB250" s="193"/>
      <c r="AC250" s="193"/>
      <c r="AD250" s="191"/>
      <c r="AE250" s="194"/>
      <c r="AF250" s="194"/>
      <c r="AG250" s="194"/>
      <c r="AH250" s="194"/>
      <c r="AI250" s="190"/>
    </row>
    <row r="251" ht="16.5" customHeight="1">
      <c r="A251" s="190"/>
      <c r="B251" s="191"/>
      <c r="C251" s="191"/>
      <c r="D251" s="191"/>
      <c r="E251" s="192"/>
      <c r="F251" s="192"/>
      <c r="G251" s="192"/>
      <c r="H251" s="192"/>
      <c r="I251" s="192"/>
      <c r="J251" s="193"/>
      <c r="K251" s="192"/>
      <c r="L251" s="190"/>
      <c r="M251" s="194"/>
      <c r="N251" s="194"/>
      <c r="O251" s="194"/>
      <c r="P251" s="194"/>
      <c r="Q251" s="194"/>
      <c r="R251" s="194"/>
      <c r="S251" s="195"/>
      <c r="T251" s="195"/>
      <c r="U251" s="195"/>
      <c r="V251" s="191"/>
      <c r="W251" s="192"/>
      <c r="X251" s="192"/>
      <c r="Y251" s="192"/>
      <c r="Z251" s="191"/>
      <c r="AA251" s="191"/>
      <c r="AB251" s="193"/>
      <c r="AC251" s="193"/>
      <c r="AD251" s="191"/>
      <c r="AE251" s="194"/>
      <c r="AF251" s="194"/>
      <c r="AG251" s="194"/>
      <c r="AH251" s="194"/>
      <c r="AI251" s="190"/>
    </row>
    <row r="252" ht="16.5" customHeight="1">
      <c r="A252" s="190"/>
      <c r="B252" s="191"/>
      <c r="C252" s="191"/>
      <c r="D252" s="191"/>
      <c r="E252" s="192"/>
      <c r="F252" s="192"/>
      <c r="G252" s="192"/>
      <c r="H252" s="192"/>
      <c r="I252" s="192"/>
      <c r="J252" s="193"/>
      <c r="K252" s="192"/>
      <c r="L252" s="190"/>
      <c r="M252" s="194"/>
      <c r="N252" s="194"/>
      <c r="O252" s="194"/>
      <c r="P252" s="194"/>
      <c r="Q252" s="194"/>
      <c r="R252" s="194"/>
      <c r="S252" s="195"/>
      <c r="T252" s="195"/>
      <c r="U252" s="195"/>
      <c r="V252" s="191"/>
      <c r="W252" s="192"/>
      <c r="X252" s="192"/>
      <c r="Y252" s="192"/>
      <c r="Z252" s="191"/>
      <c r="AA252" s="191"/>
      <c r="AB252" s="193"/>
      <c r="AC252" s="193"/>
      <c r="AD252" s="191"/>
      <c r="AE252" s="194"/>
      <c r="AF252" s="194"/>
      <c r="AG252" s="194"/>
      <c r="AH252" s="194"/>
      <c r="AI252" s="190"/>
    </row>
    <row r="253" ht="16.5" customHeight="1">
      <c r="A253" s="190"/>
      <c r="B253" s="191"/>
      <c r="C253" s="191"/>
      <c r="D253" s="191"/>
      <c r="E253" s="192"/>
      <c r="F253" s="192"/>
      <c r="G253" s="192"/>
      <c r="H253" s="192"/>
      <c r="I253" s="192"/>
      <c r="J253" s="193"/>
      <c r="K253" s="192"/>
      <c r="L253" s="190"/>
      <c r="M253" s="194"/>
      <c r="N253" s="194"/>
      <c r="O253" s="194"/>
      <c r="P253" s="194"/>
      <c r="Q253" s="194"/>
      <c r="R253" s="194"/>
      <c r="S253" s="195"/>
      <c r="T253" s="195"/>
      <c r="U253" s="195"/>
      <c r="V253" s="191"/>
      <c r="W253" s="192"/>
      <c r="X253" s="192"/>
      <c r="Y253" s="192"/>
      <c r="Z253" s="191"/>
      <c r="AA253" s="191"/>
      <c r="AB253" s="193"/>
      <c r="AC253" s="193"/>
      <c r="AD253" s="191"/>
      <c r="AE253" s="194"/>
      <c r="AF253" s="194"/>
      <c r="AG253" s="194"/>
      <c r="AH253" s="194"/>
      <c r="AI253" s="190"/>
    </row>
    <row r="254" ht="16.5" customHeight="1">
      <c r="A254" s="190"/>
      <c r="B254" s="191"/>
      <c r="C254" s="191"/>
      <c r="D254" s="191"/>
      <c r="E254" s="192"/>
      <c r="F254" s="192"/>
      <c r="G254" s="192"/>
      <c r="H254" s="192"/>
      <c r="I254" s="192"/>
      <c r="J254" s="193"/>
      <c r="K254" s="192"/>
      <c r="L254" s="190"/>
      <c r="M254" s="194"/>
      <c r="N254" s="194"/>
      <c r="O254" s="194"/>
      <c r="P254" s="194"/>
      <c r="Q254" s="194"/>
      <c r="R254" s="194"/>
      <c r="S254" s="195"/>
      <c r="T254" s="195"/>
      <c r="U254" s="195"/>
      <c r="V254" s="191"/>
      <c r="W254" s="192"/>
      <c r="X254" s="192"/>
      <c r="Y254" s="192"/>
      <c r="Z254" s="191"/>
      <c r="AA254" s="191"/>
      <c r="AB254" s="193"/>
      <c r="AC254" s="193"/>
      <c r="AD254" s="191"/>
      <c r="AE254" s="194"/>
      <c r="AF254" s="194"/>
      <c r="AG254" s="194"/>
      <c r="AH254" s="194"/>
      <c r="AI254" s="190"/>
    </row>
    <row r="255" ht="16.5" customHeight="1">
      <c r="A255" s="190"/>
      <c r="B255" s="191"/>
      <c r="C255" s="191"/>
      <c r="D255" s="191"/>
      <c r="E255" s="192"/>
      <c r="F255" s="192"/>
      <c r="G255" s="192"/>
      <c r="H255" s="192"/>
      <c r="I255" s="192"/>
      <c r="J255" s="193"/>
      <c r="K255" s="192"/>
      <c r="L255" s="190"/>
      <c r="M255" s="194"/>
      <c r="N255" s="194"/>
      <c r="O255" s="194"/>
      <c r="P255" s="194"/>
      <c r="Q255" s="194"/>
      <c r="R255" s="194"/>
      <c r="S255" s="195"/>
      <c r="T255" s="195"/>
      <c r="U255" s="195"/>
      <c r="V255" s="191"/>
      <c r="W255" s="192"/>
      <c r="X255" s="192"/>
      <c r="Y255" s="192"/>
      <c r="Z255" s="191"/>
      <c r="AA255" s="191"/>
      <c r="AB255" s="193"/>
      <c r="AC255" s="193"/>
      <c r="AD255" s="191"/>
      <c r="AE255" s="194"/>
      <c r="AF255" s="194"/>
      <c r="AG255" s="194"/>
      <c r="AH255" s="194"/>
      <c r="AI255" s="190"/>
    </row>
    <row r="256" ht="16.5" customHeight="1">
      <c r="A256" s="190"/>
      <c r="B256" s="191"/>
      <c r="C256" s="191"/>
      <c r="D256" s="191"/>
      <c r="E256" s="192"/>
      <c r="F256" s="192"/>
      <c r="G256" s="192"/>
      <c r="H256" s="192"/>
      <c r="I256" s="192"/>
      <c r="J256" s="193"/>
      <c r="K256" s="192"/>
      <c r="L256" s="190"/>
      <c r="M256" s="194"/>
      <c r="N256" s="194"/>
      <c r="O256" s="194"/>
      <c r="P256" s="194"/>
      <c r="Q256" s="194"/>
      <c r="R256" s="194"/>
      <c r="S256" s="195"/>
      <c r="T256" s="195"/>
      <c r="U256" s="195"/>
      <c r="V256" s="191"/>
      <c r="W256" s="192"/>
      <c r="X256" s="192"/>
      <c r="Y256" s="192"/>
      <c r="Z256" s="191"/>
      <c r="AA256" s="191"/>
      <c r="AB256" s="193"/>
      <c r="AC256" s="193"/>
      <c r="AD256" s="191"/>
      <c r="AE256" s="194"/>
      <c r="AF256" s="194"/>
      <c r="AG256" s="194"/>
      <c r="AH256" s="194"/>
      <c r="AI256" s="190"/>
    </row>
    <row r="257" ht="16.5" customHeight="1">
      <c r="A257" s="190"/>
      <c r="B257" s="191"/>
      <c r="C257" s="191"/>
      <c r="D257" s="191"/>
      <c r="E257" s="192"/>
      <c r="F257" s="192"/>
      <c r="G257" s="192"/>
      <c r="H257" s="192"/>
      <c r="I257" s="192"/>
      <c r="J257" s="193"/>
      <c r="K257" s="192"/>
      <c r="L257" s="190"/>
      <c r="M257" s="194"/>
      <c r="N257" s="194"/>
      <c r="O257" s="194"/>
      <c r="P257" s="194"/>
      <c r="Q257" s="194"/>
      <c r="R257" s="194"/>
      <c r="S257" s="195"/>
      <c r="T257" s="195"/>
      <c r="U257" s="195"/>
      <c r="V257" s="191"/>
      <c r="W257" s="192"/>
      <c r="X257" s="192"/>
      <c r="Y257" s="192"/>
      <c r="Z257" s="191"/>
      <c r="AA257" s="191"/>
      <c r="AB257" s="193"/>
      <c r="AC257" s="193"/>
      <c r="AD257" s="191"/>
      <c r="AE257" s="194"/>
      <c r="AF257" s="194"/>
      <c r="AG257" s="194"/>
      <c r="AH257" s="194"/>
      <c r="AI257" s="190"/>
    </row>
    <row r="258" ht="16.5" customHeight="1">
      <c r="A258" s="190"/>
      <c r="B258" s="191"/>
      <c r="C258" s="191"/>
      <c r="D258" s="191"/>
      <c r="E258" s="192"/>
      <c r="F258" s="192"/>
      <c r="G258" s="192"/>
      <c r="H258" s="192"/>
      <c r="I258" s="192"/>
      <c r="J258" s="193"/>
      <c r="K258" s="192"/>
      <c r="L258" s="190"/>
      <c r="M258" s="194"/>
      <c r="N258" s="194"/>
      <c r="O258" s="194"/>
      <c r="P258" s="194"/>
      <c r="Q258" s="194"/>
      <c r="R258" s="194"/>
      <c r="S258" s="195"/>
      <c r="T258" s="195"/>
      <c r="U258" s="195"/>
      <c r="V258" s="191"/>
      <c r="W258" s="192"/>
      <c r="X258" s="192"/>
      <c r="Y258" s="192"/>
      <c r="Z258" s="191"/>
      <c r="AA258" s="191"/>
      <c r="AB258" s="193"/>
      <c r="AC258" s="193"/>
      <c r="AD258" s="191"/>
      <c r="AE258" s="194"/>
      <c r="AF258" s="194"/>
      <c r="AG258" s="194"/>
      <c r="AH258" s="194"/>
      <c r="AI258" s="190"/>
    </row>
    <row r="259" ht="16.5" customHeight="1">
      <c r="A259" s="190"/>
      <c r="B259" s="191"/>
      <c r="C259" s="191"/>
      <c r="D259" s="191"/>
      <c r="E259" s="192"/>
      <c r="F259" s="192"/>
      <c r="G259" s="192"/>
      <c r="H259" s="192"/>
      <c r="I259" s="192"/>
      <c r="J259" s="193"/>
      <c r="K259" s="192"/>
      <c r="L259" s="190"/>
      <c r="M259" s="194"/>
      <c r="N259" s="194"/>
      <c r="O259" s="194"/>
      <c r="P259" s="194"/>
      <c r="Q259" s="194"/>
      <c r="R259" s="194"/>
      <c r="S259" s="195"/>
      <c r="T259" s="195"/>
      <c r="U259" s="195"/>
      <c r="V259" s="191"/>
      <c r="W259" s="192"/>
      <c r="X259" s="192"/>
      <c r="Y259" s="192"/>
      <c r="Z259" s="191"/>
      <c r="AA259" s="191"/>
      <c r="AB259" s="193"/>
      <c r="AC259" s="193"/>
      <c r="AD259" s="191"/>
      <c r="AE259" s="194"/>
      <c r="AF259" s="194"/>
      <c r="AG259" s="194"/>
      <c r="AH259" s="194"/>
      <c r="AI259" s="190"/>
    </row>
    <row r="260" ht="16.5" customHeight="1">
      <c r="A260" s="190"/>
      <c r="B260" s="191"/>
      <c r="C260" s="191"/>
      <c r="D260" s="191"/>
      <c r="E260" s="192"/>
      <c r="F260" s="192"/>
      <c r="G260" s="192"/>
      <c r="H260" s="192"/>
      <c r="I260" s="192"/>
      <c r="J260" s="193"/>
      <c r="K260" s="192"/>
      <c r="L260" s="190"/>
      <c r="M260" s="194"/>
      <c r="N260" s="194"/>
      <c r="O260" s="194"/>
      <c r="P260" s="194"/>
      <c r="Q260" s="194"/>
      <c r="R260" s="194"/>
      <c r="S260" s="195"/>
      <c r="T260" s="195"/>
      <c r="U260" s="195"/>
      <c r="V260" s="191"/>
      <c r="W260" s="192"/>
      <c r="X260" s="192"/>
      <c r="Y260" s="192"/>
      <c r="Z260" s="191"/>
      <c r="AA260" s="191"/>
      <c r="AB260" s="193"/>
      <c r="AC260" s="193"/>
      <c r="AD260" s="191"/>
      <c r="AE260" s="194"/>
      <c r="AF260" s="194"/>
      <c r="AG260" s="194"/>
      <c r="AH260" s="194"/>
      <c r="AI260" s="190"/>
    </row>
    <row r="261" ht="16.5" customHeight="1">
      <c r="A261" s="190"/>
      <c r="B261" s="191"/>
      <c r="C261" s="191"/>
      <c r="D261" s="191"/>
      <c r="E261" s="192"/>
      <c r="F261" s="192"/>
      <c r="G261" s="192"/>
      <c r="H261" s="192"/>
      <c r="I261" s="192"/>
      <c r="J261" s="193"/>
      <c r="K261" s="192"/>
      <c r="L261" s="190"/>
      <c r="M261" s="194"/>
      <c r="N261" s="194"/>
      <c r="O261" s="194"/>
      <c r="P261" s="194"/>
      <c r="Q261" s="194"/>
      <c r="R261" s="194"/>
      <c r="S261" s="195"/>
      <c r="T261" s="195"/>
      <c r="U261" s="195"/>
      <c r="V261" s="191"/>
      <c r="W261" s="192"/>
      <c r="X261" s="192"/>
      <c r="Y261" s="192"/>
      <c r="Z261" s="191"/>
      <c r="AA261" s="191"/>
      <c r="AB261" s="193"/>
      <c r="AC261" s="193"/>
      <c r="AD261" s="191"/>
      <c r="AE261" s="194"/>
      <c r="AF261" s="194"/>
      <c r="AG261" s="194"/>
      <c r="AH261" s="194"/>
      <c r="AI261" s="190"/>
    </row>
    <row r="262" ht="16.5" customHeight="1">
      <c r="A262" s="190"/>
      <c r="B262" s="191"/>
      <c r="C262" s="191"/>
      <c r="D262" s="191"/>
      <c r="E262" s="192"/>
      <c r="F262" s="192"/>
      <c r="G262" s="192"/>
      <c r="H262" s="192"/>
      <c r="I262" s="192"/>
      <c r="J262" s="193"/>
      <c r="K262" s="192"/>
      <c r="L262" s="190"/>
      <c r="M262" s="194"/>
      <c r="N262" s="194"/>
      <c r="O262" s="194"/>
      <c r="P262" s="194"/>
      <c r="Q262" s="194"/>
      <c r="R262" s="194"/>
      <c r="S262" s="195"/>
      <c r="T262" s="195"/>
      <c r="U262" s="195"/>
      <c r="V262" s="191"/>
      <c r="W262" s="192"/>
      <c r="X262" s="192"/>
      <c r="Y262" s="192"/>
      <c r="Z262" s="191"/>
      <c r="AA262" s="191"/>
      <c r="AB262" s="193"/>
      <c r="AC262" s="193"/>
      <c r="AD262" s="191"/>
      <c r="AE262" s="194"/>
      <c r="AF262" s="194"/>
      <c r="AG262" s="194"/>
      <c r="AH262" s="194"/>
      <c r="AI262" s="190"/>
    </row>
    <row r="263" ht="16.5" customHeight="1">
      <c r="A263" s="190"/>
      <c r="B263" s="191"/>
      <c r="C263" s="191"/>
      <c r="D263" s="191"/>
      <c r="E263" s="192"/>
      <c r="F263" s="192"/>
      <c r="G263" s="192"/>
      <c r="H263" s="192"/>
      <c r="I263" s="192"/>
      <c r="J263" s="193"/>
      <c r="K263" s="192"/>
      <c r="L263" s="190"/>
      <c r="M263" s="194"/>
      <c r="N263" s="194"/>
      <c r="O263" s="194"/>
      <c r="P263" s="194"/>
      <c r="Q263" s="194"/>
      <c r="R263" s="194"/>
      <c r="S263" s="195"/>
      <c r="T263" s="195"/>
      <c r="U263" s="195"/>
      <c r="V263" s="191"/>
      <c r="W263" s="192"/>
      <c r="X263" s="192"/>
      <c r="Y263" s="192"/>
      <c r="Z263" s="191"/>
      <c r="AA263" s="191"/>
      <c r="AB263" s="193"/>
      <c r="AC263" s="193"/>
      <c r="AD263" s="191"/>
      <c r="AE263" s="194"/>
      <c r="AF263" s="194"/>
      <c r="AG263" s="194"/>
      <c r="AH263" s="194"/>
      <c r="AI263" s="190"/>
    </row>
    <row r="264" ht="16.5" customHeight="1">
      <c r="A264" s="190"/>
      <c r="B264" s="191"/>
      <c r="C264" s="191"/>
      <c r="D264" s="191"/>
      <c r="E264" s="192"/>
      <c r="F264" s="192"/>
      <c r="G264" s="192"/>
      <c r="H264" s="192"/>
      <c r="I264" s="192"/>
      <c r="J264" s="193"/>
      <c r="K264" s="192"/>
      <c r="L264" s="190"/>
      <c r="M264" s="194"/>
      <c r="N264" s="194"/>
      <c r="O264" s="194"/>
      <c r="P264" s="194"/>
      <c r="Q264" s="194"/>
      <c r="R264" s="194"/>
      <c r="S264" s="195"/>
      <c r="T264" s="195"/>
      <c r="U264" s="195"/>
      <c r="V264" s="191"/>
      <c r="W264" s="192"/>
      <c r="X264" s="192"/>
      <c r="Y264" s="192"/>
      <c r="Z264" s="191"/>
      <c r="AA264" s="191"/>
      <c r="AB264" s="193"/>
      <c r="AC264" s="193"/>
      <c r="AD264" s="191"/>
      <c r="AE264" s="194"/>
      <c r="AF264" s="194"/>
      <c r="AG264" s="194"/>
      <c r="AH264" s="194"/>
      <c r="AI264" s="190"/>
    </row>
    <row r="265" ht="16.5" customHeight="1">
      <c r="A265" s="190"/>
      <c r="B265" s="191"/>
      <c r="C265" s="191"/>
      <c r="D265" s="191"/>
      <c r="E265" s="192"/>
      <c r="F265" s="192"/>
      <c r="G265" s="192"/>
      <c r="H265" s="192"/>
      <c r="I265" s="192"/>
      <c r="J265" s="193"/>
      <c r="K265" s="192"/>
      <c r="L265" s="190"/>
      <c r="M265" s="194"/>
      <c r="N265" s="194"/>
      <c r="O265" s="194"/>
      <c r="P265" s="194"/>
      <c r="Q265" s="194"/>
      <c r="R265" s="194"/>
      <c r="S265" s="195"/>
      <c r="T265" s="195"/>
      <c r="U265" s="195"/>
      <c r="V265" s="191"/>
      <c r="W265" s="192"/>
      <c r="X265" s="192"/>
      <c r="Y265" s="192"/>
      <c r="Z265" s="191"/>
      <c r="AA265" s="191"/>
      <c r="AB265" s="193"/>
      <c r="AC265" s="193"/>
      <c r="AD265" s="191"/>
      <c r="AE265" s="194"/>
      <c r="AF265" s="194"/>
      <c r="AG265" s="194"/>
      <c r="AH265" s="194"/>
      <c r="AI265" s="190"/>
    </row>
    <row r="266" ht="16.5" customHeight="1">
      <c r="A266" s="190"/>
      <c r="B266" s="191"/>
      <c r="C266" s="191"/>
      <c r="D266" s="191"/>
      <c r="E266" s="192"/>
      <c r="F266" s="192"/>
      <c r="G266" s="192"/>
      <c r="H266" s="192"/>
      <c r="I266" s="192"/>
      <c r="J266" s="193"/>
      <c r="K266" s="192"/>
      <c r="L266" s="190"/>
      <c r="M266" s="194"/>
      <c r="N266" s="194"/>
      <c r="O266" s="194"/>
      <c r="P266" s="194"/>
      <c r="Q266" s="194"/>
      <c r="R266" s="194"/>
      <c r="S266" s="195"/>
      <c r="T266" s="195"/>
      <c r="U266" s="195"/>
      <c r="V266" s="191"/>
      <c r="W266" s="192"/>
      <c r="X266" s="192"/>
      <c r="Y266" s="192"/>
      <c r="Z266" s="191"/>
      <c r="AA266" s="191"/>
      <c r="AB266" s="193"/>
      <c r="AC266" s="193"/>
      <c r="AD266" s="191"/>
      <c r="AE266" s="194"/>
      <c r="AF266" s="194"/>
      <c r="AG266" s="194"/>
      <c r="AH266" s="194"/>
      <c r="AI266" s="190"/>
    </row>
    <row r="267" ht="16.5" customHeight="1">
      <c r="A267" s="190"/>
      <c r="B267" s="191"/>
      <c r="C267" s="191"/>
      <c r="D267" s="191"/>
      <c r="E267" s="192"/>
      <c r="F267" s="192"/>
      <c r="G267" s="192"/>
      <c r="H267" s="192"/>
      <c r="I267" s="192"/>
      <c r="J267" s="193"/>
      <c r="K267" s="192"/>
      <c r="L267" s="190"/>
      <c r="M267" s="194"/>
      <c r="N267" s="194"/>
      <c r="O267" s="194"/>
      <c r="P267" s="194"/>
      <c r="Q267" s="194"/>
      <c r="R267" s="194"/>
      <c r="S267" s="195"/>
      <c r="T267" s="195"/>
      <c r="U267" s="195"/>
      <c r="V267" s="191"/>
      <c r="W267" s="192"/>
      <c r="X267" s="192"/>
      <c r="Y267" s="192"/>
      <c r="Z267" s="191"/>
      <c r="AA267" s="191"/>
      <c r="AB267" s="193"/>
      <c r="AC267" s="193"/>
      <c r="AD267" s="191"/>
      <c r="AE267" s="194"/>
      <c r="AF267" s="194"/>
      <c r="AG267" s="194"/>
      <c r="AH267" s="194"/>
      <c r="AI267" s="190"/>
    </row>
    <row r="268" ht="16.5" customHeight="1">
      <c r="A268" s="190"/>
      <c r="B268" s="191"/>
      <c r="C268" s="191"/>
      <c r="D268" s="191"/>
      <c r="E268" s="192"/>
      <c r="F268" s="192"/>
      <c r="G268" s="192"/>
      <c r="H268" s="192"/>
      <c r="I268" s="192"/>
      <c r="J268" s="193"/>
      <c r="K268" s="192"/>
      <c r="L268" s="190"/>
      <c r="M268" s="194"/>
      <c r="N268" s="194"/>
      <c r="O268" s="194"/>
      <c r="P268" s="194"/>
      <c r="Q268" s="194"/>
      <c r="R268" s="194"/>
      <c r="S268" s="195"/>
      <c r="T268" s="195"/>
      <c r="U268" s="195"/>
      <c r="V268" s="191"/>
      <c r="W268" s="192"/>
      <c r="X268" s="192"/>
      <c r="Y268" s="192"/>
      <c r="Z268" s="191"/>
      <c r="AA268" s="191"/>
      <c r="AB268" s="193"/>
      <c r="AC268" s="193"/>
      <c r="AD268" s="191"/>
      <c r="AE268" s="194"/>
      <c r="AF268" s="194"/>
      <c r="AG268" s="194"/>
      <c r="AH268" s="194"/>
      <c r="AI268" s="190"/>
    </row>
    <row r="269" ht="16.5" customHeight="1">
      <c r="A269" s="190"/>
      <c r="B269" s="191"/>
      <c r="C269" s="191"/>
      <c r="D269" s="191"/>
      <c r="E269" s="192"/>
      <c r="F269" s="192"/>
      <c r="G269" s="192"/>
      <c r="H269" s="192"/>
      <c r="I269" s="192"/>
      <c r="J269" s="193"/>
      <c r="K269" s="192"/>
      <c r="L269" s="190"/>
      <c r="M269" s="194"/>
      <c r="N269" s="194"/>
      <c r="O269" s="194"/>
      <c r="P269" s="194"/>
      <c r="Q269" s="194"/>
      <c r="R269" s="194"/>
      <c r="S269" s="195"/>
      <c r="T269" s="195"/>
      <c r="U269" s="195"/>
      <c r="V269" s="191"/>
      <c r="W269" s="192"/>
      <c r="X269" s="192"/>
      <c r="Y269" s="192"/>
      <c r="Z269" s="191"/>
      <c r="AA269" s="191"/>
      <c r="AB269" s="193"/>
      <c r="AC269" s="193"/>
      <c r="AD269" s="191"/>
      <c r="AE269" s="194"/>
      <c r="AF269" s="194"/>
      <c r="AG269" s="194"/>
      <c r="AH269" s="194"/>
      <c r="AI269" s="190"/>
    </row>
    <row r="270" ht="16.5" customHeight="1">
      <c r="A270" s="190"/>
      <c r="B270" s="191"/>
      <c r="C270" s="191"/>
      <c r="D270" s="191"/>
      <c r="E270" s="192"/>
      <c r="F270" s="192"/>
      <c r="G270" s="192"/>
      <c r="H270" s="192"/>
      <c r="I270" s="192"/>
      <c r="J270" s="193"/>
      <c r="K270" s="192"/>
      <c r="L270" s="190"/>
      <c r="M270" s="194"/>
      <c r="N270" s="194"/>
      <c r="O270" s="194"/>
      <c r="P270" s="194"/>
      <c r="Q270" s="194"/>
      <c r="R270" s="194"/>
      <c r="S270" s="195"/>
      <c r="T270" s="195"/>
      <c r="U270" s="195"/>
      <c r="V270" s="191"/>
      <c r="W270" s="192"/>
      <c r="X270" s="192"/>
      <c r="Y270" s="192"/>
      <c r="Z270" s="191"/>
      <c r="AA270" s="191"/>
      <c r="AB270" s="193"/>
      <c r="AC270" s="193"/>
      <c r="AD270" s="191"/>
      <c r="AE270" s="194"/>
      <c r="AF270" s="194"/>
      <c r="AG270" s="194"/>
      <c r="AH270" s="194"/>
      <c r="AI270" s="190"/>
    </row>
    <row r="271" ht="16.5" customHeight="1">
      <c r="A271" s="190"/>
      <c r="B271" s="191"/>
      <c r="C271" s="191"/>
      <c r="D271" s="191"/>
      <c r="E271" s="192"/>
      <c r="F271" s="192"/>
      <c r="G271" s="192"/>
      <c r="H271" s="192"/>
      <c r="I271" s="192"/>
      <c r="J271" s="193"/>
      <c r="K271" s="192"/>
      <c r="L271" s="190"/>
      <c r="M271" s="194"/>
      <c r="N271" s="194"/>
      <c r="O271" s="194"/>
      <c r="P271" s="194"/>
      <c r="Q271" s="194"/>
      <c r="R271" s="194"/>
      <c r="S271" s="195"/>
      <c r="T271" s="195"/>
      <c r="U271" s="195"/>
      <c r="V271" s="191"/>
      <c r="W271" s="192"/>
      <c r="X271" s="192"/>
      <c r="Y271" s="192"/>
      <c r="Z271" s="191"/>
      <c r="AA271" s="191"/>
      <c r="AB271" s="193"/>
      <c r="AC271" s="193"/>
      <c r="AD271" s="191"/>
      <c r="AE271" s="194"/>
      <c r="AF271" s="194"/>
      <c r="AG271" s="194"/>
      <c r="AH271" s="194"/>
      <c r="AI271" s="190"/>
    </row>
    <row r="272" ht="16.5" customHeight="1">
      <c r="A272" s="190"/>
      <c r="B272" s="191"/>
      <c r="C272" s="191"/>
      <c r="D272" s="191"/>
      <c r="E272" s="192"/>
      <c r="F272" s="192"/>
      <c r="G272" s="192"/>
      <c r="H272" s="192"/>
      <c r="I272" s="192"/>
      <c r="J272" s="193"/>
      <c r="K272" s="192"/>
      <c r="L272" s="190"/>
      <c r="M272" s="194"/>
      <c r="N272" s="194"/>
      <c r="O272" s="194"/>
      <c r="P272" s="194"/>
      <c r="Q272" s="194"/>
      <c r="R272" s="194"/>
      <c r="S272" s="195"/>
      <c r="T272" s="195"/>
      <c r="U272" s="195"/>
      <c r="V272" s="191"/>
      <c r="W272" s="192"/>
      <c r="X272" s="192"/>
      <c r="Y272" s="192"/>
      <c r="Z272" s="191"/>
      <c r="AA272" s="191"/>
      <c r="AB272" s="193"/>
      <c r="AC272" s="193"/>
      <c r="AD272" s="191"/>
      <c r="AE272" s="194"/>
      <c r="AF272" s="194"/>
      <c r="AG272" s="194"/>
      <c r="AH272" s="194"/>
      <c r="AI272" s="190"/>
    </row>
    <row r="273" ht="16.5" customHeight="1">
      <c r="A273" s="190"/>
      <c r="B273" s="191"/>
      <c r="C273" s="191"/>
      <c r="D273" s="191"/>
      <c r="E273" s="192"/>
      <c r="F273" s="192"/>
      <c r="G273" s="192"/>
      <c r="H273" s="192"/>
      <c r="I273" s="192"/>
      <c r="J273" s="193"/>
      <c r="K273" s="192"/>
      <c r="L273" s="190"/>
      <c r="M273" s="194"/>
      <c r="N273" s="194"/>
      <c r="O273" s="194"/>
      <c r="P273" s="194"/>
      <c r="Q273" s="194"/>
      <c r="R273" s="194"/>
      <c r="S273" s="195"/>
      <c r="T273" s="195"/>
      <c r="U273" s="195"/>
      <c r="V273" s="191"/>
      <c r="W273" s="192"/>
      <c r="X273" s="192"/>
      <c r="Y273" s="192"/>
      <c r="Z273" s="191"/>
      <c r="AA273" s="191"/>
      <c r="AB273" s="193"/>
      <c r="AC273" s="193"/>
      <c r="AD273" s="191"/>
      <c r="AE273" s="194"/>
      <c r="AF273" s="194"/>
      <c r="AG273" s="194"/>
      <c r="AH273" s="194"/>
      <c r="AI273" s="190"/>
    </row>
    <row r="274" ht="16.5" customHeight="1">
      <c r="A274" s="190"/>
      <c r="B274" s="191"/>
      <c r="C274" s="191"/>
      <c r="D274" s="191"/>
      <c r="E274" s="192"/>
      <c r="F274" s="192"/>
      <c r="G274" s="192"/>
      <c r="H274" s="192"/>
      <c r="I274" s="192"/>
      <c r="J274" s="193"/>
      <c r="K274" s="192"/>
      <c r="L274" s="190"/>
      <c r="M274" s="194"/>
      <c r="N274" s="194"/>
      <c r="O274" s="194"/>
      <c r="P274" s="194"/>
      <c r="Q274" s="194"/>
      <c r="R274" s="194"/>
      <c r="S274" s="195"/>
      <c r="T274" s="195"/>
      <c r="U274" s="195"/>
      <c r="V274" s="191"/>
      <c r="W274" s="192"/>
      <c r="X274" s="192"/>
      <c r="Y274" s="192"/>
      <c r="Z274" s="191"/>
      <c r="AA274" s="191"/>
      <c r="AB274" s="193"/>
      <c r="AC274" s="193"/>
      <c r="AD274" s="191"/>
      <c r="AE274" s="194"/>
      <c r="AF274" s="194"/>
      <c r="AG274" s="194"/>
      <c r="AH274" s="194"/>
      <c r="AI274" s="190"/>
    </row>
    <row r="275" ht="16.5" customHeight="1">
      <c r="A275" s="190"/>
      <c r="B275" s="191"/>
      <c r="C275" s="191"/>
      <c r="D275" s="191"/>
      <c r="E275" s="192"/>
      <c r="F275" s="192"/>
      <c r="G275" s="192"/>
      <c r="H275" s="192"/>
      <c r="I275" s="192"/>
      <c r="J275" s="193"/>
      <c r="K275" s="192"/>
      <c r="L275" s="190"/>
      <c r="M275" s="194"/>
      <c r="N275" s="194"/>
      <c r="O275" s="194"/>
      <c r="P275" s="194"/>
      <c r="Q275" s="194"/>
      <c r="R275" s="194"/>
      <c r="S275" s="195"/>
      <c r="T275" s="195"/>
      <c r="U275" s="195"/>
      <c r="V275" s="191"/>
      <c r="W275" s="192"/>
      <c r="X275" s="192"/>
      <c r="Y275" s="192"/>
      <c r="Z275" s="191"/>
      <c r="AA275" s="191"/>
      <c r="AB275" s="193"/>
      <c r="AC275" s="193"/>
      <c r="AD275" s="191"/>
      <c r="AE275" s="194"/>
      <c r="AF275" s="194"/>
      <c r="AG275" s="194"/>
      <c r="AH275" s="194"/>
      <c r="AI275" s="190"/>
    </row>
    <row r="276" ht="16.5" customHeight="1">
      <c r="A276" s="190"/>
      <c r="B276" s="191"/>
      <c r="C276" s="191"/>
      <c r="D276" s="191"/>
      <c r="E276" s="192"/>
      <c r="F276" s="192"/>
      <c r="G276" s="192"/>
      <c r="H276" s="192"/>
      <c r="I276" s="192"/>
      <c r="J276" s="193"/>
      <c r="K276" s="192"/>
      <c r="L276" s="190"/>
      <c r="M276" s="194"/>
      <c r="N276" s="194"/>
      <c r="O276" s="194"/>
      <c r="P276" s="194"/>
      <c r="Q276" s="194"/>
      <c r="R276" s="194"/>
      <c r="S276" s="195"/>
      <c r="T276" s="195"/>
      <c r="U276" s="195"/>
      <c r="V276" s="191"/>
      <c r="W276" s="192"/>
      <c r="X276" s="192"/>
      <c r="Y276" s="192"/>
      <c r="Z276" s="191"/>
      <c r="AA276" s="191"/>
      <c r="AB276" s="193"/>
      <c r="AC276" s="193"/>
      <c r="AD276" s="191"/>
      <c r="AE276" s="194"/>
      <c r="AF276" s="194"/>
      <c r="AG276" s="194"/>
      <c r="AH276" s="194"/>
      <c r="AI276" s="190"/>
    </row>
    <row r="277" ht="16.5" customHeight="1">
      <c r="A277" s="190"/>
      <c r="B277" s="191"/>
      <c r="C277" s="191"/>
      <c r="D277" s="191"/>
      <c r="E277" s="192"/>
      <c r="F277" s="192"/>
      <c r="G277" s="192"/>
      <c r="H277" s="192"/>
      <c r="I277" s="192"/>
      <c r="J277" s="193"/>
      <c r="K277" s="192"/>
      <c r="L277" s="190"/>
      <c r="M277" s="194"/>
      <c r="N277" s="194"/>
      <c r="O277" s="194"/>
      <c r="P277" s="194"/>
      <c r="Q277" s="194"/>
      <c r="R277" s="194"/>
      <c r="S277" s="195"/>
      <c r="T277" s="195"/>
      <c r="U277" s="195"/>
      <c r="V277" s="191"/>
      <c r="W277" s="192"/>
      <c r="X277" s="192"/>
      <c r="Y277" s="192"/>
      <c r="Z277" s="191"/>
      <c r="AA277" s="191"/>
      <c r="AB277" s="193"/>
      <c r="AC277" s="193"/>
      <c r="AD277" s="191"/>
      <c r="AE277" s="194"/>
      <c r="AF277" s="194"/>
      <c r="AG277" s="194"/>
      <c r="AH277" s="194"/>
      <c r="AI277" s="190"/>
    </row>
    <row r="278" ht="16.5" customHeight="1">
      <c r="A278" s="190"/>
      <c r="B278" s="191"/>
      <c r="C278" s="191"/>
      <c r="D278" s="191"/>
      <c r="E278" s="192"/>
      <c r="F278" s="192"/>
      <c r="G278" s="192"/>
      <c r="H278" s="192"/>
      <c r="I278" s="192"/>
      <c r="J278" s="193"/>
      <c r="K278" s="192"/>
      <c r="L278" s="190"/>
      <c r="M278" s="194"/>
      <c r="N278" s="194"/>
      <c r="O278" s="194"/>
      <c r="P278" s="194"/>
      <c r="Q278" s="194"/>
      <c r="R278" s="194"/>
      <c r="S278" s="195"/>
      <c r="T278" s="195"/>
      <c r="U278" s="195"/>
      <c r="V278" s="191"/>
      <c r="W278" s="192"/>
      <c r="X278" s="192"/>
      <c r="Y278" s="192"/>
      <c r="Z278" s="191"/>
      <c r="AA278" s="191"/>
      <c r="AB278" s="193"/>
      <c r="AC278" s="193"/>
      <c r="AD278" s="191"/>
      <c r="AE278" s="194"/>
      <c r="AF278" s="194"/>
      <c r="AG278" s="194"/>
      <c r="AH278" s="194"/>
      <c r="AI278" s="190"/>
    </row>
    <row r="279" ht="16.5" customHeight="1">
      <c r="A279" s="190"/>
      <c r="B279" s="191"/>
      <c r="C279" s="191"/>
      <c r="D279" s="191"/>
      <c r="E279" s="192"/>
      <c r="F279" s="192"/>
      <c r="G279" s="192"/>
      <c r="H279" s="192"/>
      <c r="I279" s="192"/>
      <c r="J279" s="193"/>
      <c r="K279" s="192"/>
      <c r="L279" s="190"/>
      <c r="M279" s="194"/>
      <c r="N279" s="194"/>
      <c r="O279" s="194"/>
      <c r="P279" s="194"/>
      <c r="Q279" s="194"/>
      <c r="R279" s="194"/>
      <c r="S279" s="195"/>
      <c r="T279" s="195"/>
      <c r="U279" s="195"/>
      <c r="V279" s="191"/>
      <c r="W279" s="192"/>
      <c r="X279" s="192"/>
      <c r="Y279" s="192"/>
      <c r="Z279" s="191"/>
      <c r="AA279" s="191"/>
      <c r="AB279" s="193"/>
      <c r="AC279" s="193"/>
      <c r="AD279" s="191"/>
      <c r="AE279" s="194"/>
      <c r="AF279" s="194"/>
      <c r="AG279" s="194"/>
      <c r="AH279" s="194"/>
      <c r="AI279" s="190"/>
    </row>
    <row r="280" ht="16.5" customHeight="1">
      <c r="A280" s="190"/>
      <c r="B280" s="191"/>
      <c r="C280" s="191"/>
      <c r="D280" s="191"/>
      <c r="E280" s="192"/>
      <c r="F280" s="192"/>
      <c r="G280" s="192"/>
      <c r="H280" s="192"/>
      <c r="I280" s="192"/>
      <c r="J280" s="193"/>
      <c r="K280" s="192"/>
      <c r="L280" s="190"/>
      <c r="M280" s="194"/>
      <c r="N280" s="194"/>
      <c r="O280" s="194"/>
      <c r="P280" s="194"/>
      <c r="Q280" s="194"/>
      <c r="R280" s="194"/>
      <c r="S280" s="195"/>
      <c r="T280" s="195"/>
      <c r="U280" s="195"/>
      <c r="V280" s="191"/>
      <c r="W280" s="192"/>
      <c r="X280" s="192"/>
      <c r="Y280" s="192"/>
      <c r="Z280" s="191"/>
      <c r="AA280" s="191"/>
      <c r="AB280" s="193"/>
      <c r="AC280" s="193"/>
      <c r="AD280" s="191"/>
      <c r="AE280" s="194"/>
      <c r="AF280" s="194"/>
      <c r="AG280" s="194"/>
      <c r="AH280" s="194"/>
      <c r="AI280" s="190"/>
    </row>
    <row r="281" ht="16.5" customHeight="1">
      <c r="A281" s="190"/>
      <c r="B281" s="191"/>
      <c r="C281" s="191"/>
      <c r="D281" s="191"/>
      <c r="E281" s="192"/>
      <c r="F281" s="192"/>
      <c r="G281" s="192"/>
      <c r="H281" s="192"/>
      <c r="I281" s="192"/>
      <c r="J281" s="193"/>
      <c r="K281" s="192"/>
      <c r="L281" s="190"/>
      <c r="M281" s="194"/>
      <c r="N281" s="194"/>
      <c r="O281" s="194"/>
      <c r="P281" s="194"/>
      <c r="Q281" s="194"/>
      <c r="R281" s="194"/>
      <c r="S281" s="195"/>
      <c r="T281" s="195"/>
      <c r="U281" s="195"/>
      <c r="V281" s="191"/>
      <c r="W281" s="192"/>
      <c r="X281" s="192"/>
      <c r="Y281" s="192"/>
      <c r="Z281" s="191"/>
      <c r="AA281" s="191"/>
      <c r="AB281" s="193"/>
      <c r="AC281" s="193"/>
      <c r="AD281" s="191"/>
      <c r="AE281" s="194"/>
      <c r="AF281" s="194"/>
      <c r="AG281" s="194"/>
      <c r="AH281" s="194"/>
      <c r="AI281" s="190"/>
    </row>
    <row r="282" ht="16.5" customHeight="1">
      <c r="A282" s="190"/>
      <c r="B282" s="191"/>
      <c r="C282" s="191"/>
      <c r="D282" s="191"/>
      <c r="E282" s="192"/>
      <c r="F282" s="192"/>
      <c r="G282" s="192"/>
      <c r="H282" s="192"/>
      <c r="I282" s="192"/>
      <c r="J282" s="193"/>
      <c r="K282" s="192"/>
      <c r="L282" s="190"/>
      <c r="M282" s="194"/>
      <c r="N282" s="194"/>
      <c r="O282" s="194"/>
      <c r="P282" s="194"/>
      <c r="Q282" s="194"/>
      <c r="R282" s="194"/>
      <c r="S282" s="195"/>
      <c r="T282" s="195"/>
      <c r="U282" s="195"/>
      <c r="V282" s="191"/>
      <c r="W282" s="192"/>
      <c r="X282" s="192"/>
      <c r="Y282" s="192"/>
      <c r="Z282" s="191"/>
      <c r="AA282" s="191"/>
      <c r="AB282" s="193"/>
      <c r="AC282" s="193"/>
      <c r="AD282" s="191"/>
      <c r="AE282" s="194"/>
      <c r="AF282" s="194"/>
      <c r="AG282" s="194"/>
      <c r="AH282" s="194"/>
      <c r="AI282" s="190"/>
    </row>
    <row r="283" ht="16.5" customHeight="1">
      <c r="A283" s="190"/>
      <c r="B283" s="191"/>
      <c r="C283" s="191"/>
      <c r="D283" s="191"/>
      <c r="E283" s="192"/>
      <c r="F283" s="192"/>
      <c r="G283" s="192"/>
      <c r="H283" s="192"/>
      <c r="I283" s="192"/>
      <c r="J283" s="193"/>
      <c r="K283" s="192"/>
      <c r="L283" s="190"/>
      <c r="M283" s="194"/>
      <c r="N283" s="194"/>
      <c r="O283" s="194"/>
      <c r="P283" s="194"/>
      <c r="Q283" s="194"/>
      <c r="R283" s="194"/>
      <c r="S283" s="195"/>
      <c r="T283" s="195"/>
      <c r="U283" s="195"/>
      <c r="V283" s="191"/>
      <c r="W283" s="192"/>
      <c r="X283" s="192"/>
      <c r="Y283" s="192"/>
      <c r="Z283" s="191"/>
      <c r="AA283" s="191"/>
      <c r="AB283" s="193"/>
      <c r="AC283" s="193"/>
      <c r="AD283" s="191"/>
      <c r="AE283" s="194"/>
      <c r="AF283" s="194"/>
      <c r="AG283" s="194"/>
      <c r="AH283" s="194"/>
      <c r="AI283" s="190"/>
    </row>
    <row r="284" ht="16.5" customHeight="1">
      <c r="A284" s="190"/>
      <c r="B284" s="191"/>
      <c r="C284" s="191"/>
      <c r="D284" s="191"/>
      <c r="E284" s="192"/>
      <c r="F284" s="192"/>
      <c r="G284" s="192"/>
      <c r="H284" s="192"/>
      <c r="I284" s="192"/>
      <c r="J284" s="193"/>
      <c r="K284" s="192"/>
      <c r="L284" s="190"/>
      <c r="M284" s="194"/>
      <c r="N284" s="194"/>
      <c r="O284" s="194"/>
      <c r="P284" s="194"/>
      <c r="Q284" s="194"/>
      <c r="R284" s="194"/>
      <c r="S284" s="195"/>
      <c r="T284" s="195"/>
      <c r="U284" s="195"/>
      <c r="V284" s="191"/>
      <c r="W284" s="192"/>
      <c r="X284" s="192"/>
      <c r="Y284" s="192"/>
      <c r="Z284" s="191"/>
      <c r="AA284" s="191"/>
      <c r="AB284" s="193"/>
      <c r="AC284" s="193"/>
      <c r="AD284" s="191"/>
      <c r="AE284" s="194"/>
      <c r="AF284" s="194"/>
      <c r="AG284" s="194"/>
      <c r="AH284" s="194"/>
      <c r="AI284" s="190"/>
    </row>
    <row r="285" ht="16.5" customHeight="1">
      <c r="A285" s="190"/>
      <c r="B285" s="191"/>
      <c r="C285" s="191"/>
      <c r="D285" s="191"/>
      <c r="E285" s="192"/>
      <c r="F285" s="192"/>
      <c r="G285" s="192"/>
      <c r="H285" s="192"/>
      <c r="I285" s="192"/>
      <c r="J285" s="193"/>
      <c r="K285" s="192"/>
      <c r="L285" s="190"/>
      <c r="M285" s="194"/>
      <c r="N285" s="194"/>
      <c r="O285" s="194"/>
      <c r="P285" s="194"/>
      <c r="Q285" s="194"/>
      <c r="R285" s="194"/>
      <c r="S285" s="195"/>
      <c r="T285" s="195"/>
      <c r="U285" s="195"/>
      <c r="V285" s="191"/>
      <c r="W285" s="192"/>
      <c r="X285" s="192"/>
      <c r="Y285" s="192"/>
      <c r="Z285" s="191"/>
      <c r="AA285" s="191"/>
      <c r="AB285" s="193"/>
      <c r="AC285" s="193"/>
      <c r="AD285" s="191"/>
      <c r="AE285" s="194"/>
      <c r="AF285" s="194"/>
      <c r="AG285" s="194"/>
      <c r="AH285" s="194"/>
      <c r="AI285" s="190"/>
    </row>
    <row r="286" ht="16.5" customHeight="1">
      <c r="A286" s="190"/>
      <c r="B286" s="191"/>
      <c r="C286" s="191"/>
      <c r="D286" s="191"/>
      <c r="E286" s="192"/>
      <c r="F286" s="192"/>
      <c r="G286" s="192"/>
      <c r="H286" s="192"/>
      <c r="I286" s="192"/>
      <c r="J286" s="193"/>
      <c r="K286" s="192"/>
      <c r="L286" s="190"/>
      <c r="M286" s="194"/>
      <c r="N286" s="194"/>
      <c r="O286" s="194"/>
      <c r="P286" s="194"/>
      <c r="Q286" s="194"/>
      <c r="R286" s="194"/>
      <c r="S286" s="195"/>
      <c r="T286" s="195"/>
      <c r="U286" s="195"/>
      <c r="V286" s="191"/>
      <c r="W286" s="192"/>
      <c r="X286" s="192"/>
      <c r="Y286" s="192"/>
      <c r="Z286" s="191"/>
      <c r="AA286" s="191"/>
      <c r="AB286" s="193"/>
      <c r="AC286" s="193"/>
      <c r="AD286" s="191"/>
      <c r="AE286" s="194"/>
      <c r="AF286" s="194"/>
      <c r="AG286" s="194"/>
      <c r="AH286" s="194"/>
      <c r="AI286" s="190"/>
    </row>
    <row r="287" ht="16.5" customHeight="1">
      <c r="A287" s="190"/>
      <c r="B287" s="191"/>
      <c r="C287" s="191"/>
      <c r="D287" s="191"/>
      <c r="E287" s="192"/>
      <c r="F287" s="192"/>
      <c r="G287" s="192"/>
      <c r="H287" s="192"/>
      <c r="I287" s="192"/>
      <c r="J287" s="193"/>
      <c r="K287" s="192"/>
      <c r="L287" s="190"/>
      <c r="M287" s="194"/>
      <c r="N287" s="194"/>
      <c r="O287" s="194"/>
      <c r="P287" s="194"/>
      <c r="Q287" s="194"/>
      <c r="R287" s="194"/>
      <c r="S287" s="195"/>
      <c r="T287" s="195"/>
      <c r="U287" s="195"/>
      <c r="V287" s="191"/>
      <c r="W287" s="192"/>
      <c r="X287" s="192"/>
      <c r="Y287" s="192"/>
      <c r="Z287" s="191"/>
      <c r="AA287" s="191"/>
      <c r="AB287" s="193"/>
      <c r="AC287" s="193"/>
      <c r="AD287" s="191"/>
      <c r="AE287" s="194"/>
      <c r="AF287" s="194"/>
      <c r="AG287" s="194"/>
      <c r="AH287" s="194"/>
      <c r="AI287" s="190"/>
    </row>
    <row r="288" ht="16.5" customHeight="1">
      <c r="A288" s="190"/>
      <c r="B288" s="191"/>
      <c r="C288" s="191"/>
      <c r="D288" s="191"/>
      <c r="E288" s="192"/>
      <c r="F288" s="192"/>
      <c r="G288" s="192"/>
      <c r="H288" s="192"/>
      <c r="I288" s="192"/>
      <c r="J288" s="193"/>
      <c r="K288" s="192"/>
      <c r="L288" s="190"/>
      <c r="M288" s="194"/>
      <c r="N288" s="194"/>
      <c r="O288" s="194"/>
      <c r="P288" s="194"/>
      <c r="Q288" s="194"/>
      <c r="R288" s="194"/>
      <c r="S288" s="195"/>
      <c r="T288" s="195"/>
      <c r="U288" s="195"/>
      <c r="V288" s="191"/>
      <c r="W288" s="192"/>
      <c r="X288" s="192"/>
      <c r="Y288" s="192"/>
      <c r="Z288" s="191"/>
      <c r="AA288" s="191"/>
      <c r="AB288" s="193"/>
      <c r="AC288" s="193"/>
      <c r="AD288" s="191"/>
      <c r="AE288" s="194"/>
      <c r="AF288" s="194"/>
      <c r="AG288" s="194"/>
      <c r="AH288" s="194"/>
      <c r="AI288" s="190"/>
    </row>
    <row r="289" ht="16.5" customHeight="1">
      <c r="A289" s="190"/>
      <c r="B289" s="191"/>
      <c r="C289" s="191"/>
      <c r="D289" s="191"/>
      <c r="E289" s="192"/>
      <c r="F289" s="192"/>
      <c r="G289" s="192"/>
      <c r="H289" s="192"/>
      <c r="I289" s="192"/>
      <c r="J289" s="193"/>
      <c r="K289" s="192"/>
      <c r="L289" s="190"/>
      <c r="M289" s="194"/>
      <c r="N289" s="194"/>
      <c r="O289" s="194"/>
      <c r="P289" s="194"/>
      <c r="Q289" s="194"/>
      <c r="R289" s="194"/>
      <c r="S289" s="195"/>
      <c r="T289" s="195"/>
      <c r="U289" s="195"/>
      <c r="V289" s="191"/>
      <c r="W289" s="192"/>
      <c r="X289" s="192"/>
      <c r="Y289" s="192"/>
      <c r="Z289" s="191"/>
      <c r="AA289" s="191"/>
      <c r="AB289" s="193"/>
      <c r="AC289" s="193"/>
      <c r="AD289" s="191"/>
      <c r="AE289" s="194"/>
      <c r="AF289" s="194"/>
      <c r="AG289" s="194"/>
      <c r="AH289" s="194"/>
      <c r="AI289" s="190"/>
    </row>
    <row r="290" ht="16.5" customHeight="1">
      <c r="A290" s="190"/>
      <c r="B290" s="191"/>
      <c r="C290" s="191"/>
      <c r="D290" s="191"/>
      <c r="E290" s="192"/>
      <c r="F290" s="192"/>
      <c r="G290" s="192"/>
      <c r="H290" s="192"/>
      <c r="I290" s="192"/>
      <c r="J290" s="193"/>
      <c r="K290" s="192"/>
      <c r="L290" s="190"/>
      <c r="M290" s="194"/>
      <c r="N290" s="194"/>
      <c r="O290" s="194"/>
      <c r="P290" s="194"/>
      <c r="Q290" s="194"/>
      <c r="R290" s="194"/>
      <c r="S290" s="195"/>
      <c r="T290" s="195"/>
      <c r="U290" s="195"/>
      <c r="V290" s="191"/>
      <c r="W290" s="192"/>
      <c r="X290" s="192"/>
      <c r="Y290" s="192"/>
      <c r="Z290" s="191"/>
      <c r="AA290" s="191"/>
      <c r="AB290" s="193"/>
      <c r="AC290" s="193"/>
      <c r="AD290" s="191"/>
      <c r="AE290" s="194"/>
      <c r="AF290" s="194"/>
      <c r="AG290" s="194"/>
      <c r="AH290" s="194"/>
      <c r="AI290" s="190"/>
    </row>
    <row r="291" ht="16.5" customHeight="1">
      <c r="A291" s="190"/>
      <c r="B291" s="191"/>
      <c r="C291" s="191"/>
      <c r="D291" s="191"/>
      <c r="E291" s="192"/>
      <c r="F291" s="192"/>
      <c r="G291" s="192"/>
      <c r="H291" s="192"/>
      <c r="I291" s="192"/>
      <c r="J291" s="193"/>
      <c r="K291" s="192"/>
      <c r="L291" s="190"/>
      <c r="M291" s="194"/>
      <c r="N291" s="194"/>
      <c r="O291" s="194"/>
      <c r="P291" s="194"/>
      <c r="Q291" s="194"/>
      <c r="R291" s="194"/>
      <c r="S291" s="195"/>
      <c r="T291" s="195"/>
      <c r="U291" s="195"/>
      <c r="V291" s="191"/>
      <c r="W291" s="192"/>
      <c r="X291" s="192"/>
      <c r="Y291" s="192"/>
      <c r="Z291" s="191"/>
      <c r="AA291" s="191"/>
      <c r="AB291" s="193"/>
      <c r="AC291" s="193"/>
      <c r="AD291" s="191"/>
      <c r="AE291" s="194"/>
      <c r="AF291" s="194"/>
      <c r="AG291" s="194"/>
      <c r="AH291" s="194"/>
      <c r="AI291" s="190"/>
    </row>
    <row r="292" ht="16.5" customHeight="1">
      <c r="A292" s="190"/>
      <c r="B292" s="191"/>
      <c r="C292" s="191"/>
      <c r="D292" s="191"/>
      <c r="E292" s="192"/>
      <c r="F292" s="192"/>
      <c r="G292" s="192"/>
      <c r="H292" s="192"/>
      <c r="I292" s="192"/>
      <c r="J292" s="193"/>
      <c r="K292" s="192"/>
      <c r="L292" s="190"/>
      <c r="M292" s="194"/>
      <c r="N292" s="194"/>
      <c r="O292" s="194"/>
      <c r="P292" s="194"/>
      <c r="Q292" s="194"/>
      <c r="R292" s="194"/>
      <c r="S292" s="195"/>
      <c r="T292" s="195"/>
      <c r="U292" s="195"/>
      <c r="V292" s="191"/>
      <c r="W292" s="192"/>
      <c r="X292" s="192"/>
      <c r="Y292" s="192"/>
      <c r="Z292" s="191"/>
      <c r="AA292" s="191"/>
      <c r="AB292" s="193"/>
      <c r="AC292" s="193"/>
      <c r="AD292" s="191"/>
      <c r="AE292" s="194"/>
      <c r="AF292" s="194"/>
      <c r="AG292" s="194"/>
      <c r="AH292" s="194"/>
      <c r="AI292" s="190"/>
    </row>
    <row r="293" ht="16.5" customHeight="1">
      <c r="A293" s="190"/>
      <c r="B293" s="191"/>
      <c r="C293" s="191"/>
      <c r="D293" s="191"/>
      <c r="E293" s="192"/>
      <c r="F293" s="192"/>
      <c r="G293" s="192"/>
      <c r="H293" s="192"/>
      <c r="I293" s="192"/>
      <c r="J293" s="193"/>
      <c r="K293" s="192"/>
      <c r="L293" s="190"/>
      <c r="M293" s="194"/>
      <c r="N293" s="194"/>
      <c r="O293" s="194"/>
      <c r="P293" s="194"/>
      <c r="Q293" s="194"/>
      <c r="R293" s="194"/>
      <c r="S293" s="195"/>
      <c r="T293" s="195"/>
      <c r="U293" s="195"/>
      <c r="V293" s="191"/>
      <c r="W293" s="192"/>
      <c r="X293" s="192"/>
      <c r="Y293" s="192"/>
      <c r="Z293" s="191"/>
      <c r="AA293" s="191"/>
      <c r="AB293" s="193"/>
      <c r="AC293" s="193"/>
      <c r="AD293" s="191"/>
      <c r="AE293" s="194"/>
      <c r="AF293" s="194"/>
      <c r="AG293" s="194"/>
      <c r="AH293" s="194"/>
      <c r="AI293" s="190"/>
    </row>
    <row r="294" ht="16.5" customHeight="1">
      <c r="A294" s="190"/>
      <c r="B294" s="191"/>
      <c r="C294" s="191"/>
      <c r="D294" s="191"/>
      <c r="E294" s="192"/>
      <c r="F294" s="192"/>
      <c r="G294" s="192"/>
      <c r="H294" s="192"/>
      <c r="I294" s="192"/>
      <c r="J294" s="193"/>
      <c r="K294" s="192"/>
      <c r="L294" s="190"/>
      <c r="M294" s="194"/>
      <c r="N294" s="194"/>
      <c r="O294" s="194"/>
      <c r="P294" s="194"/>
      <c r="Q294" s="194"/>
      <c r="R294" s="194"/>
      <c r="S294" s="195"/>
      <c r="T294" s="195"/>
      <c r="U294" s="195"/>
      <c r="V294" s="191"/>
      <c r="W294" s="192"/>
      <c r="X294" s="192"/>
      <c r="Y294" s="192"/>
      <c r="Z294" s="191"/>
      <c r="AA294" s="191"/>
      <c r="AB294" s="193"/>
      <c r="AC294" s="193"/>
      <c r="AD294" s="191"/>
      <c r="AE294" s="194"/>
      <c r="AF294" s="194"/>
      <c r="AG294" s="194"/>
      <c r="AH294" s="194"/>
      <c r="AI294" s="190"/>
    </row>
    <row r="295" ht="16.5" customHeight="1">
      <c r="A295" s="190"/>
      <c r="B295" s="191"/>
      <c r="C295" s="191"/>
      <c r="D295" s="191"/>
      <c r="E295" s="192"/>
      <c r="F295" s="192"/>
      <c r="G295" s="192"/>
      <c r="H295" s="192"/>
      <c r="I295" s="192"/>
      <c r="J295" s="193"/>
      <c r="K295" s="192"/>
      <c r="L295" s="190"/>
      <c r="M295" s="194"/>
      <c r="N295" s="194"/>
      <c r="O295" s="194"/>
      <c r="P295" s="194"/>
      <c r="Q295" s="194"/>
      <c r="R295" s="194"/>
      <c r="S295" s="195"/>
      <c r="T295" s="195"/>
      <c r="U295" s="195"/>
      <c r="V295" s="191"/>
      <c r="W295" s="192"/>
      <c r="X295" s="192"/>
      <c r="Y295" s="192"/>
      <c r="Z295" s="191"/>
      <c r="AA295" s="191"/>
      <c r="AB295" s="193"/>
      <c r="AC295" s="193"/>
      <c r="AD295" s="191"/>
      <c r="AE295" s="194"/>
      <c r="AF295" s="194"/>
      <c r="AG295" s="194"/>
      <c r="AH295" s="194"/>
      <c r="AI295" s="190"/>
    </row>
    <row r="296" ht="16.5" customHeight="1">
      <c r="A296" s="190"/>
      <c r="B296" s="191"/>
      <c r="C296" s="191"/>
      <c r="D296" s="191"/>
      <c r="E296" s="192"/>
      <c r="F296" s="192"/>
      <c r="G296" s="192"/>
      <c r="H296" s="192"/>
      <c r="I296" s="192"/>
      <c r="J296" s="193"/>
      <c r="K296" s="192"/>
      <c r="L296" s="190"/>
      <c r="M296" s="194"/>
      <c r="N296" s="194"/>
      <c r="O296" s="194"/>
      <c r="P296" s="194"/>
      <c r="Q296" s="194"/>
      <c r="R296" s="194"/>
      <c r="S296" s="195"/>
      <c r="T296" s="195"/>
      <c r="U296" s="195"/>
      <c r="V296" s="191"/>
      <c r="W296" s="192"/>
      <c r="X296" s="192"/>
      <c r="Y296" s="192"/>
      <c r="Z296" s="191"/>
      <c r="AA296" s="191"/>
      <c r="AB296" s="193"/>
      <c r="AC296" s="193"/>
      <c r="AD296" s="191"/>
      <c r="AE296" s="194"/>
      <c r="AF296" s="194"/>
      <c r="AG296" s="194"/>
      <c r="AH296" s="194"/>
      <c r="AI296" s="190"/>
    </row>
    <row r="297" ht="16.5" customHeight="1">
      <c r="A297" s="190"/>
      <c r="B297" s="191"/>
      <c r="C297" s="191"/>
      <c r="D297" s="191"/>
      <c r="E297" s="192"/>
      <c r="F297" s="192"/>
      <c r="G297" s="192"/>
      <c r="H297" s="192"/>
      <c r="I297" s="192"/>
      <c r="J297" s="193"/>
      <c r="K297" s="192"/>
      <c r="L297" s="190"/>
      <c r="M297" s="194"/>
      <c r="N297" s="194"/>
      <c r="O297" s="194"/>
      <c r="P297" s="194"/>
      <c r="Q297" s="194"/>
      <c r="R297" s="194"/>
      <c r="S297" s="195"/>
      <c r="T297" s="195"/>
      <c r="U297" s="195"/>
      <c r="V297" s="191"/>
      <c r="W297" s="192"/>
      <c r="X297" s="192"/>
      <c r="Y297" s="192"/>
      <c r="Z297" s="191"/>
      <c r="AA297" s="191"/>
      <c r="AB297" s="193"/>
      <c r="AC297" s="193"/>
      <c r="AD297" s="191"/>
      <c r="AE297" s="194"/>
      <c r="AF297" s="194"/>
      <c r="AG297" s="194"/>
      <c r="AH297" s="194"/>
      <c r="AI297" s="190"/>
    </row>
    <row r="298" ht="16.5" customHeight="1">
      <c r="A298" s="190"/>
      <c r="B298" s="191"/>
      <c r="C298" s="191"/>
      <c r="D298" s="191"/>
      <c r="E298" s="192"/>
      <c r="F298" s="192"/>
      <c r="G298" s="192"/>
      <c r="H298" s="192"/>
      <c r="I298" s="192"/>
      <c r="J298" s="193"/>
      <c r="K298" s="192"/>
      <c r="L298" s="190"/>
      <c r="M298" s="194"/>
      <c r="N298" s="194"/>
      <c r="O298" s="194"/>
      <c r="P298" s="194"/>
      <c r="Q298" s="194"/>
      <c r="R298" s="194"/>
      <c r="S298" s="195"/>
      <c r="T298" s="195"/>
      <c r="U298" s="195"/>
      <c r="V298" s="191"/>
      <c r="W298" s="192"/>
      <c r="X298" s="192"/>
      <c r="Y298" s="192"/>
      <c r="Z298" s="191"/>
      <c r="AA298" s="191"/>
      <c r="AB298" s="193"/>
      <c r="AC298" s="193"/>
      <c r="AD298" s="191"/>
      <c r="AE298" s="194"/>
      <c r="AF298" s="194"/>
      <c r="AG298" s="194"/>
      <c r="AH298" s="194"/>
      <c r="AI298" s="190"/>
    </row>
    <row r="299" ht="16.5" customHeight="1">
      <c r="A299" s="190"/>
      <c r="B299" s="191"/>
      <c r="C299" s="191"/>
      <c r="D299" s="191"/>
      <c r="E299" s="192"/>
      <c r="F299" s="192"/>
      <c r="G299" s="192"/>
      <c r="H299" s="192"/>
      <c r="I299" s="192"/>
      <c r="J299" s="193"/>
      <c r="K299" s="192"/>
      <c r="L299" s="190"/>
      <c r="M299" s="194"/>
      <c r="N299" s="194"/>
      <c r="O299" s="194"/>
      <c r="P299" s="194"/>
      <c r="Q299" s="194"/>
      <c r="R299" s="194"/>
      <c r="S299" s="195"/>
      <c r="T299" s="195"/>
      <c r="U299" s="195"/>
      <c r="V299" s="191"/>
      <c r="W299" s="192"/>
      <c r="X299" s="192"/>
      <c r="Y299" s="192"/>
      <c r="Z299" s="191"/>
      <c r="AA299" s="191"/>
      <c r="AB299" s="193"/>
      <c r="AC299" s="193"/>
      <c r="AD299" s="191"/>
      <c r="AE299" s="194"/>
      <c r="AF299" s="194"/>
      <c r="AG299" s="194"/>
      <c r="AH299" s="194"/>
      <c r="AI299" s="190"/>
    </row>
    <row r="300" ht="16.5" customHeight="1">
      <c r="A300" s="190"/>
      <c r="B300" s="191"/>
      <c r="C300" s="191"/>
      <c r="D300" s="191"/>
      <c r="E300" s="192"/>
      <c r="F300" s="192"/>
      <c r="G300" s="192"/>
      <c r="H300" s="192"/>
      <c r="I300" s="192"/>
      <c r="J300" s="193"/>
      <c r="K300" s="192"/>
      <c r="L300" s="190"/>
      <c r="M300" s="194"/>
      <c r="N300" s="194"/>
      <c r="O300" s="194"/>
      <c r="P300" s="194"/>
      <c r="Q300" s="194"/>
      <c r="R300" s="194"/>
      <c r="S300" s="195"/>
      <c r="T300" s="195"/>
      <c r="U300" s="195"/>
      <c r="V300" s="191"/>
      <c r="W300" s="192"/>
      <c r="X300" s="192"/>
      <c r="Y300" s="192"/>
      <c r="Z300" s="191"/>
      <c r="AA300" s="191"/>
      <c r="AB300" s="193"/>
      <c r="AC300" s="193"/>
      <c r="AD300" s="191"/>
      <c r="AE300" s="194"/>
      <c r="AF300" s="194"/>
      <c r="AG300" s="194"/>
      <c r="AH300" s="194"/>
      <c r="AI300" s="190"/>
    </row>
    <row r="301" ht="16.5" customHeight="1">
      <c r="A301" s="190"/>
      <c r="B301" s="191"/>
      <c r="C301" s="191"/>
      <c r="D301" s="191"/>
      <c r="E301" s="192"/>
      <c r="F301" s="192"/>
      <c r="G301" s="192"/>
      <c r="H301" s="192"/>
      <c r="I301" s="192"/>
      <c r="J301" s="193"/>
      <c r="K301" s="192"/>
      <c r="L301" s="190"/>
      <c r="M301" s="194"/>
      <c r="N301" s="194"/>
      <c r="O301" s="194"/>
      <c r="P301" s="194"/>
      <c r="Q301" s="194"/>
      <c r="R301" s="194"/>
      <c r="S301" s="195"/>
      <c r="T301" s="195"/>
      <c r="U301" s="195"/>
      <c r="V301" s="191"/>
      <c r="W301" s="192"/>
      <c r="X301" s="192"/>
      <c r="Y301" s="192"/>
      <c r="Z301" s="191"/>
      <c r="AA301" s="191"/>
      <c r="AB301" s="193"/>
      <c r="AC301" s="193"/>
      <c r="AD301" s="191"/>
      <c r="AE301" s="194"/>
      <c r="AF301" s="194"/>
      <c r="AG301" s="194"/>
      <c r="AH301" s="194"/>
      <c r="AI301" s="190"/>
    </row>
    <row r="302" ht="16.5" customHeight="1">
      <c r="A302" s="190"/>
      <c r="B302" s="191"/>
      <c r="C302" s="191"/>
      <c r="D302" s="191"/>
      <c r="E302" s="192"/>
      <c r="F302" s="192"/>
      <c r="G302" s="192"/>
      <c r="H302" s="192"/>
      <c r="I302" s="192"/>
      <c r="J302" s="193"/>
      <c r="K302" s="192"/>
      <c r="L302" s="190"/>
      <c r="M302" s="194"/>
      <c r="N302" s="194"/>
      <c r="O302" s="194"/>
      <c r="P302" s="194"/>
      <c r="Q302" s="194"/>
      <c r="R302" s="194"/>
      <c r="S302" s="195"/>
      <c r="T302" s="195"/>
      <c r="U302" s="195"/>
      <c r="V302" s="191"/>
      <c r="W302" s="192"/>
      <c r="X302" s="192"/>
      <c r="Y302" s="192"/>
      <c r="Z302" s="191"/>
      <c r="AA302" s="191"/>
      <c r="AB302" s="193"/>
      <c r="AC302" s="193"/>
      <c r="AD302" s="191"/>
      <c r="AE302" s="194"/>
      <c r="AF302" s="194"/>
      <c r="AG302" s="194"/>
      <c r="AH302" s="194"/>
      <c r="AI302" s="190"/>
    </row>
    <row r="303" ht="16.5" customHeight="1">
      <c r="A303" s="190"/>
      <c r="B303" s="191"/>
      <c r="C303" s="191"/>
      <c r="D303" s="191"/>
      <c r="E303" s="192"/>
      <c r="F303" s="192"/>
      <c r="G303" s="192"/>
      <c r="H303" s="192"/>
      <c r="I303" s="192"/>
      <c r="J303" s="193"/>
      <c r="K303" s="192"/>
      <c r="L303" s="190"/>
      <c r="M303" s="194"/>
      <c r="N303" s="194"/>
      <c r="O303" s="194"/>
      <c r="P303" s="194"/>
      <c r="Q303" s="194"/>
      <c r="R303" s="194"/>
      <c r="S303" s="195"/>
      <c r="T303" s="195"/>
      <c r="U303" s="195"/>
      <c r="V303" s="191"/>
      <c r="W303" s="192"/>
      <c r="X303" s="192"/>
      <c r="Y303" s="192"/>
      <c r="Z303" s="191"/>
      <c r="AA303" s="191"/>
      <c r="AB303" s="193"/>
      <c r="AC303" s="193"/>
      <c r="AD303" s="191"/>
      <c r="AE303" s="194"/>
      <c r="AF303" s="194"/>
      <c r="AG303" s="194"/>
      <c r="AH303" s="194"/>
      <c r="AI303" s="190"/>
    </row>
    <row r="304" ht="16.5" customHeight="1">
      <c r="A304" s="190"/>
      <c r="B304" s="191"/>
      <c r="C304" s="191"/>
      <c r="D304" s="191"/>
      <c r="E304" s="192"/>
      <c r="F304" s="192"/>
      <c r="G304" s="192"/>
      <c r="H304" s="192"/>
      <c r="I304" s="192"/>
      <c r="J304" s="193"/>
      <c r="K304" s="192"/>
      <c r="L304" s="190"/>
      <c r="M304" s="194"/>
      <c r="N304" s="194"/>
      <c r="O304" s="194"/>
      <c r="P304" s="194"/>
      <c r="Q304" s="194"/>
      <c r="R304" s="194"/>
      <c r="S304" s="195"/>
      <c r="T304" s="195"/>
      <c r="U304" s="195"/>
      <c r="V304" s="191"/>
      <c r="W304" s="192"/>
      <c r="X304" s="192"/>
      <c r="Y304" s="192"/>
      <c r="Z304" s="191"/>
      <c r="AA304" s="191"/>
      <c r="AB304" s="193"/>
      <c r="AC304" s="193"/>
      <c r="AD304" s="191"/>
      <c r="AE304" s="194"/>
      <c r="AF304" s="194"/>
      <c r="AG304" s="194"/>
      <c r="AH304" s="194"/>
      <c r="AI304" s="190"/>
    </row>
    <row r="305" ht="16.5" customHeight="1">
      <c r="A305" s="190"/>
      <c r="B305" s="191"/>
      <c r="C305" s="191"/>
      <c r="D305" s="191"/>
      <c r="E305" s="192"/>
      <c r="F305" s="192"/>
      <c r="G305" s="192"/>
      <c r="H305" s="192"/>
      <c r="I305" s="192"/>
      <c r="J305" s="193"/>
      <c r="K305" s="192"/>
      <c r="L305" s="190"/>
      <c r="M305" s="194"/>
      <c r="N305" s="194"/>
      <c r="O305" s="194"/>
      <c r="P305" s="194"/>
      <c r="Q305" s="194"/>
      <c r="R305" s="194"/>
      <c r="S305" s="195"/>
      <c r="T305" s="195"/>
      <c r="U305" s="195"/>
      <c r="V305" s="191"/>
      <c r="W305" s="192"/>
      <c r="X305" s="192"/>
      <c r="Y305" s="192"/>
      <c r="Z305" s="191"/>
      <c r="AA305" s="191"/>
      <c r="AB305" s="193"/>
      <c r="AC305" s="193"/>
      <c r="AD305" s="191"/>
      <c r="AE305" s="194"/>
      <c r="AF305" s="194"/>
      <c r="AG305" s="194"/>
      <c r="AH305" s="194"/>
      <c r="AI305" s="190"/>
    </row>
    <row r="306" ht="16.5" customHeight="1">
      <c r="A306" s="190"/>
      <c r="B306" s="191"/>
      <c r="C306" s="191"/>
      <c r="D306" s="191"/>
      <c r="E306" s="192"/>
      <c r="F306" s="192"/>
      <c r="G306" s="192"/>
      <c r="H306" s="192"/>
      <c r="I306" s="192"/>
      <c r="J306" s="193"/>
      <c r="K306" s="192"/>
      <c r="L306" s="190"/>
      <c r="M306" s="194"/>
      <c r="N306" s="194"/>
      <c r="O306" s="194"/>
      <c r="P306" s="194"/>
      <c r="Q306" s="194"/>
      <c r="R306" s="194"/>
      <c r="S306" s="195"/>
      <c r="T306" s="195"/>
      <c r="U306" s="195"/>
      <c r="V306" s="191"/>
      <c r="W306" s="192"/>
      <c r="X306" s="192"/>
      <c r="Y306" s="192"/>
      <c r="Z306" s="191"/>
      <c r="AA306" s="191"/>
      <c r="AB306" s="193"/>
      <c r="AC306" s="193"/>
      <c r="AD306" s="191"/>
      <c r="AE306" s="194"/>
      <c r="AF306" s="194"/>
      <c r="AG306" s="194"/>
      <c r="AH306" s="194"/>
      <c r="AI306" s="190"/>
    </row>
    <row r="307" ht="16.5" customHeight="1">
      <c r="A307" s="190"/>
      <c r="B307" s="191"/>
      <c r="C307" s="191"/>
      <c r="D307" s="191"/>
      <c r="E307" s="192"/>
      <c r="F307" s="192"/>
      <c r="G307" s="192"/>
      <c r="H307" s="192"/>
      <c r="I307" s="192"/>
      <c r="J307" s="193"/>
      <c r="K307" s="192"/>
      <c r="L307" s="190"/>
      <c r="M307" s="194"/>
      <c r="N307" s="194"/>
      <c r="O307" s="194"/>
      <c r="P307" s="194"/>
      <c r="Q307" s="194"/>
      <c r="R307" s="194"/>
      <c r="S307" s="195"/>
      <c r="T307" s="195"/>
      <c r="U307" s="195"/>
      <c r="V307" s="191"/>
      <c r="W307" s="192"/>
      <c r="X307" s="192"/>
      <c r="Y307" s="192"/>
      <c r="Z307" s="191"/>
      <c r="AA307" s="191"/>
      <c r="AB307" s="193"/>
      <c r="AC307" s="193"/>
      <c r="AD307" s="191"/>
      <c r="AE307" s="194"/>
      <c r="AF307" s="194"/>
      <c r="AG307" s="194"/>
      <c r="AH307" s="194"/>
      <c r="AI307" s="190"/>
    </row>
    <row r="308" ht="16.5" customHeight="1">
      <c r="A308" s="190"/>
      <c r="B308" s="191"/>
      <c r="C308" s="191"/>
      <c r="D308" s="191"/>
      <c r="E308" s="192"/>
      <c r="F308" s="192"/>
      <c r="G308" s="192"/>
      <c r="H308" s="192"/>
      <c r="I308" s="192"/>
      <c r="J308" s="193"/>
      <c r="K308" s="192"/>
      <c r="L308" s="190"/>
      <c r="M308" s="194"/>
      <c r="N308" s="194"/>
      <c r="O308" s="194"/>
      <c r="P308" s="194"/>
      <c r="Q308" s="194"/>
      <c r="R308" s="194"/>
      <c r="S308" s="195"/>
      <c r="T308" s="195"/>
      <c r="U308" s="195"/>
      <c r="V308" s="191"/>
      <c r="W308" s="192"/>
      <c r="X308" s="192"/>
      <c r="Y308" s="192"/>
      <c r="Z308" s="191"/>
      <c r="AA308" s="191"/>
      <c r="AB308" s="193"/>
      <c r="AC308" s="193"/>
      <c r="AD308" s="191"/>
      <c r="AE308" s="194"/>
      <c r="AF308" s="194"/>
      <c r="AG308" s="194"/>
      <c r="AH308" s="194"/>
      <c r="AI308" s="190"/>
    </row>
    <row r="309" ht="16.5" customHeight="1">
      <c r="A309" s="190"/>
      <c r="B309" s="191"/>
      <c r="C309" s="191"/>
      <c r="D309" s="191"/>
      <c r="E309" s="192"/>
      <c r="F309" s="192"/>
      <c r="G309" s="192"/>
      <c r="H309" s="192"/>
      <c r="I309" s="192"/>
      <c r="J309" s="193"/>
      <c r="K309" s="192"/>
      <c r="L309" s="190"/>
      <c r="M309" s="194"/>
      <c r="N309" s="194"/>
      <c r="O309" s="194"/>
      <c r="P309" s="194"/>
      <c r="Q309" s="194"/>
      <c r="R309" s="194"/>
      <c r="S309" s="195"/>
      <c r="T309" s="195"/>
      <c r="U309" s="195"/>
      <c r="V309" s="191"/>
      <c r="W309" s="192"/>
      <c r="X309" s="192"/>
      <c r="Y309" s="192"/>
      <c r="Z309" s="191"/>
      <c r="AA309" s="191"/>
      <c r="AB309" s="193"/>
      <c r="AC309" s="193"/>
      <c r="AD309" s="191"/>
      <c r="AE309" s="194"/>
      <c r="AF309" s="194"/>
      <c r="AG309" s="194"/>
      <c r="AH309" s="194"/>
      <c r="AI309" s="190"/>
    </row>
    <row r="310" ht="16.5" customHeight="1">
      <c r="A310" s="190"/>
      <c r="B310" s="191"/>
      <c r="C310" s="191"/>
      <c r="D310" s="191"/>
      <c r="E310" s="192"/>
      <c r="F310" s="192"/>
      <c r="G310" s="192"/>
      <c r="H310" s="192"/>
      <c r="I310" s="192"/>
      <c r="J310" s="193"/>
      <c r="K310" s="192"/>
      <c r="L310" s="190"/>
      <c r="M310" s="194"/>
      <c r="N310" s="194"/>
      <c r="O310" s="194"/>
      <c r="P310" s="194"/>
      <c r="Q310" s="194"/>
      <c r="R310" s="194"/>
      <c r="S310" s="195"/>
      <c r="T310" s="195"/>
      <c r="U310" s="195"/>
      <c r="V310" s="191"/>
      <c r="W310" s="192"/>
      <c r="X310" s="192"/>
      <c r="Y310" s="192"/>
      <c r="Z310" s="191"/>
      <c r="AA310" s="191"/>
      <c r="AB310" s="193"/>
      <c r="AC310" s="193"/>
      <c r="AD310" s="191"/>
      <c r="AE310" s="194"/>
      <c r="AF310" s="194"/>
      <c r="AG310" s="194"/>
      <c r="AH310" s="194"/>
      <c r="AI310" s="190"/>
    </row>
    <row r="311" ht="16.5" customHeight="1">
      <c r="A311" s="190"/>
      <c r="B311" s="191"/>
      <c r="C311" s="191"/>
      <c r="D311" s="191"/>
      <c r="E311" s="192"/>
      <c r="F311" s="192"/>
      <c r="G311" s="192"/>
      <c r="H311" s="192"/>
      <c r="I311" s="192"/>
      <c r="J311" s="193"/>
      <c r="K311" s="192"/>
      <c r="L311" s="190"/>
      <c r="M311" s="194"/>
      <c r="N311" s="194"/>
      <c r="O311" s="194"/>
      <c r="P311" s="194"/>
      <c r="Q311" s="194"/>
      <c r="R311" s="194"/>
      <c r="S311" s="195"/>
      <c r="T311" s="195"/>
      <c r="U311" s="195"/>
      <c r="V311" s="191"/>
      <c r="W311" s="192"/>
      <c r="X311" s="192"/>
      <c r="Y311" s="192"/>
      <c r="Z311" s="191"/>
      <c r="AA311" s="191"/>
      <c r="AB311" s="193"/>
      <c r="AC311" s="193"/>
      <c r="AD311" s="191"/>
      <c r="AE311" s="194"/>
      <c r="AF311" s="194"/>
      <c r="AG311" s="194"/>
      <c r="AH311" s="194"/>
      <c r="AI311" s="190"/>
    </row>
    <row r="312" ht="16.5" customHeight="1">
      <c r="A312" s="190"/>
      <c r="B312" s="191"/>
      <c r="C312" s="191"/>
      <c r="D312" s="191"/>
      <c r="E312" s="192"/>
      <c r="F312" s="192"/>
      <c r="G312" s="192"/>
      <c r="H312" s="192"/>
      <c r="I312" s="192"/>
      <c r="J312" s="193"/>
      <c r="K312" s="192"/>
      <c r="L312" s="190"/>
      <c r="M312" s="194"/>
      <c r="N312" s="194"/>
      <c r="O312" s="194"/>
      <c r="P312" s="194"/>
      <c r="Q312" s="194"/>
      <c r="R312" s="194"/>
      <c r="S312" s="195"/>
      <c r="T312" s="195"/>
      <c r="U312" s="195"/>
      <c r="V312" s="191"/>
      <c r="W312" s="192"/>
      <c r="X312" s="192"/>
      <c r="Y312" s="192"/>
      <c r="Z312" s="191"/>
      <c r="AA312" s="191"/>
      <c r="AB312" s="193"/>
      <c r="AC312" s="193"/>
      <c r="AD312" s="191"/>
      <c r="AE312" s="194"/>
      <c r="AF312" s="194"/>
      <c r="AG312" s="194"/>
      <c r="AH312" s="194"/>
      <c r="AI312" s="190"/>
    </row>
    <row r="313" ht="16.5" customHeight="1">
      <c r="A313" s="190"/>
      <c r="B313" s="191"/>
      <c r="C313" s="191"/>
      <c r="D313" s="191"/>
      <c r="E313" s="192"/>
      <c r="F313" s="192"/>
      <c r="G313" s="192"/>
      <c r="H313" s="192"/>
      <c r="I313" s="192"/>
      <c r="J313" s="193"/>
      <c r="K313" s="192"/>
      <c r="L313" s="190"/>
      <c r="M313" s="194"/>
      <c r="N313" s="194"/>
      <c r="O313" s="194"/>
      <c r="P313" s="194"/>
      <c r="Q313" s="194"/>
      <c r="R313" s="194"/>
      <c r="S313" s="195"/>
      <c r="T313" s="195"/>
      <c r="U313" s="195"/>
      <c r="V313" s="191"/>
      <c r="W313" s="192"/>
      <c r="X313" s="192"/>
      <c r="Y313" s="192"/>
      <c r="Z313" s="191"/>
      <c r="AA313" s="191"/>
      <c r="AB313" s="193"/>
      <c r="AC313" s="193"/>
      <c r="AD313" s="191"/>
      <c r="AE313" s="194"/>
      <c r="AF313" s="194"/>
      <c r="AG313" s="194"/>
      <c r="AH313" s="194"/>
      <c r="AI313" s="190"/>
    </row>
    <row r="314" ht="16.5" customHeight="1">
      <c r="A314" s="190"/>
      <c r="B314" s="191"/>
      <c r="C314" s="191"/>
      <c r="D314" s="191"/>
      <c r="E314" s="192"/>
      <c r="F314" s="192"/>
      <c r="G314" s="192"/>
      <c r="H314" s="192"/>
      <c r="I314" s="192"/>
      <c r="J314" s="193"/>
      <c r="K314" s="192"/>
      <c r="L314" s="190"/>
      <c r="M314" s="194"/>
      <c r="N314" s="194"/>
      <c r="O314" s="194"/>
      <c r="P314" s="194"/>
      <c r="Q314" s="194"/>
      <c r="R314" s="194"/>
      <c r="S314" s="195"/>
      <c r="T314" s="195"/>
      <c r="U314" s="195"/>
      <c r="V314" s="191"/>
      <c r="W314" s="192"/>
      <c r="X314" s="192"/>
      <c r="Y314" s="192"/>
      <c r="Z314" s="191"/>
      <c r="AA314" s="191"/>
      <c r="AB314" s="193"/>
      <c r="AC314" s="193"/>
      <c r="AD314" s="191"/>
      <c r="AE314" s="194"/>
      <c r="AF314" s="194"/>
      <c r="AG314" s="194"/>
      <c r="AH314" s="194"/>
      <c r="AI314" s="190"/>
    </row>
    <row r="315" ht="16.5" customHeight="1">
      <c r="A315" s="190"/>
      <c r="B315" s="191"/>
      <c r="C315" s="191"/>
      <c r="D315" s="191"/>
      <c r="E315" s="192"/>
      <c r="F315" s="192"/>
      <c r="G315" s="192"/>
      <c r="H315" s="192"/>
      <c r="I315" s="192"/>
      <c r="J315" s="193"/>
      <c r="K315" s="192"/>
      <c r="L315" s="190"/>
      <c r="M315" s="194"/>
      <c r="N315" s="194"/>
      <c r="O315" s="194"/>
      <c r="P315" s="194"/>
      <c r="Q315" s="194"/>
      <c r="R315" s="194"/>
      <c r="S315" s="195"/>
      <c r="T315" s="195"/>
      <c r="U315" s="195"/>
      <c r="V315" s="191"/>
      <c r="W315" s="192"/>
      <c r="X315" s="192"/>
      <c r="Y315" s="192"/>
      <c r="Z315" s="191"/>
      <c r="AA315" s="191"/>
      <c r="AB315" s="193"/>
      <c r="AC315" s="193"/>
      <c r="AD315" s="191"/>
      <c r="AE315" s="194"/>
      <c r="AF315" s="194"/>
      <c r="AG315" s="194"/>
      <c r="AH315" s="194"/>
      <c r="AI315" s="190"/>
    </row>
    <row r="316" ht="16.5" customHeight="1">
      <c r="A316" s="190"/>
      <c r="B316" s="191"/>
      <c r="C316" s="191"/>
      <c r="D316" s="191"/>
      <c r="E316" s="192"/>
      <c r="F316" s="192"/>
      <c r="G316" s="192"/>
      <c r="H316" s="192"/>
      <c r="I316" s="192"/>
      <c r="J316" s="193"/>
      <c r="K316" s="192"/>
      <c r="L316" s="190"/>
      <c r="M316" s="194"/>
      <c r="N316" s="194"/>
      <c r="O316" s="194"/>
      <c r="P316" s="194"/>
      <c r="Q316" s="194"/>
      <c r="R316" s="194"/>
      <c r="S316" s="195"/>
      <c r="T316" s="195"/>
      <c r="U316" s="195"/>
      <c r="V316" s="191"/>
      <c r="W316" s="192"/>
      <c r="X316" s="192"/>
      <c r="Y316" s="192"/>
      <c r="Z316" s="191"/>
      <c r="AA316" s="191"/>
      <c r="AB316" s="193"/>
      <c r="AC316" s="193"/>
      <c r="AD316" s="191"/>
      <c r="AE316" s="194"/>
      <c r="AF316" s="194"/>
      <c r="AG316" s="194"/>
      <c r="AH316" s="194"/>
      <c r="AI316" s="190"/>
    </row>
    <row r="317" ht="16.5" customHeight="1">
      <c r="A317" s="190"/>
      <c r="B317" s="191"/>
      <c r="C317" s="191"/>
      <c r="D317" s="191"/>
      <c r="E317" s="192"/>
      <c r="F317" s="192"/>
      <c r="G317" s="192"/>
      <c r="H317" s="192"/>
      <c r="I317" s="192"/>
      <c r="J317" s="193"/>
      <c r="K317" s="192"/>
      <c r="L317" s="190"/>
      <c r="M317" s="194"/>
      <c r="N317" s="194"/>
      <c r="O317" s="194"/>
      <c r="P317" s="194"/>
      <c r="Q317" s="194"/>
      <c r="R317" s="194"/>
      <c r="S317" s="195"/>
      <c r="T317" s="195"/>
      <c r="U317" s="195"/>
      <c r="V317" s="191"/>
      <c r="W317" s="192"/>
      <c r="X317" s="192"/>
      <c r="Y317" s="192"/>
      <c r="Z317" s="191"/>
      <c r="AA317" s="191"/>
      <c r="AB317" s="193"/>
      <c r="AC317" s="193"/>
      <c r="AD317" s="191"/>
      <c r="AE317" s="194"/>
      <c r="AF317" s="194"/>
      <c r="AG317" s="194"/>
      <c r="AH317" s="194"/>
      <c r="AI317" s="190"/>
    </row>
    <row r="318" ht="16.5" customHeight="1">
      <c r="A318" s="190"/>
      <c r="B318" s="191"/>
      <c r="C318" s="191"/>
      <c r="D318" s="191"/>
      <c r="E318" s="192"/>
      <c r="F318" s="192"/>
      <c r="G318" s="192"/>
      <c r="H318" s="192"/>
      <c r="I318" s="192"/>
      <c r="J318" s="193"/>
      <c r="K318" s="192"/>
      <c r="L318" s="190"/>
      <c r="M318" s="194"/>
      <c r="N318" s="194"/>
      <c r="O318" s="194"/>
      <c r="P318" s="194"/>
      <c r="Q318" s="194"/>
      <c r="R318" s="194"/>
      <c r="S318" s="195"/>
      <c r="T318" s="195"/>
      <c r="U318" s="195"/>
      <c r="V318" s="191"/>
      <c r="W318" s="192"/>
      <c r="X318" s="192"/>
      <c r="Y318" s="192"/>
      <c r="Z318" s="191"/>
      <c r="AA318" s="191"/>
      <c r="AB318" s="193"/>
      <c r="AC318" s="193"/>
      <c r="AD318" s="191"/>
      <c r="AE318" s="194"/>
      <c r="AF318" s="194"/>
      <c r="AG318" s="194"/>
      <c r="AH318" s="194"/>
      <c r="AI318" s="190"/>
    </row>
    <row r="319" ht="16.5" customHeight="1">
      <c r="A319" s="190"/>
      <c r="B319" s="191"/>
      <c r="C319" s="191"/>
      <c r="D319" s="191"/>
      <c r="E319" s="192"/>
      <c r="F319" s="192"/>
      <c r="G319" s="192"/>
      <c r="H319" s="192"/>
      <c r="I319" s="192"/>
      <c r="J319" s="193"/>
      <c r="K319" s="192"/>
      <c r="L319" s="190"/>
      <c r="M319" s="194"/>
      <c r="N319" s="194"/>
      <c r="O319" s="194"/>
      <c r="P319" s="194"/>
      <c r="Q319" s="194"/>
      <c r="R319" s="194"/>
      <c r="S319" s="195"/>
      <c r="T319" s="195"/>
      <c r="U319" s="195"/>
      <c r="V319" s="191"/>
      <c r="W319" s="192"/>
      <c r="X319" s="192"/>
      <c r="Y319" s="192"/>
      <c r="Z319" s="191"/>
      <c r="AA319" s="191"/>
      <c r="AB319" s="193"/>
      <c r="AC319" s="193"/>
      <c r="AD319" s="191"/>
      <c r="AE319" s="194"/>
      <c r="AF319" s="194"/>
      <c r="AG319" s="194"/>
      <c r="AH319" s="194"/>
      <c r="AI319" s="190"/>
    </row>
    <row r="320" ht="16.5" customHeight="1">
      <c r="A320" s="190"/>
      <c r="B320" s="191"/>
      <c r="C320" s="191"/>
      <c r="D320" s="191"/>
      <c r="E320" s="192"/>
      <c r="F320" s="192"/>
      <c r="G320" s="192"/>
      <c r="H320" s="192"/>
      <c r="I320" s="192"/>
      <c r="J320" s="193"/>
      <c r="K320" s="192"/>
      <c r="L320" s="190"/>
      <c r="M320" s="194"/>
      <c r="N320" s="194"/>
      <c r="O320" s="194"/>
      <c r="P320" s="194"/>
      <c r="Q320" s="194"/>
      <c r="R320" s="194"/>
      <c r="S320" s="195"/>
      <c r="T320" s="195"/>
      <c r="U320" s="195"/>
      <c r="V320" s="191"/>
      <c r="W320" s="192"/>
      <c r="X320" s="192"/>
      <c r="Y320" s="192"/>
      <c r="Z320" s="191"/>
      <c r="AA320" s="191"/>
      <c r="AB320" s="193"/>
      <c r="AC320" s="193"/>
      <c r="AD320" s="191"/>
      <c r="AE320" s="194"/>
      <c r="AF320" s="194"/>
      <c r="AG320" s="194"/>
      <c r="AH320" s="194"/>
      <c r="AI320" s="190"/>
    </row>
    <row r="321" ht="16.5" customHeight="1">
      <c r="A321" s="190"/>
      <c r="B321" s="191"/>
      <c r="C321" s="191"/>
      <c r="D321" s="191"/>
      <c r="E321" s="192"/>
      <c r="F321" s="192"/>
      <c r="G321" s="192"/>
      <c r="H321" s="192"/>
      <c r="I321" s="192"/>
      <c r="J321" s="193"/>
      <c r="K321" s="192"/>
      <c r="L321" s="190"/>
      <c r="M321" s="194"/>
      <c r="N321" s="194"/>
      <c r="O321" s="194"/>
      <c r="P321" s="194"/>
      <c r="Q321" s="194"/>
      <c r="R321" s="194"/>
      <c r="S321" s="195"/>
      <c r="T321" s="195"/>
      <c r="U321" s="195"/>
      <c r="V321" s="191"/>
      <c r="W321" s="192"/>
      <c r="X321" s="192"/>
      <c r="Y321" s="192"/>
      <c r="Z321" s="191"/>
      <c r="AA321" s="191"/>
      <c r="AB321" s="193"/>
      <c r="AC321" s="193"/>
      <c r="AD321" s="191"/>
      <c r="AE321" s="194"/>
      <c r="AF321" s="194"/>
      <c r="AG321" s="194"/>
      <c r="AH321" s="194"/>
      <c r="AI321" s="190"/>
    </row>
    <row r="322" ht="16.5" customHeight="1">
      <c r="A322" s="190"/>
      <c r="B322" s="191"/>
      <c r="C322" s="191"/>
      <c r="D322" s="191"/>
      <c r="E322" s="192"/>
      <c r="F322" s="192"/>
      <c r="G322" s="192"/>
      <c r="H322" s="192"/>
      <c r="I322" s="192"/>
      <c r="J322" s="193"/>
      <c r="K322" s="192"/>
      <c r="L322" s="190"/>
      <c r="M322" s="194"/>
      <c r="N322" s="194"/>
      <c r="O322" s="194"/>
      <c r="P322" s="194"/>
      <c r="Q322" s="194"/>
      <c r="R322" s="194"/>
      <c r="S322" s="195"/>
      <c r="T322" s="195"/>
      <c r="U322" s="195"/>
      <c r="V322" s="191"/>
      <c r="W322" s="192"/>
      <c r="X322" s="192"/>
      <c r="Y322" s="192"/>
      <c r="Z322" s="191"/>
      <c r="AA322" s="191"/>
      <c r="AB322" s="193"/>
      <c r="AC322" s="193"/>
      <c r="AD322" s="191"/>
      <c r="AE322" s="194"/>
      <c r="AF322" s="194"/>
      <c r="AG322" s="194"/>
      <c r="AH322" s="194"/>
      <c r="AI322" s="190"/>
    </row>
    <row r="323" ht="16.5" customHeight="1">
      <c r="A323" s="190"/>
      <c r="B323" s="191"/>
      <c r="C323" s="191"/>
      <c r="D323" s="191"/>
      <c r="E323" s="192"/>
      <c r="F323" s="192"/>
      <c r="G323" s="192"/>
      <c r="H323" s="192"/>
      <c r="I323" s="192"/>
      <c r="J323" s="193"/>
      <c r="K323" s="192"/>
      <c r="L323" s="190"/>
      <c r="M323" s="194"/>
      <c r="N323" s="194"/>
      <c r="O323" s="194"/>
      <c r="P323" s="194"/>
      <c r="Q323" s="194"/>
      <c r="R323" s="194"/>
      <c r="S323" s="195"/>
      <c r="T323" s="195"/>
      <c r="U323" s="195"/>
      <c r="V323" s="191"/>
      <c r="W323" s="192"/>
      <c r="X323" s="192"/>
      <c r="Y323" s="192"/>
      <c r="Z323" s="191"/>
      <c r="AA323" s="191"/>
      <c r="AB323" s="193"/>
      <c r="AC323" s="193"/>
      <c r="AD323" s="191"/>
      <c r="AE323" s="194"/>
      <c r="AF323" s="194"/>
      <c r="AG323" s="194"/>
      <c r="AH323" s="194"/>
      <c r="AI323" s="190"/>
    </row>
    <row r="324" ht="16.5" customHeight="1">
      <c r="A324" s="190"/>
      <c r="B324" s="191"/>
      <c r="C324" s="191"/>
      <c r="D324" s="191"/>
      <c r="E324" s="192"/>
      <c r="F324" s="192"/>
      <c r="G324" s="192"/>
      <c r="H324" s="192"/>
      <c r="I324" s="192"/>
      <c r="J324" s="193"/>
      <c r="K324" s="192"/>
      <c r="L324" s="190"/>
      <c r="M324" s="194"/>
      <c r="N324" s="194"/>
      <c r="O324" s="194"/>
      <c r="P324" s="194"/>
      <c r="Q324" s="194"/>
      <c r="R324" s="194"/>
      <c r="S324" s="195"/>
      <c r="T324" s="195"/>
      <c r="U324" s="195"/>
      <c r="V324" s="191"/>
      <c r="W324" s="192"/>
      <c r="X324" s="192"/>
      <c r="Y324" s="192"/>
      <c r="Z324" s="191"/>
      <c r="AA324" s="191"/>
      <c r="AB324" s="193"/>
      <c r="AC324" s="193"/>
      <c r="AD324" s="191"/>
      <c r="AE324" s="194"/>
      <c r="AF324" s="194"/>
      <c r="AG324" s="194"/>
      <c r="AH324" s="194"/>
      <c r="AI324" s="190"/>
    </row>
    <row r="325" ht="16.5" customHeight="1">
      <c r="A325" s="190"/>
      <c r="B325" s="191"/>
      <c r="C325" s="191"/>
      <c r="D325" s="191"/>
      <c r="E325" s="192"/>
      <c r="F325" s="192"/>
      <c r="G325" s="192"/>
      <c r="H325" s="192"/>
      <c r="I325" s="192"/>
      <c r="J325" s="193"/>
      <c r="K325" s="192"/>
      <c r="L325" s="190"/>
      <c r="M325" s="194"/>
      <c r="N325" s="194"/>
      <c r="O325" s="194"/>
      <c r="P325" s="194"/>
      <c r="Q325" s="194"/>
      <c r="R325" s="194"/>
      <c r="S325" s="195"/>
      <c r="T325" s="195"/>
      <c r="U325" s="195"/>
      <c r="V325" s="191"/>
      <c r="W325" s="192"/>
      <c r="X325" s="192"/>
      <c r="Y325" s="192"/>
      <c r="Z325" s="191"/>
      <c r="AA325" s="191"/>
      <c r="AB325" s="193"/>
      <c r="AC325" s="193"/>
      <c r="AD325" s="191"/>
      <c r="AE325" s="194"/>
      <c r="AF325" s="194"/>
      <c r="AG325" s="194"/>
      <c r="AH325" s="194"/>
      <c r="AI325" s="190"/>
    </row>
    <row r="326" ht="16.5" customHeight="1">
      <c r="A326" s="190"/>
      <c r="B326" s="191"/>
      <c r="C326" s="191"/>
      <c r="D326" s="191"/>
      <c r="E326" s="192"/>
      <c r="F326" s="192"/>
      <c r="G326" s="192"/>
      <c r="H326" s="192"/>
      <c r="I326" s="192"/>
      <c r="J326" s="193"/>
      <c r="K326" s="192"/>
      <c r="L326" s="190"/>
      <c r="M326" s="194"/>
      <c r="N326" s="194"/>
      <c r="O326" s="194"/>
      <c r="P326" s="194"/>
      <c r="Q326" s="194"/>
      <c r="R326" s="194"/>
      <c r="S326" s="195"/>
      <c r="T326" s="195"/>
      <c r="U326" s="195"/>
      <c r="V326" s="191"/>
      <c r="W326" s="192"/>
      <c r="X326" s="192"/>
      <c r="Y326" s="192"/>
      <c r="Z326" s="191"/>
      <c r="AA326" s="191"/>
      <c r="AB326" s="193"/>
      <c r="AC326" s="193"/>
      <c r="AD326" s="191"/>
      <c r="AE326" s="194"/>
      <c r="AF326" s="194"/>
      <c r="AG326" s="194"/>
      <c r="AH326" s="194"/>
      <c r="AI326" s="190"/>
    </row>
    <row r="327" ht="16.5" customHeight="1">
      <c r="A327" s="190"/>
      <c r="B327" s="191"/>
      <c r="C327" s="191"/>
      <c r="D327" s="191"/>
      <c r="E327" s="192"/>
      <c r="F327" s="192"/>
      <c r="G327" s="192"/>
      <c r="H327" s="192"/>
      <c r="I327" s="192"/>
      <c r="J327" s="193"/>
      <c r="K327" s="192"/>
      <c r="L327" s="190"/>
      <c r="M327" s="194"/>
      <c r="N327" s="194"/>
      <c r="O327" s="194"/>
      <c r="P327" s="194"/>
      <c r="Q327" s="194"/>
      <c r="R327" s="194"/>
      <c r="S327" s="195"/>
      <c r="T327" s="195"/>
      <c r="U327" s="195"/>
      <c r="V327" s="191"/>
      <c r="W327" s="192"/>
      <c r="X327" s="192"/>
      <c r="Y327" s="192"/>
      <c r="Z327" s="191"/>
      <c r="AA327" s="191"/>
      <c r="AB327" s="193"/>
      <c r="AC327" s="193"/>
      <c r="AD327" s="191"/>
      <c r="AE327" s="194"/>
      <c r="AF327" s="194"/>
      <c r="AG327" s="194"/>
      <c r="AH327" s="194"/>
      <c r="AI327" s="190"/>
    </row>
    <row r="328" ht="16.5" customHeight="1">
      <c r="A328" s="190"/>
      <c r="B328" s="191"/>
      <c r="C328" s="191"/>
      <c r="D328" s="191"/>
      <c r="E328" s="192"/>
      <c r="F328" s="192"/>
      <c r="G328" s="192"/>
      <c r="H328" s="192"/>
      <c r="I328" s="192"/>
      <c r="J328" s="193"/>
      <c r="K328" s="192"/>
      <c r="L328" s="190"/>
      <c r="M328" s="194"/>
      <c r="N328" s="194"/>
      <c r="O328" s="194"/>
      <c r="P328" s="194"/>
      <c r="Q328" s="194"/>
      <c r="R328" s="194"/>
      <c r="S328" s="195"/>
      <c r="T328" s="195"/>
      <c r="U328" s="195"/>
      <c r="V328" s="191"/>
      <c r="W328" s="192"/>
      <c r="X328" s="192"/>
      <c r="Y328" s="192"/>
      <c r="Z328" s="191"/>
      <c r="AA328" s="191"/>
      <c r="AB328" s="193"/>
      <c r="AC328" s="193"/>
      <c r="AD328" s="191"/>
      <c r="AE328" s="194"/>
      <c r="AF328" s="194"/>
      <c r="AG328" s="194"/>
      <c r="AH328" s="194"/>
      <c r="AI328" s="190"/>
    </row>
    <row r="329" ht="16.5" customHeight="1">
      <c r="A329" s="190"/>
      <c r="B329" s="191"/>
      <c r="C329" s="191"/>
      <c r="D329" s="191"/>
      <c r="E329" s="192"/>
      <c r="F329" s="192"/>
      <c r="G329" s="192"/>
      <c r="H329" s="192"/>
      <c r="I329" s="192"/>
      <c r="J329" s="193"/>
      <c r="K329" s="192"/>
      <c r="L329" s="190"/>
      <c r="M329" s="194"/>
      <c r="N329" s="194"/>
      <c r="O329" s="194"/>
      <c r="P329" s="194"/>
      <c r="Q329" s="194"/>
      <c r="R329" s="194"/>
      <c r="S329" s="195"/>
      <c r="T329" s="195"/>
      <c r="U329" s="195"/>
      <c r="V329" s="191"/>
      <c r="W329" s="192"/>
      <c r="X329" s="192"/>
      <c r="Y329" s="192"/>
      <c r="Z329" s="191"/>
      <c r="AA329" s="191"/>
      <c r="AB329" s="193"/>
      <c r="AC329" s="193"/>
      <c r="AD329" s="191"/>
      <c r="AE329" s="194"/>
      <c r="AF329" s="194"/>
      <c r="AG329" s="194"/>
      <c r="AH329" s="194"/>
      <c r="AI329" s="190"/>
    </row>
    <row r="330" ht="16.5" customHeight="1">
      <c r="A330" s="190"/>
      <c r="B330" s="191"/>
      <c r="C330" s="191"/>
      <c r="D330" s="191"/>
      <c r="E330" s="192"/>
      <c r="F330" s="192"/>
      <c r="G330" s="192"/>
      <c r="H330" s="192"/>
      <c r="I330" s="192"/>
      <c r="J330" s="193"/>
      <c r="K330" s="192"/>
      <c r="L330" s="190"/>
      <c r="M330" s="194"/>
      <c r="N330" s="194"/>
      <c r="O330" s="194"/>
      <c r="P330" s="194"/>
      <c r="Q330" s="194"/>
      <c r="R330" s="194"/>
      <c r="S330" s="195"/>
      <c r="T330" s="195"/>
      <c r="U330" s="195"/>
      <c r="V330" s="191"/>
      <c r="W330" s="192"/>
      <c r="X330" s="192"/>
      <c r="Y330" s="192"/>
      <c r="Z330" s="191"/>
      <c r="AA330" s="191"/>
      <c r="AB330" s="193"/>
      <c r="AC330" s="193"/>
      <c r="AD330" s="191"/>
      <c r="AE330" s="194"/>
      <c r="AF330" s="194"/>
      <c r="AG330" s="194"/>
      <c r="AH330" s="194"/>
      <c r="AI330" s="190"/>
    </row>
    <row r="331" ht="16.5" customHeight="1">
      <c r="A331" s="190"/>
      <c r="B331" s="191"/>
      <c r="C331" s="191"/>
      <c r="D331" s="191"/>
      <c r="E331" s="192"/>
      <c r="F331" s="192"/>
      <c r="G331" s="192"/>
      <c r="H331" s="192"/>
      <c r="I331" s="192"/>
      <c r="J331" s="193"/>
      <c r="K331" s="192"/>
      <c r="L331" s="190"/>
      <c r="M331" s="194"/>
      <c r="N331" s="194"/>
      <c r="O331" s="194"/>
      <c r="P331" s="194"/>
      <c r="Q331" s="194"/>
      <c r="R331" s="194"/>
      <c r="S331" s="195"/>
      <c r="T331" s="195"/>
      <c r="U331" s="195"/>
      <c r="V331" s="191"/>
      <c r="W331" s="192"/>
      <c r="X331" s="192"/>
      <c r="Y331" s="192"/>
      <c r="Z331" s="191"/>
      <c r="AA331" s="191"/>
      <c r="AB331" s="193"/>
      <c r="AC331" s="193"/>
      <c r="AD331" s="191"/>
      <c r="AE331" s="194"/>
      <c r="AF331" s="194"/>
      <c r="AG331" s="194"/>
      <c r="AH331" s="194"/>
      <c r="AI331" s="190"/>
    </row>
    <row r="332" ht="16.5" customHeight="1">
      <c r="A332" s="190"/>
      <c r="B332" s="191"/>
      <c r="C332" s="191"/>
      <c r="D332" s="191"/>
      <c r="E332" s="192"/>
      <c r="F332" s="192"/>
      <c r="G332" s="192"/>
      <c r="H332" s="192"/>
      <c r="I332" s="192"/>
      <c r="J332" s="193"/>
      <c r="K332" s="192"/>
      <c r="L332" s="190"/>
      <c r="M332" s="194"/>
      <c r="N332" s="194"/>
      <c r="O332" s="194"/>
      <c r="P332" s="194"/>
      <c r="Q332" s="194"/>
      <c r="R332" s="194"/>
      <c r="S332" s="195"/>
      <c r="T332" s="195"/>
      <c r="U332" s="195"/>
      <c r="V332" s="191"/>
      <c r="W332" s="192"/>
      <c r="X332" s="192"/>
      <c r="Y332" s="192"/>
      <c r="Z332" s="191"/>
      <c r="AA332" s="191"/>
      <c r="AB332" s="193"/>
      <c r="AC332" s="193"/>
      <c r="AD332" s="191"/>
      <c r="AE332" s="194"/>
      <c r="AF332" s="194"/>
      <c r="AG332" s="194"/>
      <c r="AH332" s="194"/>
      <c r="AI332" s="190"/>
    </row>
    <row r="333" ht="16.5" customHeight="1">
      <c r="A333" s="190"/>
      <c r="B333" s="191"/>
      <c r="C333" s="191"/>
      <c r="D333" s="191"/>
      <c r="E333" s="192"/>
      <c r="F333" s="192"/>
      <c r="G333" s="192"/>
      <c r="H333" s="192"/>
      <c r="I333" s="192"/>
      <c r="J333" s="193"/>
      <c r="K333" s="192"/>
      <c r="L333" s="190"/>
      <c r="M333" s="194"/>
      <c r="N333" s="194"/>
      <c r="O333" s="194"/>
      <c r="P333" s="194"/>
      <c r="Q333" s="194"/>
      <c r="R333" s="194"/>
      <c r="S333" s="195"/>
      <c r="T333" s="195"/>
      <c r="U333" s="195"/>
      <c r="V333" s="191"/>
      <c r="W333" s="192"/>
      <c r="X333" s="192"/>
      <c r="Y333" s="192"/>
      <c r="Z333" s="191"/>
      <c r="AA333" s="191"/>
      <c r="AB333" s="193"/>
      <c r="AC333" s="193"/>
      <c r="AD333" s="191"/>
      <c r="AE333" s="194"/>
      <c r="AF333" s="194"/>
      <c r="AG333" s="194"/>
      <c r="AH333" s="194"/>
      <c r="AI333" s="190"/>
    </row>
    <row r="334" ht="16.5" customHeight="1">
      <c r="A334" s="190"/>
      <c r="B334" s="191"/>
      <c r="C334" s="191"/>
      <c r="D334" s="191"/>
      <c r="E334" s="192"/>
      <c r="F334" s="192"/>
      <c r="G334" s="192"/>
      <c r="H334" s="192"/>
      <c r="I334" s="192"/>
      <c r="J334" s="193"/>
      <c r="K334" s="192"/>
      <c r="L334" s="190"/>
      <c r="M334" s="194"/>
      <c r="N334" s="194"/>
      <c r="O334" s="194"/>
      <c r="P334" s="194"/>
      <c r="Q334" s="194"/>
      <c r="R334" s="194"/>
      <c r="S334" s="195"/>
      <c r="T334" s="195"/>
      <c r="U334" s="195"/>
      <c r="V334" s="191"/>
      <c r="W334" s="192"/>
      <c r="X334" s="192"/>
      <c r="Y334" s="192"/>
      <c r="Z334" s="191"/>
      <c r="AA334" s="191"/>
      <c r="AB334" s="193"/>
      <c r="AC334" s="193"/>
      <c r="AD334" s="191"/>
      <c r="AE334" s="194"/>
      <c r="AF334" s="194"/>
      <c r="AG334" s="194"/>
      <c r="AH334" s="194"/>
      <c r="AI334" s="190"/>
    </row>
    <row r="335" ht="16.5" customHeight="1">
      <c r="A335" s="190"/>
      <c r="B335" s="191"/>
      <c r="C335" s="191"/>
      <c r="D335" s="191"/>
      <c r="E335" s="192"/>
      <c r="F335" s="192"/>
      <c r="G335" s="192"/>
      <c r="H335" s="192"/>
      <c r="I335" s="192"/>
      <c r="J335" s="193"/>
      <c r="K335" s="192"/>
      <c r="L335" s="190"/>
      <c r="M335" s="194"/>
      <c r="N335" s="194"/>
      <c r="O335" s="194"/>
      <c r="P335" s="194"/>
      <c r="Q335" s="194"/>
      <c r="R335" s="194"/>
      <c r="S335" s="195"/>
      <c r="T335" s="195"/>
      <c r="U335" s="195"/>
      <c r="V335" s="191"/>
      <c r="W335" s="192"/>
      <c r="X335" s="192"/>
      <c r="Y335" s="192"/>
      <c r="Z335" s="191"/>
      <c r="AA335" s="191"/>
      <c r="AB335" s="193"/>
      <c r="AC335" s="193"/>
      <c r="AD335" s="191"/>
      <c r="AE335" s="194"/>
      <c r="AF335" s="194"/>
      <c r="AG335" s="194"/>
      <c r="AH335" s="194"/>
      <c r="AI335" s="190"/>
    </row>
    <row r="336" ht="16.5" customHeight="1">
      <c r="A336" s="190"/>
      <c r="B336" s="191"/>
      <c r="C336" s="191"/>
      <c r="D336" s="191"/>
      <c r="E336" s="192"/>
      <c r="F336" s="192"/>
      <c r="G336" s="192"/>
      <c r="H336" s="192"/>
      <c r="I336" s="192"/>
      <c r="J336" s="193"/>
      <c r="K336" s="192"/>
      <c r="L336" s="190"/>
      <c r="M336" s="194"/>
      <c r="N336" s="194"/>
      <c r="O336" s="194"/>
      <c r="P336" s="194"/>
      <c r="Q336" s="194"/>
      <c r="R336" s="194"/>
      <c r="S336" s="195"/>
      <c r="T336" s="195"/>
      <c r="U336" s="195"/>
      <c r="V336" s="191"/>
      <c r="W336" s="192"/>
      <c r="X336" s="192"/>
      <c r="Y336" s="192"/>
      <c r="Z336" s="191"/>
      <c r="AA336" s="191"/>
      <c r="AB336" s="193"/>
      <c r="AC336" s="193"/>
      <c r="AD336" s="191"/>
      <c r="AE336" s="194"/>
      <c r="AF336" s="194"/>
      <c r="AG336" s="194"/>
      <c r="AH336" s="194"/>
      <c r="AI336" s="190"/>
    </row>
    <row r="337" ht="16.5" customHeight="1">
      <c r="A337" s="190"/>
      <c r="B337" s="191"/>
      <c r="C337" s="191"/>
      <c r="D337" s="191"/>
      <c r="E337" s="192"/>
      <c r="F337" s="192"/>
      <c r="G337" s="192"/>
      <c r="H337" s="192"/>
      <c r="I337" s="192"/>
      <c r="J337" s="193"/>
      <c r="K337" s="192"/>
      <c r="L337" s="190"/>
      <c r="M337" s="194"/>
      <c r="N337" s="194"/>
      <c r="O337" s="194"/>
      <c r="P337" s="194"/>
      <c r="Q337" s="194"/>
      <c r="R337" s="194"/>
      <c r="S337" s="195"/>
      <c r="T337" s="195"/>
      <c r="U337" s="195"/>
      <c r="V337" s="191"/>
      <c r="W337" s="192"/>
      <c r="X337" s="192"/>
      <c r="Y337" s="192"/>
      <c r="Z337" s="191"/>
      <c r="AA337" s="191"/>
      <c r="AB337" s="193"/>
      <c r="AC337" s="193"/>
      <c r="AD337" s="191"/>
      <c r="AE337" s="194"/>
      <c r="AF337" s="194"/>
      <c r="AG337" s="194"/>
      <c r="AH337" s="194"/>
      <c r="AI337" s="190"/>
    </row>
    <row r="338" ht="16.5" customHeight="1">
      <c r="A338" s="190"/>
      <c r="B338" s="191"/>
      <c r="C338" s="191"/>
      <c r="D338" s="191"/>
      <c r="E338" s="192"/>
      <c r="F338" s="192"/>
      <c r="G338" s="192"/>
      <c r="H338" s="192"/>
      <c r="I338" s="192"/>
      <c r="J338" s="193"/>
      <c r="K338" s="192"/>
      <c r="L338" s="190"/>
      <c r="M338" s="194"/>
      <c r="N338" s="194"/>
      <c r="O338" s="194"/>
      <c r="P338" s="194"/>
      <c r="Q338" s="194"/>
      <c r="R338" s="194"/>
      <c r="S338" s="195"/>
      <c r="T338" s="195"/>
      <c r="U338" s="195"/>
      <c r="V338" s="191"/>
      <c r="W338" s="192"/>
      <c r="X338" s="192"/>
      <c r="Y338" s="192"/>
      <c r="Z338" s="191"/>
      <c r="AA338" s="191"/>
      <c r="AB338" s="193"/>
      <c r="AC338" s="193"/>
      <c r="AD338" s="191"/>
      <c r="AE338" s="194"/>
      <c r="AF338" s="194"/>
      <c r="AG338" s="194"/>
      <c r="AH338" s="194"/>
      <c r="AI338" s="190"/>
    </row>
    <row r="339" ht="16.5" customHeight="1">
      <c r="A339" s="190"/>
      <c r="B339" s="191"/>
      <c r="C339" s="191"/>
      <c r="D339" s="191"/>
      <c r="E339" s="192"/>
      <c r="F339" s="192"/>
      <c r="G339" s="192"/>
      <c r="H339" s="192"/>
      <c r="I339" s="192"/>
      <c r="J339" s="193"/>
      <c r="K339" s="192"/>
      <c r="L339" s="190"/>
      <c r="M339" s="194"/>
      <c r="N339" s="194"/>
      <c r="O339" s="194"/>
      <c r="P339" s="194"/>
      <c r="Q339" s="194"/>
      <c r="R339" s="194"/>
      <c r="S339" s="195"/>
      <c r="T339" s="195"/>
      <c r="U339" s="195"/>
      <c r="V339" s="191"/>
      <c r="W339" s="192"/>
      <c r="X339" s="192"/>
      <c r="Y339" s="192"/>
      <c r="Z339" s="191"/>
      <c r="AA339" s="191"/>
      <c r="AB339" s="193"/>
      <c r="AC339" s="193"/>
      <c r="AD339" s="191"/>
      <c r="AE339" s="194"/>
      <c r="AF339" s="194"/>
      <c r="AG339" s="194"/>
      <c r="AH339" s="194"/>
      <c r="AI339" s="190"/>
    </row>
    <row r="340" ht="16.5" customHeight="1">
      <c r="A340" s="190"/>
      <c r="B340" s="191"/>
      <c r="C340" s="191"/>
      <c r="D340" s="191"/>
      <c r="E340" s="192"/>
      <c r="F340" s="192"/>
      <c r="G340" s="192"/>
      <c r="H340" s="192"/>
      <c r="I340" s="192"/>
      <c r="J340" s="193"/>
      <c r="K340" s="192"/>
      <c r="L340" s="190"/>
      <c r="M340" s="194"/>
      <c r="N340" s="194"/>
      <c r="O340" s="194"/>
      <c r="P340" s="194"/>
      <c r="Q340" s="194"/>
      <c r="R340" s="194"/>
      <c r="S340" s="195"/>
      <c r="T340" s="195"/>
      <c r="U340" s="195"/>
      <c r="V340" s="191"/>
      <c r="W340" s="192"/>
      <c r="X340" s="192"/>
      <c r="Y340" s="192"/>
      <c r="Z340" s="191"/>
      <c r="AA340" s="191"/>
      <c r="AB340" s="193"/>
      <c r="AC340" s="193"/>
      <c r="AD340" s="191"/>
      <c r="AE340" s="194"/>
      <c r="AF340" s="194"/>
      <c r="AG340" s="194"/>
      <c r="AH340" s="194"/>
      <c r="AI340" s="190"/>
    </row>
    <row r="341" ht="16.5" customHeight="1">
      <c r="A341" s="190"/>
      <c r="B341" s="191"/>
      <c r="C341" s="191"/>
      <c r="D341" s="191"/>
      <c r="E341" s="192"/>
      <c r="F341" s="192"/>
      <c r="G341" s="192"/>
      <c r="H341" s="192"/>
      <c r="I341" s="192"/>
      <c r="J341" s="193"/>
      <c r="K341" s="192"/>
      <c r="L341" s="190"/>
      <c r="M341" s="194"/>
      <c r="N341" s="194"/>
      <c r="O341" s="194"/>
      <c r="P341" s="194"/>
      <c r="Q341" s="194"/>
      <c r="R341" s="194"/>
      <c r="S341" s="195"/>
      <c r="T341" s="195"/>
      <c r="U341" s="195"/>
      <c r="V341" s="191"/>
      <c r="W341" s="192"/>
      <c r="X341" s="192"/>
      <c r="Y341" s="192"/>
      <c r="Z341" s="191"/>
      <c r="AA341" s="191"/>
      <c r="AB341" s="193"/>
      <c r="AC341" s="193"/>
      <c r="AD341" s="191"/>
      <c r="AE341" s="194"/>
      <c r="AF341" s="194"/>
      <c r="AG341" s="194"/>
      <c r="AH341" s="194"/>
      <c r="AI341" s="190"/>
    </row>
    <row r="342" ht="16.5" customHeight="1">
      <c r="A342" s="190"/>
      <c r="B342" s="191"/>
      <c r="C342" s="191"/>
      <c r="D342" s="191"/>
      <c r="E342" s="192"/>
      <c r="F342" s="192"/>
      <c r="G342" s="192"/>
      <c r="H342" s="192"/>
      <c r="I342" s="192"/>
      <c r="J342" s="193"/>
      <c r="K342" s="192"/>
      <c r="L342" s="190"/>
      <c r="M342" s="194"/>
      <c r="N342" s="194"/>
      <c r="O342" s="194"/>
      <c r="P342" s="194"/>
      <c r="Q342" s="194"/>
      <c r="R342" s="194"/>
      <c r="S342" s="195"/>
      <c r="T342" s="195"/>
      <c r="U342" s="195"/>
      <c r="V342" s="191"/>
      <c r="W342" s="192"/>
      <c r="X342" s="192"/>
      <c r="Y342" s="192"/>
      <c r="Z342" s="191"/>
      <c r="AA342" s="191"/>
      <c r="AB342" s="193"/>
      <c r="AC342" s="193"/>
      <c r="AD342" s="191"/>
      <c r="AE342" s="194"/>
      <c r="AF342" s="194"/>
      <c r="AG342" s="194"/>
      <c r="AH342" s="194"/>
      <c r="AI342" s="190"/>
    </row>
    <row r="343" ht="16.5" customHeight="1">
      <c r="A343" s="190"/>
      <c r="B343" s="191"/>
      <c r="C343" s="191"/>
      <c r="D343" s="191"/>
      <c r="E343" s="192"/>
      <c r="F343" s="192"/>
      <c r="G343" s="192"/>
      <c r="H343" s="192"/>
      <c r="I343" s="192"/>
      <c r="J343" s="193"/>
      <c r="K343" s="192"/>
      <c r="L343" s="190"/>
      <c r="M343" s="194"/>
      <c r="N343" s="194"/>
      <c r="O343" s="194"/>
      <c r="P343" s="194"/>
      <c r="Q343" s="194"/>
      <c r="R343" s="194"/>
      <c r="S343" s="195"/>
      <c r="T343" s="195"/>
      <c r="U343" s="195"/>
      <c r="V343" s="191"/>
      <c r="W343" s="192"/>
      <c r="X343" s="192"/>
      <c r="Y343" s="192"/>
      <c r="Z343" s="191"/>
      <c r="AA343" s="191"/>
      <c r="AB343" s="193"/>
      <c r="AC343" s="193"/>
      <c r="AD343" s="191"/>
      <c r="AE343" s="194"/>
      <c r="AF343" s="194"/>
      <c r="AG343" s="194"/>
      <c r="AH343" s="194"/>
      <c r="AI343" s="190"/>
    </row>
    <row r="344" ht="16.5" customHeight="1">
      <c r="A344" s="190"/>
      <c r="B344" s="191"/>
      <c r="C344" s="191"/>
      <c r="D344" s="191"/>
      <c r="E344" s="192"/>
      <c r="F344" s="192"/>
      <c r="G344" s="192"/>
      <c r="H344" s="192"/>
      <c r="I344" s="192"/>
      <c r="J344" s="193"/>
      <c r="K344" s="192"/>
      <c r="L344" s="190"/>
      <c r="M344" s="194"/>
      <c r="N344" s="194"/>
      <c r="O344" s="194"/>
      <c r="P344" s="194"/>
      <c r="Q344" s="194"/>
      <c r="R344" s="194"/>
      <c r="S344" s="195"/>
      <c r="T344" s="195"/>
      <c r="U344" s="195"/>
      <c r="V344" s="191"/>
      <c r="W344" s="192"/>
      <c r="X344" s="192"/>
      <c r="Y344" s="192"/>
      <c r="Z344" s="191"/>
      <c r="AA344" s="191"/>
      <c r="AB344" s="193"/>
      <c r="AC344" s="193"/>
      <c r="AD344" s="191"/>
      <c r="AE344" s="194"/>
      <c r="AF344" s="194"/>
      <c r="AG344" s="194"/>
      <c r="AH344" s="194"/>
      <c r="AI344" s="190"/>
    </row>
    <row r="345" ht="16.5" customHeight="1">
      <c r="A345" s="190"/>
      <c r="B345" s="191"/>
      <c r="C345" s="191"/>
      <c r="D345" s="191"/>
      <c r="E345" s="192"/>
      <c r="F345" s="192"/>
      <c r="G345" s="192"/>
      <c r="H345" s="192"/>
      <c r="I345" s="192"/>
      <c r="J345" s="193"/>
      <c r="K345" s="192"/>
      <c r="L345" s="190"/>
      <c r="M345" s="194"/>
      <c r="N345" s="194"/>
      <c r="O345" s="194"/>
      <c r="P345" s="194"/>
      <c r="Q345" s="194"/>
      <c r="R345" s="194"/>
      <c r="S345" s="195"/>
      <c r="T345" s="195"/>
      <c r="U345" s="195"/>
      <c r="V345" s="191"/>
      <c r="W345" s="192"/>
      <c r="X345" s="192"/>
      <c r="Y345" s="192"/>
      <c r="Z345" s="191"/>
      <c r="AA345" s="191"/>
      <c r="AB345" s="193"/>
      <c r="AC345" s="193"/>
      <c r="AD345" s="191"/>
      <c r="AE345" s="194"/>
      <c r="AF345" s="194"/>
      <c r="AG345" s="194"/>
      <c r="AH345" s="194"/>
      <c r="AI345" s="190"/>
    </row>
    <row r="346" ht="16.5" customHeight="1">
      <c r="A346" s="190"/>
      <c r="B346" s="191"/>
      <c r="C346" s="191"/>
      <c r="D346" s="191"/>
      <c r="E346" s="192"/>
      <c r="F346" s="192"/>
      <c r="G346" s="192"/>
      <c r="H346" s="192"/>
      <c r="I346" s="192"/>
      <c r="J346" s="193"/>
      <c r="K346" s="192"/>
      <c r="L346" s="190"/>
      <c r="M346" s="194"/>
      <c r="N346" s="194"/>
      <c r="O346" s="194"/>
      <c r="P346" s="194"/>
      <c r="Q346" s="194"/>
      <c r="R346" s="194"/>
      <c r="S346" s="195"/>
      <c r="T346" s="195"/>
      <c r="U346" s="195"/>
      <c r="V346" s="191"/>
      <c r="W346" s="192"/>
      <c r="X346" s="192"/>
      <c r="Y346" s="192"/>
      <c r="Z346" s="191"/>
      <c r="AA346" s="191"/>
      <c r="AB346" s="193"/>
      <c r="AC346" s="193"/>
      <c r="AD346" s="191"/>
      <c r="AE346" s="194"/>
      <c r="AF346" s="194"/>
      <c r="AG346" s="194"/>
      <c r="AH346" s="194"/>
      <c r="AI346" s="190"/>
    </row>
    <row r="347" ht="16.5" customHeight="1">
      <c r="A347" s="190"/>
      <c r="B347" s="191"/>
      <c r="C347" s="191"/>
      <c r="D347" s="191"/>
      <c r="E347" s="192"/>
      <c r="F347" s="192"/>
      <c r="G347" s="192"/>
      <c r="H347" s="192"/>
      <c r="I347" s="192"/>
      <c r="J347" s="193"/>
      <c r="K347" s="192"/>
      <c r="L347" s="190"/>
      <c r="M347" s="194"/>
      <c r="N347" s="194"/>
      <c r="O347" s="194"/>
      <c r="P347" s="194"/>
      <c r="Q347" s="194"/>
      <c r="R347" s="194"/>
      <c r="S347" s="195"/>
      <c r="T347" s="195"/>
      <c r="U347" s="195"/>
      <c r="V347" s="191"/>
      <c r="W347" s="192"/>
      <c r="X347" s="192"/>
      <c r="Y347" s="192"/>
      <c r="Z347" s="191"/>
      <c r="AA347" s="191"/>
      <c r="AB347" s="193"/>
      <c r="AC347" s="193"/>
      <c r="AD347" s="191"/>
      <c r="AE347" s="194"/>
      <c r="AF347" s="194"/>
      <c r="AG347" s="194"/>
      <c r="AH347" s="194"/>
      <c r="AI347" s="190"/>
    </row>
    <row r="348" ht="16.5" customHeight="1">
      <c r="A348" s="190"/>
      <c r="B348" s="191"/>
      <c r="C348" s="191"/>
      <c r="D348" s="191"/>
      <c r="E348" s="192"/>
      <c r="F348" s="192"/>
      <c r="G348" s="192"/>
      <c r="H348" s="192"/>
      <c r="I348" s="192"/>
      <c r="J348" s="193"/>
      <c r="K348" s="192"/>
      <c r="L348" s="190"/>
      <c r="M348" s="194"/>
      <c r="N348" s="194"/>
      <c r="O348" s="194"/>
      <c r="P348" s="194"/>
      <c r="Q348" s="194"/>
      <c r="R348" s="194"/>
      <c r="S348" s="195"/>
      <c r="T348" s="195"/>
      <c r="U348" s="195"/>
      <c r="V348" s="191"/>
      <c r="W348" s="192"/>
      <c r="X348" s="192"/>
      <c r="Y348" s="192"/>
      <c r="Z348" s="191"/>
      <c r="AA348" s="191"/>
      <c r="AB348" s="193"/>
      <c r="AC348" s="193"/>
      <c r="AD348" s="191"/>
      <c r="AE348" s="194"/>
      <c r="AF348" s="194"/>
      <c r="AG348" s="194"/>
      <c r="AH348" s="194"/>
      <c r="AI348" s="190"/>
    </row>
    <row r="349" ht="16.5" customHeight="1">
      <c r="A349" s="190"/>
      <c r="B349" s="191"/>
      <c r="C349" s="191"/>
      <c r="D349" s="191"/>
      <c r="E349" s="192"/>
      <c r="F349" s="192"/>
      <c r="G349" s="192"/>
      <c r="H349" s="192"/>
      <c r="I349" s="192"/>
      <c r="J349" s="193"/>
      <c r="K349" s="192"/>
      <c r="L349" s="190"/>
      <c r="M349" s="194"/>
      <c r="N349" s="194"/>
      <c r="O349" s="194"/>
      <c r="P349" s="194"/>
      <c r="Q349" s="194"/>
      <c r="R349" s="194"/>
      <c r="S349" s="195"/>
      <c r="T349" s="195"/>
      <c r="U349" s="195"/>
      <c r="V349" s="191"/>
      <c r="W349" s="192"/>
      <c r="X349" s="192"/>
      <c r="Y349" s="192"/>
      <c r="Z349" s="191"/>
      <c r="AA349" s="191"/>
      <c r="AB349" s="193"/>
      <c r="AC349" s="193"/>
      <c r="AD349" s="191"/>
      <c r="AE349" s="194"/>
      <c r="AF349" s="194"/>
      <c r="AG349" s="194"/>
      <c r="AH349" s="194"/>
      <c r="AI349" s="190"/>
    </row>
    <row r="350" ht="16.5" customHeight="1">
      <c r="A350" s="190"/>
      <c r="B350" s="191"/>
      <c r="C350" s="191"/>
      <c r="D350" s="191"/>
      <c r="E350" s="192"/>
      <c r="F350" s="192"/>
      <c r="G350" s="192"/>
      <c r="H350" s="192"/>
      <c r="I350" s="192"/>
      <c r="J350" s="193"/>
      <c r="K350" s="192"/>
      <c r="L350" s="190"/>
      <c r="M350" s="194"/>
      <c r="N350" s="194"/>
      <c r="O350" s="194"/>
      <c r="P350" s="194"/>
      <c r="Q350" s="194"/>
      <c r="R350" s="194"/>
      <c r="S350" s="195"/>
      <c r="T350" s="195"/>
      <c r="U350" s="195"/>
      <c r="V350" s="191"/>
      <c r="W350" s="192"/>
      <c r="X350" s="192"/>
      <c r="Y350" s="192"/>
      <c r="Z350" s="191"/>
      <c r="AA350" s="191"/>
      <c r="AB350" s="193"/>
      <c r="AC350" s="193"/>
      <c r="AD350" s="191"/>
      <c r="AE350" s="194"/>
      <c r="AF350" s="194"/>
      <c r="AG350" s="194"/>
      <c r="AH350" s="194"/>
      <c r="AI350" s="190"/>
    </row>
    <row r="351" ht="16.5" customHeight="1">
      <c r="A351" s="190"/>
      <c r="B351" s="191"/>
      <c r="C351" s="191"/>
      <c r="D351" s="191"/>
      <c r="E351" s="192"/>
      <c r="F351" s="192"/>
      <c r="G351" s="192"/>
      <c r="H351" s="192"/>
      <c r="I351" s="192"/>
      <c r="J351" s="193"/>
      <c r="K351" s="192"/>
      <c r="L351" s="190"/>
      <c r="M351" s="194"/>
      <c r="N351" s="194"/>
      <c r="O351" s="194"/>
      <c r="P351" s="194"/>
      <c r="Q351" s="194"/>
      <c r="R351" s="194"/>
      <c r="S351" s="195"/>
      <c r="T351" s="195"/>
      <c r="U351" s="195"/>
      <c r="V351" s="191"/>
      <c r="W351" s="192"/>
      <c r="X351" s="192"/>
      <c r="Y351" s="192"/>
      <c r="Z351" s="191"/>
      <c r="AA351" s="191"/>
      <c r="AB351" s="193"/>
      <c r="AC351" s="193"/>
      <c r="AD351" s="191"/>
      <c r="AE351" s="194"/>
      <c r="AF351" s="194"/>
      <c r="AG351" s="194"/>
      <c r="AH351" s="194"/>
      <c r="AI351" s="190"/>
    </row>
    <row r="352" ht="16.5" customHeight="1">
      <c r="A352" s="190"/>
      <c r="B352" s="191"/>
      <c r="C352" s="191"/>
      <c r="D352" s="191"/>
      <c r="E352" s="192"/>
      <c r="F352" s="192"/>
      <c r="G352" s="192"/>
      <c r="H352" s="192"/>
      <c r="I352" s="192"/>
      <c r="J352" s="193"/>
      <c r="K352" s="192"/>
      <c r="L352" s="190"/>
      <c r="M352" s="194"/>
      <c r="N352" s="194"/>
      <c r="O352" s="194"/>
      <c r="P352" s="194"/>
      <c r="Q352" s="194"/>
      <c r="R352" s="194"/>
      <c r="S352" s="195"/>
      <c r="T352" s="195"/>
      <c r="U352" s="195"/>
      <c r="V352" s="191"/>
      <c r="W352" s="192"/>
      <c r="X352" s="192"/>
      <c r="Y352" s="192"/>
      <c r="Z352" s="191"/>
      <c r="AA352" s="191"/>
      <c r="AB352" s="193"/>
      <c r="AC352" s="193"/>
      <c r="AD352" s="191"/>
      <c r="AE352" s="194"/>
      <c r="AF352" s="194"/>
      <c r="AG352" s="194"/>
      <c r="AH352" s="194"/>
      <c r="AI352" s="190"/>
    </row>
    <row r="353" ht="16.5" customHeight="1">
      <c r="A353" s="190"/>
      <c r="B353" s="191"/>
      <c r="C353" s="191"/>
      <c r="D353" s="191"/>
      <c r="E353" s="192"/>
      <c r="F353" s="192"/>
      <c r="G353" s="192"/>
      <c r="H353" s="192"/>
      <c r="I353" s="192"/>
      <c r="J353" s="193"/>
      <c r="K353" s="192"/>
      <c r="L353" s="190"/>
      <c r="M353" s="194"/>
      <c r="N353" s="194"/>
      <c r="O353" s="194"/>
      <c r="P353" s="194"/>
      <c r="Q353" s="194"/>
      <c r="R353" s="194"/>
      <c r="S353" s="195"/>
      <c r="T353" s="195"/>
      <c r="U353" s="195"/>
      <c r="V353" s="191"/>
      <c r="W353" s="192"/>
      <c r="X353" s="192"/>
      <c r="Y353" s="192"/>
      <c r="Z353" s="191"/>
      <c r="AA353" s="191"/>
      <c r="AB353" s="193"/>
      <c r="AC353" s="193"/>
      <c r="AD353" s="191"/>
      <c r="AE353" s="194"/>
      <c r="AF353" s="194"/>
      <c r="AG353" s="194"/>
      <c r="AH353" s="194"/>
      <c r="AI353" s="190"/>
    </row>
    <row r="354" ht="16.5" customHeight="1">
      <c r="A354" s="190"/>
      <c r="B354" s="191"/>
      <c r="C354" s="191"/>
      <c r="D354" s="191"/>
      <c r="E354" s="192"/>
      <c r="F354" s="192"/>
      <c r="G354" s="192"/>
      <c r="H354" s="192"/>
      <c r="I354" s="192"/>
      <c r="J354" s="193"/>
      <c r="K354" s="192"/>
      <c r="L354" s="190"/>
      <c r="M354" s="194"/>
      <c r="N354" s="194"/>
      <c r="O354" s="194"/>
      <c r="P354" s="194"/>
      <c r="Q354" s="194"/>
      <c r="R354" s="194"/>
      <c r="S354" s="195"/>
      <c r="T354" s="195"/>
      <c r="U354" s="195"/>
      <c r="V354" s="191"/>
      <c r="W354" s="192"/>
      <c r="X354" s="192"/>
      <c r="Y354" s="192"/>
      <c r="Z354" s="191"/>
      <c r="AA354" s="191"/>
      <c r="AB354" s="193"/>
      <c r="AC354" s="193"/>
      <c r="AD354" s="191"/>
      <c r="AE354" s="194"/>
      <c r="AF354" s="194"/>
      <c r="AG354" s="194"/>
      <c r="AH354" s="194"/>
      <c r="AI354" s="190"/>
    </row>
    <row r="355" ht="16.5" customHeight="1">
      <c r="A355" s="190"/>
      <c r="B355" s="191"/>
      <c r="C355" s="191"/>
      <c r="D355" s="191"/>
      <c r="E355" s="192"/>
      <c r="F355" s="192"/>
      <c r="G355" s="192"/>
      <c r="H355" s="192"/>
      <c r="I355" s="192"/>
      <c r="J355" s="193"/>
      <c r="K355" s="192"/>
      <c r="L355" s="190"/>
      <c r="M355" s="194"/>
      <c r="N355" s="194"/>
      <c r="O355" s="194"/>
      <c r="P355" s="194"/>
      <c r="Q355" s="194"/>
      <c r="R355" s="194"/>
      <c r="S355" s="195"/>
      <c r="T355" s="195"/>
      <c r="U355" s="195"/>
      <c r="V355" s="191"/>
      <c r="W355" s="192"/>
      <c r="X355" s="192"/>
      <c r="Y355" s="192"/>
      <c r="Z355" s="191"/>
      <c r="AA355" s="191"/>
      <c r="AB355" s="193"/>
      <c r="AC355" s="193"/>
      <c r="AD355" s="191"/>
      <c r="AE355" s="194"/>
      <c r="AF355" s="194"/>
      <c r="AG355" s="194"/>
      <c r="AH355" s="194"/>
      <c r="AI355" s="190"/>
    </row>
    <row r="356" ht="16.5" customHeight="1">
      <c r="A356" s="190"/>
      <c r="B356" s="191"/>
      <c r="C356" s="191"/>
      <c r="D356" s="191"/>
      <c r="E356" s="192"/>
      <c r="F356" s="192"/>
      <c r="G356" s="192"/>
      <c r="H356" s="192"/>
      <c r="I356" s="192"/>
      <c r="J356" s="193"/>
      <c r="K356" s="192"/>
      <c r="L356" s="190"/>
      <c r="M356" s="194"/>
      <c r="N356" s="194"/>
      <c r="O356" s="194"/>
      <c r="P356" s="194"/>
      <c r="Q356" s="194"/>
      <c r="R356" s="194"/>
      <c r="S356" s="195"/>
      <c r="T356" s="195"/>
      <c r="U356" s="195"/>
      <c r="V356" s="191"/>
      <c r="W356" s="192"/>
      <c r="X356" s="192"/>
      <c r="Y356" s="192"/>
      <c r="Z356" s="191"/>
      <c r="AA356" s="191"/>
      <c r="AB356" s="193"/>
      <c r="AC356" s="193"/>
      <c r="AD356" s="191"/>
      <c r="AE356" s="194"/>
      <c r="AF356" s="194"/>
      <c r="AG356" s="194"/>
      <c r="AH356" s="194"/>
      <c r="AI356" s="190"/>
    </row>
    <row r="357" ht="16.5" customHeight="1">
      <c r="A357" s="190"/>
      <c r="B357" s="191"/>
      <c r="C357" s="191"/>
      <c r="D357" s="191"/>
      <c r="E357" s="192"/>
      <c r="F357" s="192"/>
      <c r="G357" s="192"/>
      <c r="H357" s="192"/>
      <c r="I357" s="192"/>
      <c r="J357" s="193"/>
      <c r="K357" s="192"/>
      <c r="L357" s="190"/>
      <c r="M357" s="194"/>
      <c r="N357" s="194"/>
      <c r="O357" s="194"/>
      <c r="P357" s="194"/>
      <c r="Q357" s="194"/>
      <c r="R357" s="194"/>
      <c r="S357" s="195"/>
      <c r="T357" s="195"/>
      <c r="U357" s="195"/>
      <c r="V357" s="191"/>
      <c r="W357" s="192"/>
      <c r="X357" s="192"/>
      <c r="Y357" s="192"/>
      <c r="Z357" s="191"/>
      <c r="AA357" s="191"/>
      <c r="AB357" s="193"/>
      <c r="AC357" s="193"/>
      <c r="AD357" s="191"/>
      <c r="AE357" s="194"/>
      <c r="AF357" s="194"/>
      <c r="AG357" s="194"/>
      <c r="AH357" s="194"/>
      <c r="AI357" s="190"/>
    </row>
    <row r="358" ht="16.5" customHeight="1">
      <c r="A358" s="190"/>
      <c r="B358" s="191"/>
      <c r="C358" s="191"/>
      <c r="D358" s="191"/>
      <c r="E358" s="192"/>
      <c r="F358" s="192"/>
      <c r="G358" s="192"/>
      <c r="H358" s="192"/>
      <c r="I358" s="192"/>
      <c r="J358" s="193"/>
      <c r="K358" s="192"/>
      <c r="L358" s="190"/>
      <c r="M358" s="194"/>
      <c r="N358" s="194"/>
      <c r="O358" s="194"/>
      <c r="P358" s="194"/>
      <c r="Q358" s="194"/>
      <c r="R358" s="194"/>
      <c r="S358" s="195"/>
      <c r="T358" s="195"/>
      <c r="U358" s="195"/>
      <c r="V358" s="191"/>
      <c r="W358" s="192"/>
      <c r="X358" s="192"/>
      <c r="Y358" s="192"/>
      <c r="Z358" s="191"/>
      <c r="AA358" s="191"/>
      <c r="AB358" s="193"/>
      <c r="AC358" s="193"/>
      <c r="AD358" s="191"/>
      <c r="AE358" s="194"/>
      <c r="AF358" s="194"/>
      <c r="AG358" s="194"/>
      <c r="AH358" s="194"/>
      <c r="AI358" s="190"/>
    </row>
    <row r="359" ht="16.5" customHeight="1">
      <c r="A359" s="190"/>
      <c r="B359" s="191"/>
      <c r="C359" s="191"/>
      <c r="D359" s="191"/>
      <c r="E359" s="192"/>
      <c r="F359" s="192"/>
      <c r="G359" s="192"/>
      <c r="H359" s="192"/>
      <c r="I359" s="192"/>
      <c r="J359" s="193"/>
      <c r="K359" s="192"/>
      <c r="L359" s="190"/>
      <c r="M359" s="194"/>
      <c r="N359" s="194"/>
      <c r="O359" s="194"/>
      <c r="P359" s="194"/>
      <c r="Q359" s="194"/>
      <c r="R359" s="194"/>
      <c r="S359" s="195"/>
      <c r="T359" s="195"/>
      <c r="U359" s="195"/>
      <c r="V359" s="191"/>
      <c r="W359" s="192"/>
      <c r="X359" s="192"/>
      <c r="Y359" s="192"/>
      <c r="Z359" s="191"/>
      <c r="AA359" s="191"/>
      <c r="AB359" s="193"/>
      <c r="AC359" s="193"/>
      <c r="AD359" s="191"/>
      <c r="AE359" s="194"/>
      <c r="AF359" s="194"/>
      <c r="AG359" s="194"/>
      <c r="AH359" s="194"/>
      <c r="AI359" s="190"/>
    </row>
    <row r="360" ht="16.5" customHeight="1">
      <c r="A360" s="190"/>
      <c r="B360" s="191"/>
      <c r="C360" s="191"/>
      <c r="D360" s="191"/>
      <c r="E360" s="192"/>
      <c r="F360" s="192"/>
      <c r="G360" s="192"/>
      <c r="H360" s="192"/>
      <c r="I360" s="192"/>
      <c r="J360" s="193"/>
      <c r="K360" s="192"/>
      <c r="L360" s="190"/>
      <c r="M360" s="194"/>
      <c r="N360" s="194"/>
      <c r="O360" s="194"/>
      <c r="P360" s="194"/>
      <c r="Q360" s="194"/>
      <c r="R360" s="194"/>
      <c r="S360" s="195"/>
      <c r="T360" s="195"/>
      <c r="U360" s="195"/>
      <c r="V360" s="191"/>
      <c r="W360" s="192"/>
      <c r="X360" s="192"/>
      <c r="Y360" s="192"/>
      <c r="Z360" s="191"/>
      <c r="AA360" s="191"/>
      <c r="AB360" s="193"/>
      <c r="AC360" s="193"/>
      <c r="AD360" s="191"/>
      <c r="AE360" s="194"/>
      <c r="AF360" s="194"/>
      <c r="AG360" s="194"/>
      <c r="AH360" s="194"/>
      <c r="AI360" s="190"/>
    </row>
    <row r="361" ht="16.5" customHeight="1">
      <c r="A361" s="190"/>
      <c r="B361" s="191"/>
      <c r="C361" s="191"/>
      <c r="D361" s="191"/>
      <c r="E361" s="192"/>
      <c r="F361" s="192"/>
      <c r="G361" s="192"/>
      <c r="H361" s="192"/>
      <c r="I361" s="192"/>
      <c r="J361" s="193"/>
      <c r="K361" s="192"/>
      <c r="L361" s="190"/>
      <c r="M361" s="194"/>
      <c r="N361" s="194"/>
      <c r="O361" s="194"/>
      <c r="P361" s="194"/>
      <c r="Q361" s="194"/>
      <c r="R361" s="194"/>
      <c r="S361" s="195"/>
      <c r="T361" s="195"/>
      <c r="U361" s="195"/>
      <c r="V361" s="191"/>
      <c r="W361" s="192"/>
      <c r="X361" s="192"/>
      <c r="Y361" s="192"/>
      <c r="Z361" s="191"/>
      <c r="AA361" s="191"/>
      <c r="AB361" s="193"/>
      <c r="AC361" s="193"/>
      <c r="AD361" s="191"/>
      <c r="AE361" s="194"/>
      <c r="AF361" s="194"/>
      <c r="AG361" s="194"/>
      <c r="AH361" s="194"/>
      <c r="AI361" s="190"/>
    </row>
    <row r="362" ht="16.5" customHeight="1">
      <c r="A362" s="190"/>
      <c r="B362" s="191"/>
      <c r="C362" s="191"/>
      <c r="D362" s="191"/>
      <c r="E362" s="192"/>
      <c r="F362" s="192"/>
      <c r="G362" s="192"/>
      <c r="H362" s="192"/>
      <c r="I362" s="192"/>
      <c r="J362" s="193"/>
      <c r="K362" s="192"/>
      <c r="L362" s="190"/>
      <c r="M362" s="194"/>
      <c r="N362" s="194"/>
      <c r="O362" s="194"/>
      <c r="P362" s="194"/>
      <c r="Q362" s="194"/>
      <c r="R362" s="194"/>
      <c r="S362" s="195"/>
      <c r="T362" s="195"/>
      <c r="U362" s="195"/>
      <c r="V362" s="191"/>
      <c r="W362" s="192"/>
      <c r="X362" s="192"/>
      <c r="Y362" s="192"/>
      <c r="Z362" s="191"/>
      <c r="AA362" s="191"/>
      <c r="AB362" s="193"/>
      <c r="AC362" s="193"/>
      <c r="AD362" s="191"/>
      <c r="AE362" s="194"/>
      <c r="AF362" s="194"/>
      <c r="AG362" s="194"/>
      <c r="AH362" s="194"/>
      <c r="AI362" s="190"/>
    </row>
    <row r="363" ht="16.5" customHeight="1">
      <c r="A363" s="190"/>
      <c r="B363" s="191"/>
      <c r="C363" s="191"/>
      <c r="D363" s="191"/>
      <c r="E363" s="192"/>
      <c r="F363" s="192"/>
      <c r="G363" s="192"/>
      <c r="H363" s="192"/>
      <c r="I363" s="192"/>
      <c r="J363" s="193"/>
      <c r="K363" s="192"/>
      <c r="L363" s="190"/>
      <c r="M363" s="194"/>
      <c r="N363" s="194"/>
      <c r="O363" s="194"/>
      <c r="P363" s="194"/>
      <c r="Q363" s="194"/>
      <c r="R363" s="194"/>
      <c r="S363" s="195"/>
      <c r="T363" s="195"/>
      <c r="U363" s="195"/>
      <c r="V363" s="191"/>
      <c r="W363" s="192"/>
      <c r="X363" s="192"/>
      <c r="Y363" s="192"/>
      <c r="Z363" s="191"/>
      <c r="AA363" s="191"/>
      <c r="AB363" s="193"/>
      <c r="AC363" s="193"/>
      <c r="AD363" s="191"/>
      <c r="AE363" s="194"/>
      <c r="AF363" s="194"/>
      <c r="AG363" s="194"/>
      <c r="AH363" s="194"/>
      <c r="AI363" s="190"/>
    </row>
    <row r="364" ht="16.5" customHeight="1">
      <c r="A364" s="190"/>
      <c r="B364" s="191"/>
      <c r="C364" s="191"/>
      <c r="D364" s="191"/>
      <c r="E364" s="192"/>
      <c r="F364" s="192"/>
      <c r="G364" s="192"/>
      <c r="H364" s="192"/>
      <c r="I364" s="192"/>
      <c r="J364" s="193"/>
      <c r="K364" s="192"/>
      <c r="L364" s="190"/>
      <c r="M364" s="194"/>
      <c r="N364" s="194"/>
      <c r="O364" s="194"/>
      <c r="P364" s="194"/>
      <c r="Q364" s="194"/>
      <c r="R364" s="194"/>
      <c r="S364" s="195"/>
      <c r="T364" s="195"/>
      <c r="U364" s="195"/>
      <c r="V364" s="191"/>
      <c r="W364" s="192"/>
      <c r="X364" s="192"/>
      <c r="Y364" s="192"/>
      <c r="Z364" s="191"/>
      <c r="AA364" s="191"/>
      <c r="AB364" s="193"/>
      <c r="AC364" s="193"/>
      <c r="AD364" s="191"/>
      <c r="AE364" s="194"/>
      <c r="AF364" s="194"/>
      <c r="AG364" s="194"/>
      <c r="AH364" s="194"/>
      <c r="AI364" s="190"/>
    </row>
    <row r="365" ht="16.5" customHeight="1">
      <c r="A365" s="190"/>
      <c r="B365" s="191"/>
      <c r="C365" s="191"/>
      <c r="D365" s="191"/>
      <c r="E365" s="192"/>
      <c r="F365" s="192"/>
      <c r="G365" s="192"/>
      <c r="H365" s="192"/>
      <c r="I365" s="192"/>
      <c r="J365" s="193"/>
      <c r="K365" s="192"/>
      <c r="L365" s="190"/>
      <c r="M365" s="194"/>
      <c r="N365" s="194"/>
      <c r="O365" s="194"/>
      <c r="P365" s="194"/>
      <c r="Q365" s="194"/>
      <c r="R365" s="194"/>
      <c r="S365" s="195"/>
      <c r="T365" s="195"/>
      <c r="U365" s="195"/>
      <c r="V365" s="191"/>
      <c r="W365" s="192"/>
      <c r="X365" s="192"/>
      <c r="Y365" s="192"/>
      <c r="Z365" s="191"/>
      <c r="AA365" s="191"/>
      <c r="AB365" s="193"/>
      <c r="AC365" s="193"/>
      <c r="AD365" s="191"/>
      <c r="AE365" s="194"/>
      <c r="AF365" s="194"/>
      <c r="AG365" s="194"/>
      <c r="AH365" s="194"/>
      <c r="AI365" s="190"/>
    </row>
    <row r="366" ht="16.5" customHeight="1">
      <c r="A366" s="190"/>
      <c r="B366" s="191"/>
      <c r="C366" s="191"/>
      <c r="D366" s="191"/>
      <c r="E366" s="192"/>
      <c r="F366" s="192"/>
      <c r="G366" s="192"/>
      <c r="H366" s="192"/>
      <c r="I366" s="192"/>
      <c r="J366" s="193"/>
      <c r="K366" s="192"/>
      <c r="L366" s="190"/>
      <c r="M366" s="194"/>
      <c r="N366" s="194"/>
      <c r="O366" s="194"/>
      <c r="P366" s="194"/>
      <c r="Q366" s="194"/>
      <c r="R366" s="194"/>
      <c r="S366" s="195"/>
      <c r="T366" s="195"/>
      <c r="U366" s="195"/>
      <c r="V366" s="191"/>
      <c r="W366" s="192"/>
      <c r="X366" s="192"/>
      <c r="Y366" s="192"/>
      <c r="Z366" s="191"/>
      <c r="AA366" s="191"/>
      <c r="AB366" s="193"/>
      <c r="AC366" s="193"/>
      <c r="AD366" s="191"/>
      <c r="AE366" s="194"/>
      <c r="AF366" s="194"/>
      <c r="AG366" s="194"/>
      <c r="AH366" s="194"/>
      <c r="AI366" s="190"/>
    </row>
    <row r="367" ht="16.5" customHeight="1">
      <c r="A367" s="190"/>
      <c r="B367" s="191"/>
      <c r="C367" s="191"/>
      <c r="D367" s="191"/>
      <c r="E367" s="192"/>
      <c r="F367" s="192"/>
      <c r="G367" s="192"/>
      <c r="H367" s="192"/>
      <c r="I367" s="192"/>
      <c r="J367" s="193"/>
      <c r="K367" s="192"/>
      <c r="L367" s="190"/>
      <c r="M367" s="194"/>
      <c r="N367" s="194"/>
      <c r="O367" s="194"/>
      <c r="P367" s="194"/>
      <c r="Q367" s="194"/>
      <c r="R367" s="194"/>
      <c r="S367" s="195"/>
      <c r="T367" s="195"/>
      <c r="U367" s="195"/>
      <c r="V367" s="191"/>
      <c r="W367" s="192"/>
      <c r="X367" s="192"/>
      <c r="Y367" s="192"/>
      <c r="Z367" s="191"/>
      <c r="AA367" s="191"/>
      <c r="AB367" s="193"/>
      <c r="AC367" s="193"/>
      <c r="AD367" s="191"/>
      <c r="AE367" s="194"/>
      <c r="AF367" s="194"/>
      <c r="AG367" s="194"/>
      <c r="AH367" s="194"/>
      <c r="AI367" s="190"/>
    </row>
    <row r="368" ht="16.5" customHeight="1">
      <c r="A368" s="190"/>
      <c r="B368" s="191"/>
      <c r="C368" s="191"/>
      <c r="D368" s="191"/>
      <c r="E368" s="192"/>
      <c r="F368" s="192"/>
      <c r="G368" s="192"/>
      <c r="H368" s="192"/>
      <c r="I368" s="192"/>
      <c r="J368" s="193"/>
      <c r="K368" s="192"/>
      <c r="L368" s="190"/>
      <c r="M368" s="194"/>
      <c r="N368" s="194"/>
      <c r="O368" s="194"/>
      <c r="P368" s="194"/>
      <c r="Q368" s="194"/>
      <c r="R368" s="194"/>
      <c r="S368" s="195"/>
      <c r="T368" s="195"/>
      <c r="U368" s="195"/>
      <c r="V368" s="191"/>
      <c r="W368" s="192"/>
      <c r="X368" s="192"/>
      <c r="Y368" s="192"/>
      <c r="Z368" s="191"/>
      <c r="AA368" s="191"/>
      <c r="AB368" s="193"/>
      <c r="AC368" s="193"/>
      <c r="AD368" s="191"/>
      <c r="AE368" s="194"/>
      <c r="AF368" s="194"/>
      <c r="AG368" s="194"/>
      <c r="AH368" s="194"/>
      <c r="AI368" s="190"/>
    </row>
    <row r="369" ht="16.5" customHeight="1">
      <c r="A369" s="190"/>
      <c r="B369" s="191"/>
      <c r="C369" s="191"/>
      <c r="D369" s="191"/>
      <c r="E369" s="192"/>
      <c r="F369" s="192"/>
      <c r="G369" s="192"/>
      <c r="H369" s="192"/>
      <c r="I369" s="192"/>
      <c r="J369" s="193"/>
      <c r="K369" s="192"/>
      <c r="L369" s="190"/>
      <c r="M369" s="194"/>
      <c r="N369" s="194"/>
      <c r="O369" s="194"/>
      <c r="P369" s="194"/>
      <c r="Q369" s="194"/>
      <c r="R369" s="194"/>
      <c r="S369" s="195"/>
      <c r="T369" s="195"/>
      <c r="U369" s="195"/>
      <c r="V369" s="191"/>
      <c r="W369" s="192"/>
      <c r="X369" s="192"/>
      <c r="Y369" s="192"/>
      <c r="Z369" s="191"/>
      <c r="AA369" s="191"/>
      <c r="AB369" s="193"/>
      <c r="AC369" s="193"/>
      <c r="AD369" s="191"/>
      <c r="AE369" s="194"/>
      <c r="AF369" s="194"/>
      <c r="AG369" s="194"/>
      <c r="AH369" s="194"/>
      <c r="AI369" s="190"/>
    </row>
    <row r="370" ht="16.5" customHeight="1">
      <c r="A370" s="190"/>
      <c r="B370" s="191"/>
      <c r="C370" s="191"/>
      <c r="D370" s="191"/>
      <c r="E370" s="192"/>
      <c r="F370" s="192"/>
      <c r="G370" s="192"/>
      <c r="H370" s="192"/>
      <c r="I370" s="192"/>
      <c r="J370" s="193"/>
      <c r="K370" s="192"/>
      <c r="L370" s="190"/>
      <c r="M370" s="194"/>
      <c r="N370" s="194"/>
      <c r="O370" s="194"/>
      <c r="P370" s="194"/>
      <c r="Q370" s="194"/>
      <c r="R370" s="194"/>
      <c r="S370" s="195"/>
      <c r="T370" s="195"/>
      <c r="U370" s="195"/>
      <c r="V370" s="191"/>
      <c r="W370" s="192"/>
      <c r="X370" s="192"/>
      <c r="Y370" s="192"/>
      <c r="Z370" s="191"/>
      <c r="AA370" s="191"/>
      <c r="AB370" s="193"/>
      <c r="AC370" s="193"/>
      <c r="AD370" s="191"/>
      <c r="AE370" s="194"/>
      <c r="AF370" s="194"/>
      <c r="AG370" s="194"/>
      <c r="AH370" s="194"/>
      <c r="AI370" s="190"/>
    </row>
    <row r="371" ht="16.5" customHeight="1">
      <c r="A371" s="190"/>
      <c r="B371" s="191"/>
      <c r="C371" s="191"/>
      <c r="D371" s="191"/>
      <c r="E371" s="192"/>
      <c r="F371" s="192"/>
      <c r="G371" s="192"/>
      <c r="H371" s="192"/>
      <c r="I371" s="192"/>
      <c r="J371" s="193"/>
      <c r="K371" s="192"/>
      <c r="L371" s="190"/>
      <c r="M371" s="194"/>
      <c r="N371" s="194"/>
      <c r="O371" s="194"/>
      <c r="P371" s="194"/>
      <c r="Q371" s="194"/>
      <c r="R371" s="194"/>
      <c r="S371" s="195"/>
      <c r="T371" s="195"/>
      <c r="U371" s="195"/>
      <c r="V371" s="191"/>
      <c r="W371" s="192"/>
      <c r="X371" s="192"/>
      <c r="Y371" s="192"/>
      <c r="Z371" s="191"/>
      <c r="AA371" s="191"/>
      <c r="AB371" s="193"/>
      <c r="AC371" s="193"/>
      <c r="AD371" s="191"/>
      <c r="AE371" s="194"/>
      <c r="AF371" s="194"/>
      <c r="AG371" s="194"/>
      <c r="AH371" s="194"/>
      <c r="AI371" s="190"/>
    </row>
    <row r="372" ht="16.5" customHeight="1">
      <c r="A372" s="190"/>
      <c r="B372" s="191"/>
      <c r="C372" s="191"/>
      <c r="D372" s="191"/>
      <c r="E372" s="192"/>
      <c r="F372" s="192"/>
      <c r="G372" s="192"/>
      <c r="H372" s="192"/>
      <c r="I372" s="192"/>
      <c r="J372" s="193"/>
      <c r="K372" s="192"/>
      <c r="L372" s="190"/>
      <c r="M372" s="194"/>
      <c r="N372" s="194"/>
      <c r="O372" s="194"/>
      <c r="P372" s="194"/>
      <c r="Q372" s="194"/>
      <c r="R372" s="194"/>
      <c r="S372" s="195"/>
      <c r="T372" s="195"/>
      <c r="U372" s="195"/>
      <c r="V372" s="191"/>
      <c r="W372" s="192"/>
      <c r="X372" s="192"/>
      <c r="Y372" s="192"/>
      <c r="Z372" s="191"/>
      <c r="AA372" s="191"/>
      <c r="AB372" s="193"/>
      <c r="AC372" s="193"/>
      <c r="AD372" s="191"/>
      <c r="AE372" s="194"/>
      <c r="AF372" s="194"/>
      <c r="AG372" s="194"/>
      <c r="AH372" s="194"/>
      <c r="AI372" s="190"/>
    </row>
    <row r="373" ht="16.5" customHeight="1">
      <c r="A373" s="190"/>
      <c r="B373" s="191"/>
      <c r="C373" s="191"/>
      <c r="D373" s="191"/>
      <c r="E373" s="192"/>
      <c r="F373" s="192"/>
      <c r="G373" s="192"/>
      <c r="H373" s="192"/>
      <c r="I373" s="192"/>
      <c r="J373" s="193"/>
      <c r="K373" s="192"/>
      <c r="L373" s="190"/>
      <c r="M373" s="194"/>
      <c r="N373" s="194"/>
      <c r="O373" s="194"/>
      <c r="P373" s="194"/>
      <c r="Q373" s="194"/>
      <c r="R373" s="194"/>
      <c r="S373" s="195"/>
      <c r="T373" s="195"/>
      <c r="U373" s="195"/>
      <c r="V373" s="191"/>
      <c r="W373" s="192"/>
      <c r="X373" s="192"/>
      <c r="Y373" s="192"/>
      <c r="Z373" s="191"/>
      <c r="AA373" s="191"/>
      <c r="AB373" s="193"/>
      <c r="AC373" s="193"/>
      <c r="AD373" s="191"/>
      <c r="AE373" s="194"/>
      <c r="AF373" s="194"/>
      <c r="AG373" s="194"/>
      <c r="AH373" s="194"/>
      <c r="AI373" s="190"/>
    </row>
    <row r="374" ht="16.5" customHeight="1">
      <c r="A374" s="190"/>
      <c r="B374" s="191"/>
      <c r="C374" s="191"/>
      <c r="D374" s="191"/>
      <c r="E374" s="192"/>
      <c r="F374" s="192"/>
      <c r="G374" s="192"/>
      <c r="H374" s="192"/>
      <c r="I374" s="192"/>
      <c r="J374" s="193"/>
      <c r="K374" s="192"/>
      <c r="L374" s="190"/>
      <c r="M374" s="194"/>
      <c r="N374" s="194"/>
      <c r="O374" s="194"/>
      <c r="P374" s="194"/>
      <c r="Q374" s="194"/>
      <c r="R374" s="194"/>
      <c r="S374" s="195"/>
      <c r="T374" s="195"/>
      <c r="U374" s="195"/>
      <c r="V374" s="191"/>
      <c r="W374" s="192"/>
      <c r="X374" s="192"/>
      <c r="Y374" s="192"/>
      <c r="Z374" s="191"/>
      <c r="AA374" s="191"/>
      <c r="AB374" s="193"/>
      <c r="AC374" s="193"/>
      <c r="AD374" s="191"/>
      <c r="AE374" s="194"/>
      <c r="AF374" s="194"/>
      <c r="AG374" s="194"/>
      <c r="AH374" s="194"/>
      <c r="AI374" s="190"/>
    </row>
    <row r="375" ht="16.5" customHeight="1">
      <c r="A375" s="190"/>
      <c r="B375" s="191"/>
      <c r="C375" s="191"/>
      <c r="D375" s="191"/>
      <c r="E375" s="192"/>
      <c r="F375" s="192"/>
      <c r="G375" s="192"/>
      <c r="H375" s="192"/>
      <c r="I375" s="192"/>
      <c r="J375" s="193"/>
      <c r="K375" s="192"/>
      <c r="L375" s="190"/>
      <c r="M375" s="194"/>
      <c r="N375" s="194"/>
      <c r="O375" s="194"/>
      <c r="P375" s="194"/>
      <c r="Q375" s="194"/>
      <c r="R375" s="194"/>
      <c r="S375" s="195"/>
      <c r="T375" s="195"/>
      <c r="U375" s="195"/>
      <c r="V375" s="191"/>
      <c r="W375" s="192"/>
      <c r="X375" s="192"/>
      <c r="Y375" s="192"/>
      <c r="Z375" s="191"/>
      <c r="AA375" s="191"/>
      <c r="AB375" s="193"/>
      <c r="AC375" s="193"/>
      <c r="AD375" s="191"/>
      <c r="AE375" s="194"/>
      <c r="AF375" s="194"/>
      <c r="AG375" s="194"/>
      <c r="AH375" s="194"/>
      <c r="AI375" s="190"/>
    </row>
    <row r="376" ht="16.5" customHeight="1">
      <c r="A376" s="190"/>
      <c r="B376" s="191"/>
      <c r="C376" s="191"/>
      <c r="D376" s="191"/>
      <c r="E376" s="192"/>
      <c r="F376" s="192"/>
      <c r="G376" s="192"/>
      <c r="H376" s="192"/>
      <c r="I376" s="192"/>
      <c r="J376" s="193"/>
      <c r="K376" s="192"/>
      <c r="L376" s="190"/>
      <c r="M376" s="194"/>
      <c r="N376" s="194"/>
      <c r="O376" s="194"/>
      <c r="P376" s="194"/>
      <c r="Q376" s="194"/>
      <c r="R376" s="194"/>
      <c r="S376" s="195"/>
      <c r="T376" s="195"/>
      <c r="U376" s="195"/>
      <c r="V376" s="191"/>
      <c r="W376" s="192"/>
      <c r="X376" s="192"/>
      <c r="Y376" s="192"/>
      <c r="Z376" s="191"/>
      <c r="AA376" s="191"/>
      <c r="AB376" s="193"/>
      <c r="AC376" s="193"/>
      <c r="AD376" s="191"/>
      <c r="AE376" s="194"/>
      <c r="AF376" s="194"/>
      <c r="AG376" s="194"/>
      <c r="AH376" s="194"/>
      <c r="AI376" s="190"/>
    </row>
    <row r="377" ht="16.5" customHeight="1">
      <c r="A377" s="190"/>
      <c r="B377" s="191"/>
      <c r="C377" s="191"/>
      <c r="D377" s="191"/>
      <c r="E377" s="192"/>
      <c r="F377" s="192"/>
      <c r="G377" s="192"/>
      <c r="H377" s="192"/>
      <c r="I377" s="192"/>
      <c r="J377" s="193"/>
      <c r="K377" s="192"/>
      <c r="L377" s="190"/>
      <c r="M377" s="194"/>
      <c r="N377" s="194"/>
      <c r="O377" s="194"/>
      <c r="P377" s="194"/>
      <c r="Q377" s="194"/>
      <c r="R377" s="194"/>
      <c r="S377" s="195"/>
      <c r="T377" s="195"/>
      <c r="U377" s="195"/>
      <c r="V377" s="191"/>
      <c r="W377" s="192"/>
      <c r="X377" s="192"/>
      <c r="Y377" s="192"/>
      <c r="Z377" s="191"/>
      <c r="AA377" s="191"/>
      <c r="AB377" s="193"/>
      <c r="AC377" s="193"/>
      <c r="AD377" s="191"/>
      <c r="AE377" s="194"/>
      <c r="AF377" s="194"/>
      <c r="AG377" s="194"/>
      <c r="AH377" s="194"/>
      <c r="AI377" s="190"/>
    </row>
    <row r="378" ht="16.5" customHeight="1">
      <c r="A378" s="190"/>
      <c r="B378" s="191"/>
      <c r="C378" s="191"/>
      <c r="D378" s="191"/>
      <c r="E378" s="192"/>
      <c r="F378" s="192"/>
      <c r="G378" s="192"/>
      <c r="H378" s="192"/>
      <c r="I378" s="192"/>
      <c r="J378" s="193"/>
      <c r="K378" s="192"/>
      <c r="L378" s="190"/>
      <c r="M378" s="194"/>
      <c r="N378" s="194"/>
      <c r="O378" s="194"/>
      <c r="P378" s="194"/>
      <c r="Q378" s="194"/>
      <c r="R378" s="194"/>
      <c r="S378" s="195"/>
      <c r="T378" s="195"/>
      <c r="U378" s="195"/>
      <c r="V378" s="191"/>
      <c r="W378" s="192"/>
      <c r="X378" s="192"/>
      <c r="Y378" s="192"/>
      <c r="Z378" s="191"/>
      <c r="AA378" s="191"/>
      <c r="AB378" s="193"/>
      <c r="AC378" s="193"/>
      <c r="AD378" s="191"/>
      <c r="AE378" s="194"/>
      <c r="AF378" s="194"/>
      <c r="AG378" s="194"/>
      <c r="AH378" s="194"/>
      <c r="AI378" s="190"/>
    </row>
    <row r="379" ht="16.5" customHeight="1">
      <c r="A379" s="190"/>
      <c r="B379" s="191"/>
      <c r="C379" s="191"/>
      <c r="D379" s="191"/>
      <c r="E379" s="192"/>
      <c r="F379" s="192"/>
      <c r="G379" s="192"/>
      <c r="H379" s="192"/>
      <c r="I379" s="192"/>
      <c r="J379" s="193"/>
      <c r="K379" s="192"/>
      <c r="L379" s="190"/>
      <c r="M379" s="194"/>
      <c r="N379" s="194"/>
      <c r="O379" s="194"/>
      <c r="P379" s="194"/>
      <c r="Q379" s="194"/>
      <c r="R379" s="194"/>
      <c r="S379" s="195"/>
      <c r="T379" s="195"/>
      <c r="U379" s="195"/>
      <c r="V379" s="191"/>
      <c r="W379" s="192"/>
      <c r="X379" s="192"/>
      <c r="Y379" s="192"/>
      <c r="Z379" s="191"/>
      <c r="AA379" s="191"/>
      <c r="AB379" s="193"/>
      <c r="AC379" s="193"/>
      <c r="AD379" s="191"/>
      <c r="AE379" s="194"/>
      <c r="AF379" s="194"/>
      <c r="AG379" s="194"/>
      <c r="AH379" s="194"/>
      <c r="AI379" s="190"/>
    </row>
    <row r="380" ht="16.5" customHeight="1">
      <c r="A380" s="190"/>
      <c r="B380" s="191"/>
      <c r="C380" s="191"/>
      <c r="D380" s="191"/>
      <c r="E380" s="192"/>
      <c r="F380" s="192"/>
      <c r="G380" s="192"/>
      <c r="H380" s="192"/>
      <c r="I380" s="192"/>
      <c r="J380" s="193"/>
      <c r="K380" s="192"/>
      <c r="L380" s="190"/>
      <c r="M380" s="194"/>
      <c r="N380" s="194"/>
      <c r="O380" s="194"/>
      <c r="P380" s="194"/>
      <c r="Q380" s="194"/>
      <c r="R380" s="194"/>
      <c r="S380" s="195"/>
      <c r="T380" s="195"/>
      <c r="U380" s="195"/>
      <c r="V380" s="191"/>
      <c r="W380" s="192"/>
      <c r="X380" s="192"/>
      <c r="Y380" s="192"/>
      <c r="Z380" s="191"/>
      <c r="AA380" s="191"/>
      <c r="AB380" s="193"/>
      <c r="AC380" s="193"/>
      <c r="AD380" s="191"/>
      <c r="AE380" s="194"/>
      <c r="AF380" s="194"/>
      <c r="AG380" s="194"/>
      <c r="AH380" s="194"/>
      <c r="AI380" s="190"/>
    </row>
    <row r="381" ht="16.5" customHeight="1">
      <c r="A381" s="190"/>
      <c r="B381" s="191"/>
      <c r="C381" s="191"/>
      <c r="D381" s="191"/>
      <c r="E381" s="192"/>
      <c r="F381" s="192"/>
      <c r="G381" s="192"/>
      <c r="H381" s="192"/>
      <c r="I381" s="192"/>
      <c r="J381" s="193"/>
      <c r="K381" s="192"/>
      <c r="L381" s="190"/>
      <c r="M381" s="194"/>
      <c r="N381" s="194"/>
      <c r="O381" s="194"/>
      <c r="P381" s="194"/>
      <c r="Q381" s="194"/>
      <c r="R381" s="194"/>
      <c r="S381" s="195"/>
      <c r="T381" s="195"/>
      <c r="U381" s="195"/>
      <c r="V381" s="191"/>
      <c r="W381" s="192"/>
      <c r="X381" s="192"/>
      <c r="Y381" s="192"/>
      <c r="Z381" s="191"/>
      <c r="AA381" s="191"/>
      <c r="AB381" s="193"/>
      <c r="AC381" s="193"/>
      <c r="AD381" s="191"/>
      <c r="AE381" s="194"/>
      <c r="AF381" s="194"/>
      <c r="AG381" s="194"/>
      <c r="AH381" s="194"/>
      <c r="AI381" s="190"/>
    </row>
    <row r="382" ht="16.5" customHeight="1">
      <c r="A382" s="190"/>
      <c r="B382" s="191"/>
      <c r="C382" s="191"/>
      <c r="D382" s="191"/>
      <c r="E382" s="192"/>
      <c r="F382" s="192"/>
      <c r="G382" s="192"/>
      <c r="H382" s="192"/>
      <c r="I382" s="192"/>
      <c r="J382" s="193"/>
      <c r="K382" s="192"/>
      <c r="L382" s="190"/>
      <c r="M382" s="194"/>
      <c r="N382" s="194"/>
      <c r="O382" s="194"/>
      <c r="P382" s="194"/>
      <c r="Q382" s="194"/>
      <c r="R382" s="194"/>
      <c r="S382" s="195"/>
      <c r="T382" s="195"/>
      <c r="U382" s="195"/>
      <c r="V382" s="191"/>
      <c r="W382" s="192"/>
      <c r="X382" s="192"/>
      <c r="Y382" s="192"/>
      <c r="Z382" s="191"/>
      <c r="AA382" s="191"/>
      <c r="AB382" s="193"/>
      <c r="AC382" s="193"/>
      <c r="AD382" s="191"/>
      <c r="AE382" s="194"/>
      <c r="AF382" s="194"/>
      <c r="AG382" s="194"/>
      <c r="AH382" s="194"/>
      <c r="AI382" s="190"/>
    </row>
    <row r="383" ht="16.5" customHeight="1">
      <c r="A383" s="190"/>
      <c r="B383" s="191"/>
      <c r="C383" s="191"/>
      <c r="D383" s="191"/>
      <c r="E383" s="192"/>
      <c r="F383" s="192"/>
      <c r="G383" s="192"/>
      <c r="H383" s="192"/>
      <c r="I383" s="192"/>
      <c r="J383" s="193"/>
      <c r="K383" s="192"/>
      <c r="L383" s="190"/>
      <c r="M383" s="194"/>
      <c r="N383" s="194"/>
      <c r="O383" s="194"/>
      <c r="P383" s="194"/>
      <c r="Q383" s="194"/>
      <c r="R383" s="194"/>
      <c r="S383" s="195"/>
      <c r="T383" s="195"/>
      <c r="U383" s="195"/>
      <c r="V383" s="191"/>
      <c r="W383" s="192"/>
      <c r="X383" s="192"/>
      <c r="Y383" s="192"/>
      <c r="Z383" s="191"/>
      <c r="AA383" s="191"/>
      <c r="AB383" s="193"/>
      <c r="AC383" s="193"/>
      <c r="AD383" s="191"/>
      <c r="AE383" s="194"/>
      <c r="AF383" s="194"/>
      <c r="AG383" s="194"/>
      <c r="AH383" s="194"/>
      <c r="AI383" s="190"/>
    </row>
    <row r="384" ht="16.5" customHeight="1">
      <c r="A384" s="190"/>
      <c r="B384" s="191"/>
      <c r="C384" s="191"/>
      <c r="D384" s="191"/>
      <c r="E384" s="192"/>
      <c r="F384" s="192"/>
      <c r="G384" s="192"/>
      <c r="H384" s="192"/>
      <c r="I384" s="192"/>
      <c r="J384" s="193"/>
      <c r="K384" s="192"/>
      <c r="L384" s="190"/>
      <c r="M384" s="194"/>
      <c r="N384" s="194"/>
      <c r="O384" s="194"/>
      <c r="P384" s="194"/>
      <c r="Q384" s="194"/>
      <c r="R384" s="194"/>
      <c r="S384" s="195"/>
      <c r="T384" s="195"/>
      <c r="U384" s="195"/>
      <c r="V384" s="191"/>
      <c r="W384" s="192"/>
      <c r="X384" s="192"/>
      <c r="Y384" s="192"/>
      <c r="Z384" s="191"/>
      <c r="AA384" s="191"/>
      <c r="AB384" s="193"/>
      <c r="AC384" s="193"/>
      <c r="AD384" s="191"/>
      <c r="AE384" s="194"/>
      <c r="AF384" s="194"/>
      <c r="AG384" s="194"/>
      <c r="AH384" s="194"/>
      <c r="AI384" s="190"/>
    </row>
    <row r="385" ht="16.5" customHeight="1">
      <c r="A385" s="190"/>
      <c r="B385" s="191"/>
      <c r="C385" s="191"/>
      <c r="D385" s="191"/>
      <c r="E385" s="192"/>
      <c r="F385" s="192"/>
      <c r="G385" s="192"/>
      <c r="H385" s="192"/>
      <c r="I385" s="192"/>
      <c r="J385" s="193"/>
      <c r="K385" s="192"/>
      <c r="L385" s="190"/>
      <c r="M385" s="194"/>
      <c r="N385" s="194"/>
      <c r="O385" s="194"/>
      <c r="P385" s="194"/>
      <c r="Q385" s="194"/>
      <c r="R385" s="194"/>
      <c r="S385" s="195"/>
      <c r="T385" s="195"/>
      <c r="U385" s="195"/>
      <c r="V385" s="191"/>
      <c r="W385" s="192"/>
      <c r="X385" s="192"/>
      <c r="Y385" s="192"/>
      <c r="Z385" s="191"/>
      <c r="AA385" s="191"/>
      <c r="AB385" s="193"/>
      <c r="AC385" s="193"/>
      <c r="AD385" s="191"/>
      <c r="AE385" s="194"/>
      <c r="AF385" s="194"/>
      <c r="AG385" s="194"/>
      <c r="AH385" s="194"/>
      <c r="AI385" s="190"/>
    </row>
    <row r="386" ht="16.5" customHeight="1">
      <c r="A386" s="190"/>
      <c r="B386" s="191"/>
      <c r="C386" s="191"/>
      <c r="D386" s="191"/>
      <c r="E386" s="192"/>
      <c r="F386" s="192"/>
      <c r="G386" s="192"/>
      <c r="H386" s="192"/>
      <c r="I386" s="192"/>
      <c r="J386" s="193"/>
      <c r="K386" s="192"/>
      <c r="L386" s="190"/>
      <c r="M386" s="194"/>
      <c r="N386" s="194"/>
      <c r="O386" s="194"/>
      <c r="P386" s="194"/>
      <c r="Q386" s="194"/>
      <c r="R386" s="194"/>
      <c r="S386" s="195"/>
      <c r="T386" s="195"/>
      <c r="U386" s="195"/>
      <c r="V386" s="191"/>
      <c r="W386" s="192"/>
      <c r="X386" s="192"/>
      <c r="Y386" s="192"/>
      <c r="Z386" s="191"/>
      <c r="AA386" s="191"/>
      <c r="AB386" s="193"/>
      <c r="AC386" s="193"/>
      <c r="AD386" s="191"/>
      <c r="AE386" s="194"/>
      <c r="AF386" s="194"/>
      <c r="AG386" s="194"/>
      <c r="AH386" s="194"/>
      <c r="AI386" s="190"/>
    </row>
    <row r="387" ht="16.5" customHeight="1">
      <c r="A387" s="190"/>
      <c r="B387" s="191"/>
      <c r="C387" s="191"/>
      <c r="D387" s="191"/>
      <c r="E387" s="192"/>
      <c r="F387" s="192"/>
      <c r="G387" s="192"/>
      <c r="H387" s="192"/>
      <c r="I387" s="192"/>
      <c r="J387" s="193"/>
      <c r="K387" s="192"/>
      <c r="L387" s="190"/>
      <c r="M387" s="194"/>
      <c r="N387" s="194"/>
      <c r="O387" s="194"/>
      <c r="P387" s="194"/>
      <c r="Q387" s="194"/>
      <c r="R387" s="194"/>
      <c r="S387" s="195"/>
      <c r="T387" s="195"/>
      <c r="U387" s="195"/>
      <c r="V387" s="191"/>
      <c r="W387" s="192"/>
      <c r="X387" s="192"/>
      <c r="Y387" s="192"/>
      <c r="Z387" s="191"/>
      <c r="AA387" s="191"/>
      <c r="AB387" s="193"/>
      <c r="AC387" s="193"/>
      <c r="AD387" s="191"/>
      <c r="AE387" s="194"/>
      <c r="AF387" s="194"/>
      <c r="AG387" s="194"/>
      <c r="AH387" s="194"/>
      <c r="AI387" s="190"/>
    </row>
    <row r="388" ht="16.5" customHeight="1">
      <c r="A388" s="190"/>
      <c r="B388" s="191"/>
      <c r="C388" s="191"/>
      <c r="D388" s="191"/>
      <c r="E388" s="192"/>
      <c r="F388" s="192"/>
      <c r="G388" s="192"/>
      <c r="H388" s="192"/>
      <c r="I388" s="192"/>
      <c r="J388" s="193"/>
      <c r="K388" s="192"/>
      <c r="L388" s="190"/>
      <c r="M388" s="194"/>
      <c r="N388" s="194"/>
      <c r="O388" s="194"/>
      <c r="P388" s="194"/>
      <c r="Q388" s="194"/>
      <c r="R388" s="194"/>
      <c r="S388" s="195"/>
      <c r="T388" s="195"/>
      <c r="U388" s="195"/>
      <c r="V388" s="191"/>
      <c r="W388" s="192"/>
      <c r="X388" s="192"/>
      <c r="Y388" s="192"/>
      <c r="Z388" s="191"/>
      <c r="AA388" s="191"/>
      <c r="AB388" s="193"/>
      <c r="AC388" s="193"/>
      <c r="AD388" s="191"/>
      <c r="AE388" s="194"/>
      <c r="AF388" s="194"/>
      <c r="AG388" s="194"/>
      <c r="AH388" s="194"/>
      <c r="AI388" s="190"/>
    </row>
    <row r="389" ht="16.5" customHeight="1">
      <c r="A389" s="190"/>
      <c r="B389" s="191"/>
      <c r="C389" s="191"/>
      <c r="D389" s="191"/>
      <c r="E389" s="192"/>
      <c r="F389" s="192"/>
      <c r="G389" s="192"/>
      <c r="H389" s="192"/>
      <c r="I389" s="192"/>
      <c r="J389" s="193"/>
      <c r="K389" s="192"/>
      <c r="L389" s="190"/>
      <c r="M389" s="194"/>
      <c r="N389" s="194"/>
      <c r="O389" s="194"/>
      <c r="P389" s="194"/>
      <c r="Q389" s="194"/>
      <c r="R389" s="194"/>
      <c r="S389" s="195"/>
      <c r="T389" s="195"/>
      <c r="U389" s="195"/>
      <c r="V389" s="191"/>
      <c r="W389" s="192"/>
      <c r="X389" s="192"/>
      <c r="Y389" s="192"/>
      <c r="Z389" s="191"/>
      <c r="AA389" s="191"/>
      <c r="AB389" s="193"/>
      <c r="AC389" s="193"/>
      <c r="AD389" s="191"/>
      <c r="AE389" s="194"/>
      <c r="AF389" s="194"/>
      <c r="AG389" s="194"/>
      <c r="AH389" s="194"/>
      <c r="AI389" s="190"/>
    </row>
    <row r="390" ht="16.5" customHeight="1">
      <c r="A390" s="190"/>
      <c r="B390" s="191"/>
      <c r="C390" s="191"/>
      <c r="D390" s="191"/>
      <c r="E390" s="192"/>
      <c r="F390" s="192"/>
      <c r="G390" s="192"/>
      <c r="H390" s="192"/>
      <c r="I390" s="192"/>
      <c r="J390" s="193"/>
      <c r="K390" s="192"/>
      <c r="L390" s="190"/>
      <c r="M390" s="194"/>
      <c r="N390" s="194"/>
      <c r="O390" s="194"/>
      <c r="P390" s="194"/>
      <c r="Q390" s="194"/>
      <c r="R390" s="194"/>
      <c r="S390" s="195"/>
      <c r="T390" s="195"/>
      <c r="U390" s="195"/>
      <c r="V390" s="191"/>
      <c r="W390" s="192"/>
      <c r="X390" s="192"/>
      <c r="Y390" s="192"/>
      <c r="Z390" s="191"/>
      <c r="AA390" s="191"/>
      <c r="AB390" s="193"/>
      <c r="AC390" s="193"/>
      <c r="AD390" s="191"/>
      <c r="AE390" s="194"/>
      <c r="AF390" s="194"/>
      <c r="AG390" s="194"/>
      <c r="AH390" s="194"/>
      <c r="AI390" s="190"/>
    </row>
    <row r="391" ht="16.5" customHeight="1">
      <c r="A391" s="190"/>
      <c r="B391" s="191"/>
      <c r="C391" s="191"/>
      <c r="D391" s="191"/>
      <c r="E391" s="192"/>
      <c r="F391" s="192"/>
      <c r="G391" s="192"/>
      <c r="H391" s="192"/>
      <c r="I391" s="192"/>
      <c r="J391" s="193"/>
      <c r="K391" s="192"/>
      <c r="L391" s="190"/>
      <c r="M391" s="194"/>
      <c r="N391" s="194"/>
      <c r="O391" s="194"/>
      <c r="P391" s="194"/>
      <c r="Q391" s="194"/>
      <c r="R391" s="194"/>
      <c r="S391" s="195"/>
      <c r="T391" s="195"/>
      <c r="U391" s="195"/>
      <c r="V391" s="191"/>
      <c r="W391" s="192"/>
      <c r="X391" s="192"/>
      <c r="Y391" s="192"/>
      <c r="Z391" s="191"/>
      <c r="AA391" s="191"/>
      <c r="AB391" s="193"/>
      <c r="AC391" s="193"/>
      <c r="AD391" s="191"/>
      <c r="AE391" s="194"/>
      <c r="AF391" s="194"/>
      <c r="AG391" s="194"/>
      <c r="AH391" s="194"/>
      <c r="AI391" s="190"/>
    </row>
    <row r="392" ht="16.5" customHeight="1">
      <c r="A392" s="190"/>
      <c r="B392" s="191"/>
      <c r="C392" s="191"/>
      <c r="D392" s="191"/>
      <c r="E392" s="192"/>
      <c r="F392" s="192"/>
      <c r="G392" s="192"/>
      <c r="H392" s="192"/>
      <c r="I392" s="192"/>
      <c r="J392" s="193"/>
      <c r="K392" s="192"/>
      <c r="L392" s="190"/>
      <c r="M392" s="194"/>
      <c r="N392" s="194"/>
      <c r="O392" s="194"/>
      <c r="P392" s="194"/>
      <c r="Q392" s="194"/>
      <c r="R392" s="194"/>
      <c r="S392" s="195"/>
      <c r="T392" s="195"/>
      <c r="U392" s="195"/>
      <c r="V392" s="191"/>
      <c r="W392" s="192"/>
      <c r="X392" s="192"/>
      <c r="Y392" s="192"/>
      <c r="Z392" s="191"/>
      <c r="AA392" s="191"/>
      <c r="AB392" s="193"/>
      <c r="AC392" s="193"/>
      <c r="AD392" s="191"/>
      <c r="AE392" s="194"/>
      <c r="AF392" s="194"/>
      <c r="AG392" s="194"/>
      <c r="AH392" s="194"/>
      <c r="AI392" s="190"/>
    </row>
    <row r="393" ht="16.5" customHeight="1">
      <c r="A393" s="190"/>
      <c r="B393" s="191"/>
      <c r="C393" s="191"/>
      <c r="D393" s="191"/>
      <c r="E393" s="192"/>
      <c r="F393" s="192"/>
      <c r="G393" s="192"/>
      <c r="H393" s="192"/>
      <c r="I393" s="192"/>
      <c r="J393" s="193"/>
      <c r="K393" s="192"/>
      <c r="L393" s="190"/>
      <c r="M393" s="194"/>
      <c r="N393" s="194"/>
      <c r="O393" s="194"/>
      <c r="P393" s="194"/>
      <c r="Q393" s="194"/>
      <c r="R393" s="194"/>
      <c r="S393" s="195"/>
      <c r="T393" s="195"/>
      <c r="U393" s="195"/>
      <c r="V393" s="191"/>
      <c r="W393" s="192"/>
      <c r="X393" s="192"/>
      <c r="Y393" s="192"/>
      <c r="Z393" s="191"/>
      <c r="AA393" s="191"/>
      <c r="AB393" s="193"/>
      <c r="AC393" s="193"/>
      <c r="AD393" s="191"/>
      <c r="AE393" s="194"/>
      <c r="AF393" s="194"/>
      <c r="AG393" s="194"/>
      <c r="AH393" s="194"/>
      <c r="AI393" s="190"/>
    </row>
    <row r="394" ht="16.5" customHeight="1">
      <c r="A394" s="190"/>
      <c r="B394" s="191"/>
      <c r="C394" s="191"/>
      <c r="D394" s="191"/>
      <c r="E394" s="192"/>
      <c r="F394" s="192"/>
      <c r="G394" s="192"/>
      <c r="H394" s="192"/>
      <c r="I394" s="192"/>
      <c r="J394" s="193"/>
      <c r="K394" s="192"/>
      <c r="L394" s="190"/>
      <c r="M394" s="194"/>
      <c r="N394" s="194"/>
      <c r="O394" s="194"/>
      <c r="P394" s="194"/>
      <c r="Q394" s="194"/>
      <c r="R394" s="194"/>
      <c r="S394" s="195"/>
      <c r="T394" s="195"/>
      <c r="U394" s="195"/>
      <c r="V394" s="191"/>
      <c r="W394" s="192"/>
      <c r="X394" s="192"/>
      <c r="Y394" s="192"/>
      <c r="Z394" s="191"/>
      <c r="AA394" s="191"/>
      <c r="AB394" s="193"/>
      <c r="AC394" s="193"/>
      <c r="AD394" s="191"/>
      <c r="AE394" s="194"/>
      <c r="AF394" s="194"/>
      <c r="AG394" s="194"/>
      <c r="AH394" s="194"/>
      <c r="AI394" s="190"/>
    </row>
    <row r="395" ht="16.5" customHeight="1">
      <c r="A395" s="190"/>
      <c r="B395" s="191"/>
      <c r="C395" s="191"/>
      <c r="D395" s="191"/>
      <c r="E395" s="192"/>
      <c r="F395" s="192"/>
      <c r="G395" s="192"/>
      <c r="H395" s="192"/>
      <c r="I395" s="192"/>
      <c r="J395" s="193"/>
      <c r="K395" s="192"/>
      <c r="L395" s="190"/>
      <c r="M395" s="194"/>
      <c r="N395" s="194"/>
      <c r="O395" s="194"/>
      <c r="P395" s="194"/>
      <c r="Q395" s="194"/>
      <c r="R395" s="194"/>
      <c r="S395" s="195"/>
      <c r="T395" s="195"/>
      <c r="U395" s="195"/>
      <c r="V395" s="191"/>
      <c r="W395" s="192"/>
      <c r="X395" s="192"/>
      <c r="Y395" s="192"/>
      <c r="Z395" s="191"/>
      <c r="AA395" s="191"/>
      <c r="AB395" s="193"/>
      <c r="AC395" s="193"/>
      <c r="AD395" s="191"/>
      <c r="AE395" s="194"/>
      <c r="AF395" s="194"/>
      <c r="AG395" s="194"/>
      <c r="AH395" s="194"/>
      <c r="AI395" s="190"/>
    </row>
    <row r="396" ht="16.5" customHeight="1">
      <c r="A396" s="190"/>
      <c r="B396" s="191"/>
      <c r="C396" s="191"/>
      <c r="D396" s="191"/>
      <c r="E396" s="192"/>
      <c r="F396" s="192"/>
      <c r="G396" s="192"/>
      <c r="H396" s="192"/>
      <c r="I396" s="192"/>
      <c r="J396" s="193"/>
      <c r="K396" s="192"/>
      <c r="L396" s="190"/>
      <c r="M396" s="194"/>
      <c r="N396" s="194"/>
      <c r="O396" s="194"/>
      <c r="P396" s="194"/>
      <c r="Q396" s="194"/>
      <c r="R396" s="194"/>
      <c r="S396" s="195"/>
      <c r="T396" s="195"/>
      <c r="U396" s="195"/>
      <c r="V396" s="191"/>
      <c r="W396" s="192"/>
      <c r="X396" s="192"/>
      <c r="Y396" s="192"/>
      <c r="Z396" s="191"/>
      <c r="AA396" s="191"/>
      <c r="AB396" s="193"/>
      <c r="AC396" s="193"/>
      <c r="AD396" s="191"/>
      <c r="AE396" s="194"/>
      <c r="AF396" s="194"/>
      <c r="AG396" s="194"/>
      <c r="AH396" s="194"/>
      <c r="AI396" s="190"/>
    </row>
    <row r="397" ht="16.5" customHeight="1">
      <c r="A397" s="190"/>
      <c r="B397" s="191"/>
      <c r="C397" s="191"/>
      <c r="D397" s="191"/>
      <c r="E397" s="192"/>
      <c r="F397" s="192"/>
      <c r="G397" s="192"/>
      <c r="H397" s="192"/>
      <c r="I397" s="192"/>
      <c r="J397" s="193"/>
      <c r="K397" s="192"/>
      <c r="L397" s="190"/>
      <c r="M397" s="194"/>
      <c r="N397" s="194"/>
      <c r="O397" s="194"/>
      <c r="P397" s="194"/>
      <c r="Q397" s="194"/>
      <c r="R397" s="194"/>
      <c r="S397" s="195"/>
      <c r="T397" s="195"/>
      <c r="U397" s="195"/>
      <c r="V397" s="191"/>
      <c r="W397" s="192"/>
      <c r="X397" s="192"/>
      <c r="Y397" s="192"/>
      <c r="Z397" s="191"/>
      <c r="AA397" s="191"/>
      <c r="AB397" s="193"/>
      <c r="AC397" s="193"/>
      <c r="AD397" s="191"/>
      <c r="AE397" s="194"/>
      <c r="AF397" s="194"/>
      <c r="AG397" s="194"/>
      <c r="AH397" s="194"/>
      <c r="AI397" s="190"/>
    </row>
    <row r="398" ht="16.5" customHeight="1">
      <c r="A398" s="190"/>
      <c r="B398" s="191"/>
      <c r="C398" s="191"/>
      <c r="D398" s="191"/>
      <c r="E398" s="192"/>
      <c r="F398" s="192"/>
      <c r="G398" s="192"/>
      <c r="H398" s="192"/>
      <c r="I398" s="192"/>
      <c r="J398" s="193"/>
      <c r="K398" s="192"/>
      <c r="L398" s="190"/>
      <c r="M398" s="194"/>
      <c r="N398" s="194"/>
      <c r="O398" s="194"/>
      <c r="P398" s="194"/>
      <c r="Q398" s="194"/>
      <c r="R398" s="194"/>
      <c r="S398" s="195"/>
      <c r="T398" s="195"/>
      <c r="U398" s="195"/>
      <c r="V398" s="191"/>
      <c r="W398" s="192"/>
      <c r="X398" s="192"/>
      <c r="Y398" s="192"/>
      <c r="Z398" s="191"/>
      <c r="AA398" s="191"/>
      <c r="AB398" s="193"/>
      <c r="AC398" s="193"/>
      <c r="AD398" s="191"/>
      <c r="AE398" s="194"/>
      <c r="AF398" s="194"/>
      <c r="AG398" s="194"/>
      <c r="AH398" s="194"/>
      <c r="AI398" s="190"/>
    </row>
    <row r="399" ht="16.5" customHeight="1">
      <c r="A399" s="190"/>
      <c r="B399" s="191"/>
      <c r="C399" s="191"/>
      <c r="D399" s="191"/>
      <c r="E399" s="192"/>
      <c r="F399" s="192"/>
      <c r="G399" s="192"/>
      <c r="H399" s="192"/>
      <c r="I399" s="192"/>
      <c r="J399" s="193"/>
      <c r="K399" s="192"/>
      <c r="L399" s="190"/>
      <c r="M399" s="194"/>
      <c r="N399" s="194"/>
      <c r="O399" s="194"/>
      <c r="P399" s="194"/>
      <c r="Q399" s="194"/>
      <c r="R399" s="194"/>
      <c r="S399" s="195"/>
      <c r="T399" s="195"/>
      <c r="U399" s="195"/>
      <c r="V399" s="191"/>
      <c r="W399" s="192"/>
      <c r="X399" s="192"/>
      <c r="Y399" s="192"/>
      <c r="Z399" s="191"/>
      <c r="AA399" s="191"/>
      <c r="AB399" s="193"/>
      <c r="AC399" s="193"/>
      <c r="AD399" s="191"/>
      <c r="AE399" s="194"/>
      <c r="AF399" s="194"/>
      <c r="AG399" s="194"/>
      <c r="AH399" s="194"/>
      <c r="AI399" s="190"/>
    </row>
    <row r="400" ht="16.5" customHeight="1">
      <c r="A400" s="190"/>
      <c r="B400" s="191"/>
      <c r="C400" s="191"/>
      <c r="D400" s="191"/>
      <c r="E400" s="192"/>
      <c r="F400" s="192"/>
      <c r="G400" s="192"/>
      <c r="H400" s="192"/>
      <c r="I400" s="192"/>
      <c r="J400" s="193"/>
      <c r="K400" s="192"/>
      <c r="L400" s="190"/>
      <c r="M400" s="194"/>
      <c r="N400" s="194"/>
      <c r="O400" s="194"/>
      <c r="P400" s="194"/>
      <c r="Q400" s="194"/>
      <c r="R400" s="194"/>
      <c r="S400" s="195"/>
      <c r="T400" s="195"/>
      <c r="U400" s="195"/>
      <c r="V400" s="191"/>
      <c r="W400" s="192"/>
      <c r="X400" s="192"/>
      <c r="Y400" s="192"/>
      <c r="Z400" s="191"/>
      <c r="AA400" s="191"/>
      <c r="AB400" s="193"/>
      <c r="AC400" s="193"/>
      <c r="AD400" s="191"/>
      <c r="AE400" s="194"/>
      <c r="AF400" s="194"/>
      <c r="AG400" s="194"/>
      <c r="AH400" s="194"/>
      <c r="AI400" s="190"/>
    </row>
    <row r="401" ht="16.5" customHeight="1">
      <c r="A401" s="190"/>
      <c r="B401" s="191"/>
      <c r="C401" s="191"/>
      <c r="D401" s="191"/>
      <c r="E401" s="192"/>
      <c r="F401" s="192"/>
      <c r="G401" s="192"/>
      <c r="H401" s="192"/>
      <c r="I401" s="192"/>
      <c r="J401" s="193"/>
      <c r="K401" s="192"/>
      <c r="L401" s="190"/>
      <c r="M401" s="194"/>
      <c r="N401" s="194"/>
      <c r="O401" s="194"/>
      <c r="P401" s="194"/>
      <c r="Q401" s="194"/>
      <c r="R401" s="194"/>
      <c r="S401" s="195"/>
      <c r="T401" s="195"/>
      <c r="U401" s="195"/>
      <c r="V401" s="191"/>
      <c r="W401" s="192"/>
      <c r="X401" s="192"/>
      <c r="Y401" s="192"/>
      <c r="Z401" s="191"/>
      <c r="AA401" s="191"/>
      <c r="AB401" s="193"/>
      <c r="AC401" s="193"/>
      <c r="AD401" s="191"/>
      <c r="AE401" s="194"/>
      <c r="AF401" s="194"/>
      <c r="AG401" s="194"/>
      <c r="AH401" s="194"/>
      <c r="AI401" s="190"/>
    </row>
    <row r="402" ht="16.5" customHeight="1">
      <c r="A402" s="190"/>
      <c r="B402" s="191"/>
      <c r="C402" s="191"/>
      <c r="D402" s="191"/>
      <c r="E402" s="192"/>
      <c r="F402" s="192"/>
      <c r="G402" s="192"/>
      <c r="H402" s="192"/>
      <c r="I402" s="192"/>
      <c r="J402" s="193"/>
      <c r="K402" s="192"/>
      <c r="L402" s="190"/>
      <c r="M402" s="194"/>
      <c r="N402" s="194"/>
      <c r="O402" s="194"/>
      <c r="P402" s="194"/>
      <c r="Q402" s="194"/>
      <c r="R402" s="194"/>
      <c r="S402" s="195"/>
      <c r="T402" s="195"/>
      <c r="U402" s="195"/>
      <c r="V402" s="191"/>
      <c r="W402" s="192"/>
      <c r="X402" s="192"/>
      <c r="Y402" s="192"/>
      <c r="Z402" s="191"/>
      <c r="AA402" s="191"/>
      <c r="AB402" s="193"/>
      <c r="AC402" s="193"/>
      <c r="AD402" s="191"/>
      <c r="AE402" s="194"/>
      <c r="AF402" s="194"/>
      <c r="AG402" s="194"/>
      <c r="AH402" s="194"/>
      <c r="AI402" s="190"/>
    </row>
    <row r="403" ht="16.5" customHeight="1">
      <c r="A403" s="190"/>
      <c r="B403" s="191"/>
      <c r="C403" s="191"/>
      <c r="D403" s="191"/>
      <c r="E403" s="192"/>
      <c r="F403" s="192"/>
      <c r="G403" s="192"/>
      <c r="H403" s="192"/>
      <c r="I403" s="192"/>
      <c r="J403" s="193"/>
      <c r="K403" s="192"/>
      <c r="L403" s="190"/>
      <c r="M403" s="194"/>
      <c r="N403" s="194"/>
      <c r="O403" s="194"/>
      <c r="P403" s="194"/>
      <c r="Q403" s="194"/>
      <c r="R403" s="194"/>
      <c r="S403" s="195"/>
      <c r="T403" s="195"/>
      <c r="U403" s="195"/>
      <c r="V403" s="191"/>
      <c r="W403" s="192"/>
      <c r="X403" s="192"/>
      <c r="Y403" s="192"/>
      <c r="Z403" s="191"/>
      <c r="AA403" s="191"/>
      <c r="AB403" s="193"/>
      <c r="AC403" s="193"/>
      <c r="AD403" s="191"/>
      <c r="AE403" s="194"/>
      <c r="AF403" s="194"/>
      <c r="AG403" s="194"/>
      <c r="AH403" s="194"/>
      <c r="AI403" s="190"/>
    </row>
    <row r="404" ht="16.5" customHeight="1">
      <c r="A404" s="190"/>
      <c r="B404" s="191"/>
      <c r="C404" s="191"/>
      <c r="D404" s="191"/>
      <c r="E404" s="192"/>
      <c r="F404" s="192"/>
      <c r="G404" s="192"/>
      <c r="H404" s="192"/>
      <c r="I404" s="192"/>
      <c r="J404" s="193"/>
      <c r="K404" s="192"/>
      <c r="L404" s="190"/>
      <c r="M404" s="194"/>
      <c r="N404" s="194"/>
      <c r="O404" s="194"/>
      <c r="P404" s="194"/>
      <c r="Q404" s="194"/>
      <c r="R404" s="194"/>
      <c r="S404" s="195"/>
      <c r="T404" s="195"/>
      <c r="U404" s="195"/>
      <c r="V404" s="191"/>
      <c r="W404" s="192"/>
      <c r="X404" s="192"/>
      <c r="Y404" s="192"/>
      <c r="Z404" s="191"/>
      <c r="AA404" s="191"/>
      <c r="AB404" s="193"/>
      <c r="AC404" s="193"/>
      <c r="AD404" s="191"/>
      <c r="AE404" s="194"/>
      <c r="AF404" s="194"/>
      <c r="AG404" s="194"/>
      <c r="AH404" s="194"/>
      <c r="AI404" s="190"/>
    </row>
    <row r="405" ht="16.5" customHeight="1">
      <c r="A405" s="190"/>
      <c r="B405" s="191"/>
      <c r="C405" s="191"/>
      <c r="D405" s="191"/>
      <c r="E405" s="192"/>
      <c r="F405" s="192"/>
      <c r="G405" s="192"/>
      <c r="H405" s="192"/>
      <c r="I405" s="192"/>
      <c r="J405" s="193"/>
      <c r="K405" s="192"/>
      <c r="L405" s="190"/>
      <c r="M405" s="194"/>
      <c r="N405" s="194"/>
      <c r="O405" s="194"/>
      <c r="P405" s="194"/>
      <c r="Q405" s="194"/>
      <c r="R405" s="194"/>
      <c r="S405" s="195"/>
      <c r="T405" s="195"/>
      <c r="U405" s="195"/>
      <c r="V405" s="191"/>
      <c r="W405" s="192"/>
      <c r="X405" s="192"/>
      <c r="Y405" s="192"/>
      <c r="Z405" s="191"/>
      <c r="AA405" s="191"/>
      <c r="AB405" s="193"/>
      <c r="AC405" s="193"/>
      <c r="AD405" s="191"/>
      <c r="AE405" s="194"/>
      <c r="AF405" s="194"/>
      <c r="AG405" s="194"/>
      <c r="AH405" s="194"/>
      <c r="AI405" s="190"/>
    </row>
    <row r="406" ht="16.5" customHeight="1">
      <c r="A406" s="190"/>
      <c r="B406" s="191"/>
      <c r="C406" s="191"/>
      <c r="D406" s="191"/>
      <c r="E406" s="192"/>
      <c r="F406" s="192"/>
      <c r="G406" s="192"/>
      <c r="H406" s="192"/>
      <c r="I406" s="192"/>
      <c r="J406" s="193"/>
      <c r="K406" s="192"/>
      <c r="L406" s="190"/>
      <c r="M406" s="194"/>
      <c r="N406" s="194"/>
      <c r="O406" s="194"/>
      <c r="P406" s="194"/>
      <c r="Q406" s="194"/>
      <c r="R406" s="194"/>
      <c r="S406" s="195"/>
      <c r="T406" s="195"/>
      <c r="U406" s="195"/>
      <c r="V406" s="191"/>
      <c r="W406" s="192"/>
      <c r="X406" s="192"/>
      <c r="Y406" s="192"/>
      <c r="Z406" s="191"/>
      <c r="AA406" s="191"/>
      <c r="AB406" s="193"/>
      <c r="AC406" s="193"/>
      <c r="AD406" s="191"/>
      <c r="AE406" s="194"/>
      <c r="AF406" s="194"/>
      <c r="AG406" s="194"/>
      <c r="AH406" s="194"/>
      <c r="AI406" s="190"/>
    </row>
    <row r="407" ht="16.5" customHeight="1">
      <c r="A407" s="190"/>
      <c r="B407" s="191"/>
      <c r="C407" s="191"/>
      <c r="D407" s="191"/>
      <c r="E407" s="192"/>
      <c r="F407" s="192"/>
      <c r="G407" s="192"/>
      <c r="H407" s="192"/>
      <c r="I407" s="192"/>
      <c r="J407" s="193"/>
      <c r="K407" s="192"/>
      <c r="L407" s="190"/>
      <c r="M407" s="194"/>
      <c r="N407" s="194"/>
      <c r="O407" s="194"/>
      <c r="P407" s="194"/>
      <c r="Q407" s="194"/>
      <c r="R407" s="194"/>
      <c r="S407" s="195"/>
      <c r="T407" s="195"/>
      <c r="U407" s="195"/>
      <c r="V407" s="191"/>
      <c r="W407" s="192"/>
      <c r="X407" s="192"/>
      <c r="Y407" s="192"/>
      <c r="Z407" s="191"/>
      <c r="AA407" s="191"/>
      <c r="AB407" s="193"/>
      <c r="AC407" s="193"/>
      <c r="AD407" s="191"/>
      <c r="AE407" s="194"/>
      <c r="AF407" s="194"/>
      <c r="AG407" s="194"/>
      <c r="AH407" s="194"/>
      <c r="AI407" s="190"/>
    </row>
    <row r="408" ht="16.5" customHeight="1">
      <c r="A408" s="190"/>
      <c r="B408" s="191"/>
      <c r="C408" s="191"/>
      <c r="D408" s="191"/>
      <c r="E408" s="192"/>
      <c r="F408" s="192"/>
      <c r="G408" s="192"/>
      <c r="H408" s="192"/>
      <c r="I408" s="192"/>
      <c r="J408" s="193"/>
      <c r="K408" s="192"/>
      <c r="L408" s="190"/>
      <c r="M408" s="194"/>
      <c r="N408" s="194"/>
      <c r="O408" s="194"/>
      <c r="P408" s="194"/>
      <c r="Q408" s="194"/>
      <c r="R408" s="194"/>
      <c r="S408" s="195"/>
      <c r="T408" s="195"/>
      <c r="U408" s="195"/>
      <c r="V408" s="191"/>
      <c r="W408" s="192"/>
      <c r="X408" s="192"/>
      <c r="Y408" s="192"/>
      <c r="Z408" s="191"/>
      <c r="AA408" s="191"/>
      <c r="AB408" s="193"/>
      <c r="AC408" s="193"/>
      <c r="AD408" s="191"/>
      <c r="AE408" s="194"/>
      <c r="AF408" s="194"/>
      <c r="AG408" s="194"/>
      <c r="AH408" s="194"/>
      <c r="AI408" s="190"/>
    </row>
    <row r="409" ht="16.5" customHeight="1">
      <c r="A409" s="190"/>
      <c r="B409" s="191"/>
      <c r="C409" s="191"/>
      <c r="D409" s="191"/>
      <c r="E409" s="192"/>
      <c r="F409" s="192"/>
      <c r="G409" s="192"/>
      <c r="H409" s="192"/>
      <c r="I409" s="192"/>
      <c r="J409" s="193"/>
      <c r="K409" s="192"/>
      <c r="L409" s="190"/>
      <c r="M409" s="194"/>
      <c r="N409" s="194"/>
      <c r="O409" s="194"/>
      <c r="P409" s="194"/>
      <c r="Q409" s="194"/>
      <c r="R409" s="194"/>
      <c r="S409" s="195"/>
      <c r="T409" s="195"/>
      <c r="U409" s="195"/>
      <c r="V409" s="191"/>
      <c r="W409" s="192"/>
      <c r="X409" s="192"/>
      <c r="Y409" s="192"/>
      <c r="Z409" s="191"/>
      <c r="AA409" s="191"/>
      <c r="AB409" s="193"/>
      <c r="AC409" s="193"/>
      <c r="AD409" s="191"/>
      <c r="AE409" s="194"/>
      <c r="AF409" s="194"/>
      <c r="AG409" s="194"/>
      <c r="AH409" s="194"/>
      <c r="AI409" s="190"/>
    </row>
    <row r="410" ht="16.5" customHeight="1">
      <c r="A410" s="190"/>
      <c r="B410" s="191"/>
      <c r="C410" s="191"/>
      <c r="D410" s="191"/>
      <c r="E410" s="192"/>
      <c r="F410" s="192"/>
      <c r="G410" s="192"/>
      <c r="H410" s="192"/>
      <c r="I410" s="192"/>
      <c r="J410" s="193"/>
      <c r="K410" s="192"/>
      <c r="L410" s="190"/>
      <c r="M410" s="194"/>
      <c r="N410" s="194"/>
      <c r="O410" s="194"/>
      <c r="P410" s="194"/>
      <c r="Q410" s="194"/>
      <c r="R410" s="194"/>
      <c r="S410" s="195"/>
      <c r="T410" s="195"/>
      <c r="U410" s="195"/>
      <c r="V410" s="191"/>
      <c r="W410" s="192"/>
      <c r="X410" s="192"/>
      <c r="Y410" s="192"/>
      <c r="Z410" s="191"/>
      <c r="AA410" s="191"/>
      <c r="AB410" s="193"/>
      <c r="AC410" s="193"/>
      <c r="AD410" s="191"/>
      <c r="AE410" s="194"/>
      <c r="AF410" s="194"/>
      <c r="AG410" s="194"/>
      <c r="AH410" s="194"/>
      <c r="AI410" s="190"/>
    </row>
    <row r="411" ht="16.5" customHeight="1">
      <c r="A411" s="190"/>
      <c r="B411" s="191"/>
      <c r="C411" s="191"/>
      <c r="D411" s="191"/>
      <c r="E411" s="192"/>
      <c r="F411" s="192"/>
      <c r="G411" s="192"/>
      <c r="H411" s="192"/>
      <c r="I411" s="192"/>
      <c r="J411" s="193"/>
      <c r="K411" s="192"/>
      <c r="L411" s="190"/>
      <c r="M411" s="194"/>
      <c r="N411" s="194"/>
      <c r="O411" s="194"/>
      <c r="P411" s="194"/>
      <c r="Q411" s="194"/>
      <c r="R411" s="194"/>
      <c r="S411" s="195"/>
      <c r="T411" s="195"/>
      <c r="U411" s="195"/>
      <c r="V411" s="191"/>
      <c r="W411" s="192"/>
      <c r="X411" s="192"/>
      <c r="Y411" s="192"/>
      <c r="Z411" s="191"/>
      <c r="AA411" s="191"/>
      <c r="AB411" s="193"/>
      <c r="AC411" s="193"/>
      <c r="AD411" s="191"/>
      <c r="AE411" s="194"/>
      <c r="AF411" s="194"/>
      <c r="AG411" s="194"/>
      <c r="AH411" s="194"/>
      <c r="AI411" s="190"/>
    </row>
    <row r="412" ht="16.5" customHeight="1">
      <c r="A412" s="190"/>
      <c r="B412" s="191"/>
      <c r="C412" s="191"/>
      <c r="D412" s="191"/>
      <c r="E412" s="192"/>
      <c r="F412" s="192"/>
      <c r="G412" s="192"/>
      <c r="H412" s="192"/>
      <c r="I412" s="192"/>
      <c r="J412" s="193"/>
      <c r="K412" s="192"/>
      <c r="L412" s="190"/>
      <c r="M412" s="194"/>
      <c r="N412" s="194"/>
      <c r="O412" s="194"/>
      <c r="P412" s="194"/>
      <c r="Q412" s="194"/>
      <c r="R412" s="194"/>
      <c r="S412" s="195"/>
      <c r="T412" s="195"/>
      <c r="U412" s="195"/>
      <c r="V412" s="191"/>
      <c r="W412" s="192"/>
      <c r="X412" s="192"/>
      <c r="Y412" s="192"/>
      <c r="Z412" s="191"/>
      <c r="AA412" s="191"/>
      <c r="AB412" s="193"/>
      <c r="AC412" s="193"/>
      <c r="AD412" s="191"/>
      <c r="AE412" s="194"/>
      <c r="AF412" s="194"/>
      <c r="AG412" s="194"/>
      <c r="AH412" s="194"/>
      <c r="AI412" s="190"/>
    </row>
    <row r="413" ht="16.5" customHeight="1">
      <c r="A413" s="190"/>
      <c r="B413" s="191"/>
      <c r="C413" s="191"/>
      <c r="D413" s="191"/>
      <c r="E413" s="192"/>
      <c r="F413" s="192"/>
      <c r="G413" s="192"/>
      <c r="H413" s="192"/>
      <c r="I413" s="192"/>
      <c r="J413" s="193"/>
      <c r="K413" s="192"/>
      <c r="L413" s="190"/>
      <c r="M413" s="194"/>
      <c r="N413" s="194"/>
      <c r="O413" s="194"/>
      <c r="P413" s="194"/>
      <c r="Q413" s="194"/>
      <c r="R413" s="194"/>
      <c r="S413" s="195"/>
      <c r="T413" s="195"/>
      <c r="U413" s="195"/>
      <c r="V413" s="191"/>
      <c r="W413" s="192"/>
      <c r="X413" s="192"/>
      <c r="Y413" s="192"/>
      <c r="Z413" s="191"/>
      <c r="AA413" s="191"/>
      <c r="AB413" s="193"/>
      <c r="AC413" s="193"/>
      <c r="AD413" s="191"/>
      <c r="AE413" s="194"/>
      <c r="AF413" s="194"/>
      <c r="AG413" s="194"/>
      <c r="AH413" s="194"/>
      <c r="AI413" s="190"/>
    </row>
    <row r="414" ht="16.5" customHeight="1">
      <c r="A414" s="190"/>
      <c r="B414" s="191"/>
      <c r="C414" s="191"/>
      <c r="D414" s="191"/>
      <c r="E414" s="192"/>
      <c r="F414" s="192"/>
      <c r="G414" s="192"/>
      <c r="H414" s="192"/>
      <c r="I414" s="192"/>
      <c r="J414" s="193"/>
      <c r="K414" s="192"/>
      <c r="L414" s="190"/>
      <c r="M414" s="194"/>
      <c r="N414" s="194"/>
      <c r="O414" s="194"/>
      <c r="P414" s="194"/>
      <c r="Q414" s="194"/>
      <c r="R414" s="194"/>
      <c r="S414" s="195"/>
      <c r="T414" s="195"/>
      <c r="U414" s="195"/>
      <c r="V414" s="191"/>
      <c r="W414" s="192"/>
      <c r="X414" s="192"/>
      <c r="Y414" s="192"/>
      <c r="Z414" s="191"/>
      <c r="AA414" s="191"/>
      <c r="AB414" s="193"/>
      <c r="AC414" s="193"/>
      <c r="AD414" s="191"/>
      <c r="AE414" s="194"/>
      <c r="AF414" s="194"/>
      <c r="AG414" s="194"/>
      <c r="AH414" s="194"/>
      <c r="AI414" s="190"/>
    </row>
    <row r="415" ht="16.5" customHeight="1">
      <c r="A415" s="190"/>
      <c r="B415" s="191"/>
      <c r="C415" s="191"/>
      <c r="D415" s="191"/>
      <c r="E415" s="192"/>
      <c r="F415" s="192"/>
      <c r="G415" s="192"/>
      <c r="H415" s="192"/>
      <c r="I415" s="192"/>
      <c r="J415" s="193"/>
      <c r="K415" s="192"/>
      <c r="L415" s="190"/>
      <c r="M415" s="194"/>
      <c r="N415" s="194"/>
      <c r="O415" s="194"/>
      <c r="P415" s="194"/>
      <c r="Q415" s="194"/>
      <c r="R415" s="194"/>
      <c r="S415" s="195"/>
      <c r="T415" s="195"/>
      <c r="U415" s="195"/>
      <c r="V415" s="191"/>
      <c r="W415" s="192"/>
      <c r="X415" s="192"/>
      <c r="Y415" s="192"/>
      <c r="Z415" s="191"/>
      <c r="AA415" s="191"/>
      <c r="AB415" s="193"/>
      <c r="AC415" s="193"/>
      <c r="AD415" s="191"/>
      <c r="AE415" s="194"/>
      <c r="AF415" s="194"/>
      <c r="AG415" s="194"/>
      <c r="AH415" s="194"/>
      <c r="AI415" s="190"/>
    </row>
    <row r="416" ht="16.5" customHeight="1">
      <c r="A416" s="190"/>
      <c r="B416" s="191"/>
      <c r="C416" s="191"/>
      <c r="D416" s="191"/>
      <c r="E416" s="192"/>
      <c r="F416" s="192"/>
      <c r="G416" s="192"/>
      <c r="H416" s="192"/>
      <c r="I416" s="192"/>
      <c r="J416" s="193"/>
      <c r="K416" s="192"/>
      <c r="L416" s="190"/>
      <c r="M416" s="194"/>
      <c r="N416" s="194"/>
      <c r="O416" s="194"/>
      <c r="P416" s="194"/>
      <c r="Q416" s="194"/>
      <c r="R416" s="194"/>
      <c r="S416" s="195"/>
      <c r="T416" s="195"/>
      <c r="U416" s="195"/>
      <c r="V416" s="191"/>
      <c r="W416" s="192"/>
      <c r="X416" s="192"/>
      <c r="Y416" s="192"/>
      <c r="Z416" s="191"/>
      <c r="AA416" s="191"/>
      <c r="AB416" s="193"/>
      <c r="AC416" s="193"/>
      <c r="AD416" s="191"/>
      <c r="AE416" s="194"/>
      <c r="AF416" s="194"/>
      <c r="AG416" s="194"/>
      <c r="AH416" s="194"/>
      <c r="AI416" s="190"/>
    </row>
    <row r="417" ht="16.5" customHeight="1">
      <c r="A417" s="190"/>
      <c r="B417" s="191"/>
      <c r="C417" s="191"/>
      <c r="D417" s="191"/>
      <c r="E417" s="192"/>
      <c r="F417" s="192"/>
      <c r="G417" s="192"/>
      <c r="H417" s="192"/>
      <c r="I417" s="192"/>
      <c r="J417" s="193"/>
      <c r="K417" s="192"/>
      <c r="L417" s="190"/>
      <c r="M417" s="194"/>
      <c r="N417" s="194"/>
      <c r="O417" s="194"/>
      <c r="P417" s="194"/>
      <c r="Q417" s="194"/>
      <c r="R417" s="194"/>
      <c r="S417" s="195"/>
      <c r="T417" s="195"/>
      <c r="U417" s="195"/>
      <c r="V417" s="191"/>
      <c r="W417" s="192"/>
      <c r="X417" s="192"/>
      <c r="Y417" s="192"/>
      <c r="Z417" s="191"/>
      <c r="AA417" s="191"/>
      <c r="AB417" s="193"/>
      <c r="AC417" s="193"/>
      <c r="AD417" s="191"/>
      <c r="AE417" s="194"/>
      <c r="AF417" s="194"/>
      <c r="AG417" s="194"/>
      <c r="AH417" s="194"/>
      <c r="AI417" s="190"/>
    </row>
    <row r="418" ht="16.5" customHeight="1">
      <c r="A418" s="190"/>
      <c r="B418" s="191"/>
      <c r="C418" s="191"/>
      <c r="D418" s="191"/>
      <c r="E418" s="192"/>
      <c r="F418" s="192"/>
      <c r="G418" s="192"/>
      <c r="H418" s="192"/>
      <c r="I418" s="192"/>
      <c r="J418" s="193"/>
      <c r="K418" s="192"/>
      <c r="L418" s="190"/>
      <c r="M418" s="194"/>
      <c r="N418" s="194"/>
      <c r="O418" s="194"/>
      <c r="P418" s="194"/>
      <c r="Q418" s="194"/>
      <c r="R418" s="194"/>
      <c r="S418" s="195"/>
      <c r="T418" s="195"/>
      <c r="U418" s="195"/>
      <c r="V418" s="191"/>
      <c r="W418" s="192"/>
      <c r="X418" s="192"/>
      <c r="Y418" s="192"/>
      <c r="Z418" s="191"/>
      <c r="AA418" s="191"/>
      <c r="AB418" s="193"/>
      <c r="AC418" s="193"/>
      <c r="AD418" s="191"/>
      <c r="AE418" s="194"/>
      <c r="AF418" s="194"/>
      <c r="AG418" s="194"/>
      <c r="AH418" s="194"/>
      <c r="AI418" s="190"/>
    </row>
    <row r="419" ht="16.5" customHeight="1">
      <c r="A419" s="190"/>
      <c r="B419" s="191"/>
      <c r="C419" s="191"/>
      <c r="D419" s="191"/>
      <c r="E419" s="192"/>
      <c r="F419" s="192"/>
      <c r="G419" s="192"/>
      <c r="H419" s="192"/>
      <c r="I419" s="192"/>
      <c r="J419" s="193"/>
      <c r="K419" s="192"/>
      <c r="L419" s="190"/>
      <c r="M419" s="194"/>
      <c r="N419" s="194"/>
      <c r="O419" s="194"/>
      <c r="P419" s="194"/>
      <c r="Q419" s="194"/>
      <c r="R419" s="194"/>
      <c r="S419" s="195"/>
      <c r="T419" s="195"/>
      <c r="U419" s="195"/>
      <c r="V419" s="191"/>
      <c r="W419" s="192"/>
      <c r="X419" s="192"/>
      <c r="Y419" s="192"/>
      <c r="Z419" s="191"/>
      <c r="AA419" s="191"/>
      <c r="AB419" s="193"/>
      <c r="AC419" s="193"/>
      <c r="AD419" s="191"/>
      <c r="AE419" s="194"/>
      <c r="AF419" s="194"/>
      <c r="AG419" s="194"/>
      <c r="AH419" s="194"/>
      <c r="AI419" s="190"/>
    </row>
    <row r="420" ht="16.5" customHeight="1">
      <c r="A420" s="190"/>
      <c r="B420" s="191"/>
      <c r="C420" s="191"/>
      <c r="D420" s="191"/>
      <c r="E420" s="192"/>
      <c r="F420" s="192"/>
      <c r="G420" s="192"/>
      <c r="H420" s="192"/>
      <c r="I420" s="192"/>
      <c r="J420" s="193"/>
      <c r="K420" s="192"/>
      <c r="L420" s="190"/>
      <c r="M420" s="194"/>
      <c r="N420" s="194"/>
      <c r="O420" s="194"/>
      <c r="P420" s="194"/>
      <c r="Q420" s="194"/>
      <c r="R420" s="194"/>
      <c r="S420" s="195"/>
      <c r="T420" s="195"/>
      <c r="U420" s="195"/>
      <c r="V420" s="191"/>
      <c r="W420" s="192"/>
      <c r="X420" s="192"/>
      <c r="Y420" s="192"/>
      <c r="Z420" s="191"/>
      <c r="AA420" s="191"/>
      <c r="AB420" s="193"/>
      <c r="AC420" s="193"/>
      <c r="AD420" s="191"/>
      <c r="AE420" s="194"/>
      <c r="AF420" s="194"/>
      <c r="AG420" s="194"/>
      <c r="AH420" s="194"/>
      <c r="AI420" s="190"/>
    </row>
    <row r="421" ht="16.5" customHeight="1">
      <c r="A421" s="190"/>
      <c r="B421" s="191"/>
      <c r="C421" s="191"/>
      <c r="D421" s="191"/>
      <c r="E421" s="192"/>
      <c r="F421" s="192"/>
      <c r="G421" s="192"/>
      <c r="H421" s="192"/>
      <c r="I421" s="192"/>
      <c r="J421" s="193"/>
      <c r="K421" s="192"/>
      <c r="L421" s="190"/>
      <c r="M421" s="194"/>
      <c r="N421" s="194"/>
      <c r="O421" s="194"/>
      <c r="P421" s="194"/>
      <c r="Q421" s="194"/>
      <c r="R421" s="194"/>
      <c r="S421" s="195"/>
      <c r="T421" s="195"/>
      <c r="U421" s="195"/>
      <c r="V421" s="191"/>
      <c r="W421" s="192"/>
      <c r="X421" s="192"/>
      <c r="Y421" s="192"/>
      <c r="Z421" s="191"/>
      <c r="AA421" s="191"/>
      <c r="AB421" s="193"/>
      <c r="AC421" s="193"/>
      <c r="AD421" s="191"/>
      <c r="AE421" s="194"/>
      <c r="AF421" s="194"/>
      <c r="AG421" s="194"/>
      <c r="AH421" s="194"/>
      <c r="AI421" s="190"/>
    </row>
    <row r="422" ht="16.5" customHeight="1">
      <c r="A422" s="190"/>
      <c r="B422" s="191"/>
      <c r="C422" s="191"/>
      <c r="D422" s="191"/>
      <c r="E422" s="192"/>
      <c r="F422" s="192"/>
      <c r="G422" s="192"/>
      <c r="H422" s="192"/>
      <c r="I422" s="192"/>
      <c r="J422" s="193"/>
      <c r="K422" s="192"/>
      <c r="L422" s="190"/>
      <c r="M422" s="194"/>
      <c r="N422" s="194"/>
      <c r="O422" s="194"/>
      <c r="P422" s="194"/>
      <c r="Q422" s="194"/>
      <c r="R422" s="194"/>
      <c r="S422" s="195"/>
      <c r="T422" s="195"/>
      <c r="U422" s="195"/>
      <c r="V422" s="191"/>
      <c r="W422" s="192"/>
      <c r="X422" s="192"/>
      <c r="Y422" s="192"/>
      <c r="Z422" s="191"/>
      <c r="AA422" s="191"/>
      <c r="AB422" s="193"/>
      <c r="AC422" s="193"/>
      <c r="AD422" s="191"/>
      <c r="AE422" s="194"/>
      <c r="AF422" s="194"/>
      <c r="AG422" s="194"/>
      <c r="AH422" s="194"/>
      <c r="AI422" s="190"/>
    </row>
    <row r="423" ht="16.5" customHeight="1">
      <c r="A423" s="190"/>
      <c r="B423" s="191"/>
      <c r="C423" s="191"/>
      <c r="D423" s="191"/>
      <c r="E423" s="192"/>
      <c r="F423" s="192"/>
      <c r="G423" s="192"/>
      <c r="H423" s="192"/>
      <c r="I423" s="192"/>
      <c r="J423" s="193"/>
      <c r="K423" s="192"/>
      <c r="L423" s="190"/>
      <c r="M423" s="194"/>
      <c r="N423" s="194"/>
      <c r="O423" s="194"/>
      <c r="P423" s="194"/>
      <c r="Q423" s="194"/>
      <c r="R423" s="194"/>
      <c r="S423" s="195"/>
      <c r="T423" s="195"/>
      <c r="U423" s="195"/>
      <c r="V423" s="191"/>
      <c r="W423" s="192"/>
      <c r="X423" s="192"/>
      <c r="Y423" s="192"/>
      <c r="Z423" s="191"/>
      <c r="AA423" s="191"/>
      <c r="AB423" s="193"/>
      <c r="AC423" s="193"/>
      <c r="AD423" s="191"/>
      <c r="AE423" s="194"/>
      <c r="AF423" s="194"/>
      <c r="AG423" s="194"/>
      <c r="AH423" s="194"/>
      <c r="AI423" s="190"/>
    </row>
    <row r="424" ht="16.5" customHeight="1">
      <c r="A424" s="190"/>
      <c r="B424" s="191"/>
      <c r="C424" s="191"/>
      <c r="D424" s="191"/>
      <c r="E424" s="192"/>
      <c r="F424" s="192"/>
      <c r="G424" s="192"/>
      <c r="H424" s="192"/>
      <c r="I424" s="192"/>
      <c r="J424" s="193"/>
      <c r="K424" s="192"/>
      <c r="L424" s="190"/>
      <c r="M424" s="194"/>
      <c r="N424" s="194"/>
      <c r="O424" s="194"/>
      <c r="P424" s="194"/>
      <c r="Q424" s="194"/>
      <c r="R424" s="194"/>
      <c r="S424" s="195"/>
      <c r="T424" s="195"/>
      <c r="U424" s="195"/>
      <c r="V424" s="191"/>
      <c r="W424" s="192"/>
      <c r="X424" s="192"/>
      <c r="Y424" s="192"/>
      <c r="Z424" s="191"/>
      <c r="AA424" s="191"/>
      <c r="AB424" s="193"/>
      <c r="AC424" s="193"/>
      <c r="AD424" s="191"/>
      <c r="AE424" s="194"/>
      <c r="AF424" s="194"/>
      <c r="AG424" s="194"/>
      <c r="AH424" s="194"/>
      <c r="AI424" s="190"/>
    </row>
    <row r="425" ht="16.5" customHeight="1">
      <c r="A425" s="190"/>
      <c r="B425" s="191"/>
      <c r="C425" s="191"/>
      <c r="D425" s="191"/>
      <c r="E425" s="192"/>
      <c r="F425" s="192"/>
      <c r="G425" s="192"/>
      <c r="H425" s="192"/>
      <c r="I425" s="192"/>
      <c r="J425" s="193"/>
      <c r="K425" s="192"/>
      <c r="L425" s="190"/>
      <c r="M425" s="194"/>
      <c r="N425" s="194"/>
      <c r="O425" s="194"/>
      <c r="P425" s="194"/>
      <c r="Q425" s="194"/>
      <c r="R425" s="194"/>
      <c r="S425" s="195"/>
      <c r="T425" s="195"/>
      <c r="U425" s="195"/>
      <c r="V425" s="191"/>
      <c r="W425" s="192"/>
      <c r="X425" s="192"/>
      <c r="Y425" s="192"/>
      <c r="Z425" s="191"/>
      <c r="AA425" s="191"/>
      <c r="AB425" s="193"/>
      <c r="AC425" s="193"/>
      <c r="AD425" s="191"/>
      <c r="AE425" s="194"/>
      <c r="AF425" s="194"/>
      <c r="AG425" s="194"/>
      <c r="AH425" s="194"/>
      <c r="AI425" s="190"/>
    </row>
    <row r="426" ht="16.5" customHeight="1">
      <c r="A426" s="190"/>
      <c r="B426" s="191"/>
      <c r="C426" s="191"/>
      <c r="D426" s="191"/>
      <c r="E426" s="192"/>
      <c r="F426" s="192"/>
      <c r="G426" s="192"/>
      <c r="H426" s="192"/>
      <c r="I426" s="192"/>
      <c r="J426" s="193"/>
      <c r="K426" s="192"/>
      <c r="L426" s="190"/>
      <c r="M426" s="194"/>
      <c r="N426" s="194"/>
      <c r="O426" s="194"/>
      <c r="P426" s="194"/>
      <c r="Q426" s="194"/>
      <c r="R426" s="194"/>
      <c r="S426" s="195"/>
      <c r="T426" s="195"/>
      <c r="U426" s="195"/>
      <c r="V426" s="191"/>
      <c r="W426" s="192"/>
      <c r="X426" s="192"/>
      <c r="Y426" s="192"/>
      <c r="Z426" s="191"/>
      <c r="AA426" s="191"/>
      <c r="AB426" s="193"/>
      <c r="AC426" s="193"/>
      <c r="AD426" s="191"/>
      <c r="AE426" s="194"/>
      <c r="AF426" s="194"/>
      <c r="AG426" s="194"/>
      <c r="AH426" s="194"/>
      <c r="AI426" s="190"/>
    </row>
    <row r="427" ht="16.5" customHeight="1">
      <c r="A427" s="190"/>
      <c r="B427" s="191"/>
      <c r="C427" s="191"/>
      <c r="D427" s="191"/>
      <c r="E427" s="192"/>
      <c r="F427" s="192"/>
      <c r="G427" s="192"/>
      <c r="H427" s="192"/>
      <c r="I427" s="192"/>
      <c r="J427" s="193"/>
      <c r="K427" s="192"/>
      <c r="L427" s="190"/>
      <c r="M427" s="194"/>
      <c r="N427" s="194"/>
      <c r="O427" s="194"/>
      <c r="P427" s="194"/>
      <c r="Q427" s="194"/>
      <c r="R427" s="194"/>
      <c r="S427" s="195"/>
      <c r="T427" s="195"/>
      <c r="U427" s="195"/>
      <c r="V427" s="191"/>
      <c r="W427" s="192"/>
      <c r="X427" s="192"/>
      <c r="Y427" s="192"/>
      <c r="Z427" s="191"/>
      <c r="AA427" s="191"/>
      <c r="AB427" s="193"/>
      <c r="AC427" s="193"/>
      <c r="AD427" s="191"/>
      <c r="AE427" s="194"/>
      <c r="AF427" s="194"/>
      <c r="AG427" s="194"/>
      <c r="AH427" s="194"/>
      <c r="AI427" s="190"/>
    </row>
    <row r="428" ht="16.5" customHeight="1">
      <c r="A428" s="190"/>
      <c r="B428" s="191"/>
      <c r="C428" s="191"/>
      <c r="D428" s="191"/>
      <c r="E428" s="192"/>
      <c r="F428" s="192"/>
      <c r="G428" s="192"/>
      <c r="H428" s="192"/>
      <c r="I428" s="192"/>
      <c r="J428" s="193"/>
      <c r="K428" s="192"/>
      <c r="L428" s="190"/>
      <c r="M428" s="194"/>
      <c r="N428" s="194"/>
      <c r="O428" s="194"/>
      <c r="P428" s="194"/>
      <c r="Q428" s="194"/>
      <c r="R428" s="194"/>
      <c r="S428" s="195"/>
      <c r="T428" s="195"/>
      <c r="U428" s="195"/>
      <c r="V428" s="191"/>
      <c r="W428" s="192"/>
      <c r="X428" s="192"/>
      <c r="Y428" s="192"/>
      <c r="Z428" s="191"/>
      <c r="AA428" s="191"/>
      <c r="AB428" s="193"/>
      <c r="AC428" s="193"/>
      <c r="AD428" s="191"/>
      <c r="AE428" s="194"/>
      <c r="AF428" s="194"/>
      <c r="AG428" s="194"/>
      <c r="AH428" s="194"/>
      <c r="AI428" s="190"/>
    </row>
    <row r="429" ht="16.5" customHeight="1">
      <c r="A429" s="190"/>
      <c r="B429" s="191"/>
      <c r="C429" s="191"/>
      <c r="D429" s="191"/>
      <c r="E429" s="192"/>
      <c r="F429" s="192"/>
      <c r="G429" s="192"/>
      <c r="H429" s="192"/>
      <c r="I429" s="192"/>
      <c r="J429" s="193"/>
      <c r="K429" s="192"/>
      <c r="L429" s="190"/>
      <c r="M429" s="194"/>
      <c r="N429" s="194"/>
      <c r="O429" s="194"/>
      <c r="P429" s="194"/>
      <c r="Q429" s="194"/>
      <c r="R429" s="194"/>
      <c r="S429" s="195"/>
      <c r="T429" s="195"/>
      <c r="U429" s="195"/>
      <c r="V429" s="191"/>
      <c r="W429" s="192"/>
      <c r="X429" s="192"/>
      <c r="Y429" s="192"/>
      <c r="Z429" s="191"/>
      <c r="AA429" s="191"/>
      <c r="AB429" s="193"/>
      <c r="AC429" s="193"/>
      <c r="AD429" s="191"/>
      <c r="AE429" s="194"/>
      <c r="AF429" s="194"/>
      <c r="AG429" s="194"/>
      <c r="AH429" s="194"/>
      <c r="AI429" s="190"/>
    </row>
    <row r="430" ht="16.5" customHeight="1">
      <c r="A430" s="190"/>
      <c r="B430" s="191"/>
      <c r="C430" s="191"/>
      <c r="D430" s="191"/>
      <c r="E430" s="192"/>
      <c r="F430" s="192"/>
      <c r="G430" s="192"/>
      <c r="H430" s="192"/>
      <c r="I430" s="192"/>
      <c r="J430" s="193"/>
      <c r="K430" s="192"/>
      <c r="L430" s="190"/>
      <c r="M430" s="194"/>
      <c r="N430" s="194"/>
      <c r="O430" s="194"/>
      <c r="P430" s="194"/>
      <c r="Q430" s="194"/>
      <c r="R430" s="194"/>
      <c r="S430" s="195"/>
      <c r="T430" s="195"/>
      <c r="U430" s="195"/>
      <c r="V430" s="191"/>
      <c r="W430" s="192"/>
      <c r="X430" s="192"/>
      <c r="Y430" s="192"/>
      <c r="Z430" s="191"/>
      <c r="AA430" s="191"/>
      <c r="AB430" s="193"/>
      <c r="AC430" s="193"/>
      <c r="AD430" s="191"/>
      <c r="AE430" s="194"/>
      <c r="AF430" s="194"/>
      <c r="AG430" s="194"/>
      <c r="AH430" s="194"/>
      <c r="AI430" s="190"/>
    </row>
    <row r="431" ht="16.5" customHeight="1">
      <c r="A431" s="190"/>
      <c r="B431" s="191"/>
      <c r="C431" s="191"/>
      <c r="D431" s="191"/>
      <c r="E431" s="192"/>
      <c r="F431" s="192"/>
      <c r="G431" s="192"/>
      <c r="H431" s="192"/>
      <c r="I431" s="192"/>
      <c r="J431" s="193"/>
      <c r="K431" s="192"/>
      <c r="L431" s="190"/>
      <c r="M431" s="194"/>
      <c r="N431" s="194"/>
      <c r="O431" s="194"/>
      <c r="P431" s="194"/>
      <c r="Q431" s="194"/>
      <c r="R431" s="194"/>
      <c r="S431" s="195"/>
      <c r="T431" s="195"/>
      <c r="U431" s="195"/>
      <c r="V431" s="191"/>
      <c r="W431" s="192"/>
      <c r="X431" s="192"/>
      <c r="Y431" s="192"/>
      <c r="Z431" s="191"/>
      <c r="AA431" s="191"/>
      <c r="AB431" s="193"/>
      <c r="AC431" s="193"/>
      <c r="AD431" s="191"/>
      <c r="AE431" s="194"/>
      <c r="AF431" s="194"/>
      <c r="AG431" s="194"/>
      <c r="AH431" s="194"/>
      <c r="AI431" s="190"/>
    </row>
    <row r="432" ht="16.5" customHeight="1">
      <c r="A432" s="190"/>
      <c r="B432" s="191"/>
      <c r="C432" s="191"/>
      <c r="D432" s="191"/>
      <c r="E432" s="192"/>
      <c r="F432" s="192"/>
      <c r="G432" s="192"/>
      <c r="H432" s="192"/>
      <c r="I432" s="192"/>
      <c r="J432" s="193"/>
      <c r="K432" s="192"/>
      <c r="L432" s="190"/>
      <c r="M432" s="194"/>
      <c r="N432" s="194"/>
      <c r="O432" s="194"/>
      <c r="P432" s="194"/>
      <c r="Q432" s="194"/>
      <c r="R432" s="194"/>
      <c r="S432" s="195"/>
      <c r="T432" s="195"/>
      <c r="U432" s="195"/>
      <c r="V432" s="191"/>
      <c r="W432" s="192"/>
      <c r="X432" s="192"/>
      <c r="Y432" s="192"/>
      <c r="Z432" s="191"/>
      <c r="AA432" s="191"/>
      <c r="AB432" s="193"/>
      <c r="AC432" s="193"/>
      <c r="AD432" s="191"/>
      <c r="AE432" s="194"/>
      <c r="AF432" s="194"/>
      <c r="AG432" s="194"/>
      <c r="AH432" s="194"/>
      <c r="AI432" s="190"/>
    </row>
    <row r="433" ht="16.5" customHeight="1">
      <c r="A433" s="190"/>
      <c r="B433" s="191"/>
      <c r="C433" s="191"/>
      <c r="D433" s="191"/>
      <c r="E433" s="192"/>
      <c r="F433" s="192"/>
      <c r="G433" s="192"/>
      <c r="H433" s="192"/>
      <c r="I433" s="192"/>
      <c r="J433" s="193"/>
      <c r="K433" s="192"/>
      <c r="L433" s="190"/>
      <c r="M433" s="194"/>
      <c r="N433" s="194"/>
      <c r="O433" s="194"/>
      <c r="P433" s="194"/>
      <c r="Q433" s="194"/>
      <c r="R433" s="194"/>
      <c r="S433" s="195"/>
      <c r="T433" s="195"/>
      <c r="U433" s="195"/>
      <c r="V433" s="191"/>
      <c r="W433" s="192"/>
      <c r="X433" s="192"/>
      <c r="Y433" s="192"/>
      <c r="Z433" s="191"/>
      <c r="AA433" s="191"/>
      <c r="AB433" s="193"/>
      <c r="AC433" s="193"/>
      <c r="AD433" s="191"/>
      <c r="AE433" s="194"/>
      <c r="AF433" s="194"/>
      <c r="AG433" s="194"/>
      <c r="AH433" s="194"/>
      <c r="AI433" s="190"/>
    </row>
    <row r="434" ht="16.5" customHeight="1">
      <c r="A434" s="190"/>
      <c r="B434" s="191"/>
      <c r="C434" s="191"/>
      <c r="D434" s="191"/>
      <c r="E434" s="192"/>
      <c r="F434" s="192"/>
      <c r="G434" s="192"/>
      <c r="H434" s="192"/>
      <c r="I434" s="192"/>
      <c r="J434" s="193"/>
      <c r="K434" s="192"/>
      <c r="L434" s="190"/>
      <c r="M434" s="194"/>
      <c r="N434" s="194"/>
      <c r="O434" s="194"/>
      <c r="P434" s="194"/>
      <c r="Q434" s="194"/>
      <c r="R434" s="194"/>
      <c r="S434" s="195"/>
      <c r="T434" s="195"/>
      <c r="U434" s="195"/>
      <c r="V434" s="191"/>
      <c r="W434" s="192"/>
      <c r="X434" s="192"/>
      <c r="Y434" s="192"/>
      <c r="Z434" s="191"/>
      <c r="AA434" s="191"/>
      <c r="AB434" s="193"/>
      <c r="AC434" s="193"/>
      <c r="AD434" s="191"/>
      <c r="AE434" s="194"/>
      <c r="AF434" s="194"/>
      <c r="AG434" s="194"/>
      <c r="AH434" s="194"/>
      <c r="AI434" s="190"/>
    </row>
    <row r="435" ht="16.5" customHeight="1">
      <c r="A435" s="190"/>
      <c r="B435" s="191"/>
      <c r="C435" s="191"/>
      <c r="D435" s="191"/>
      <c r="E435" s="192"/>
      <c r="F435" s="192"/>
      <c r="G435" s="192"/>
      <c r="H435" s="192"/>
      <c r="I435" s="192"/>
      <c r="J435" s="193"/>
      <c r="K435" s="192"/>
      <c r="L435" s="190"/>
      <c r="M435" s="194"/>
      <c r="N435" s="194"/>
      <c r="O435" s="194"/>
      <c r="P435" s="194"/>
      <c r="Q435" s="194"/>
      <c r="R435" s="194"/>
      <c r="S435" s="195"/>
      <c r="T435" s="195"/>
      <c r="U435" s="195"/>
      <c r="V435" s="191"/>
      <c r="W435" s="192"/>
      <c r="X435" s="192"/>
      <c r="Y435" s="192"/>
      <c r="Z435" s="191"/>
      <c r="AA435" s="191"/>
      <c r="AB435" s="193"/>
      <c r="AC435" s="193"/>
      <c r="AD435" s="191"/>
      <c r="AE435" s="194"/>
      <c r="AF435" s="194"/>
      <c r="AG435" s="194"/>
      <c r="AH435" s="194"/>
      <c r="AI435" s="190"/>
    </row>
    <row r="436" ht="16.5" customHeight="1">
      <c r="A436" s="190"/>
      <c r="B436" s="191"/>
      <c r="C436" s="191"/>
      <c r="D436" s="191"/>
      <c r="E436" s="192"/>
      <c r="F436" s="192"/>
      <c r="G436" s="192"/>
      <c r="H436" s="192"/>
      <c r="I436" s="192"/>
      <c r="J436" s="193"/>
      <c r="K436" s="192"/>
      <c r="L436" s="190"/>
      <c r="M436" s="194"/>
      <c r="N436" s="194"/>
      <c r="O436" s="194"/>
      <c r="P436" s="194"/>
      <c r="Q436" s="194"/>
      <c r="R436" s="194"/>
      <c r="S436" s="195"/>
      <c r="T436" s="195"/>
      <c r="U436" s="195"/>
      <c r="V436" s="191"/>
      <c r="W436" s="192"/>
      <c r="X436" s="192"/>
      <c r="Y436" s="192"/>
      <c r="Z436" s="191"/>
      <c r="AA436" s="191"/>
      <c r="AB436" s="193"/>
      <c r="AC436" s="193"/>
      <c r="AD436" s="191"/>
      <c r="AE436" s="194"/>
      <c r="AF436" s="194"/>
      <c r="AG436" s="194"/>
      <c r="AH436" s="194"/>
      <c r="AI436" s="190"/>
    </row>
    <row r="437" ht="16.5" customHeight="1">
      <c r="A437" s="190"/>
      <c r="B437" s="191"/>
      <c r="C437" s="191"/>
      <c r="D437" s="191"/>
      <c r="E437" s="192"/>
      <c r="F437" s="192"/>
      <c r="G437" s="192"/>
      <c r="H437" s="192"/>
      <c r="I437" s="192"/>
      <c r="J437" s="193"/>
      <c r="K437" s="192"/>
      <c r="L437" s="190"/>
      <c r="M437" s="194"/>
      <c r="N437" s="194"/>
      <c r="O437" s="194"/>
      <c r="P437" s="194"/>
      <c r="Q437" s="194"/>
      <c r="R437" s="194"/>
      <c r="S437" s="195"/>
      <c r="T437" s="195"/>
      <c r="U437" s="195"/>
      <c r="V437" s="191"/>
      <c r="W437" s="192"/>
      <c r="X437" s="192"/>
      <c r="Y437" s="192"/>
      <c r="Z437" s="191"/>
      <c r="AA437" s="191"/>
      <c r="AB437" s="193"/>
      <c r="AC437" s="193"/>
      <c r="AD437" s="191"/>
      <c r="AE437" s="194"/>
      <c r="AF437" s="194"/>
      <c r="AG437" s="194"/>
      <c r="AH437" s="194"/>
      <c r="AI437" s="190"/>
    </row>
    <row r="438" ht="16.5" customHeight="1">
      <c r="A438" s="190"/>
      <c r="B438" s="191"/>
      <c r="C438" s="191"/>
      <c r="D438" s="191"/>
      <c r="E438" s="192"/>
      <c r="F438" s="192"/>
      <c r="G438" s="192"/>
      <c r="H438" s="192"/>
      <c r="I438" s="192"/>
      <c r="J438" s="193"/>
      <c r="K438" s="192"/>
      <c r="L438" s="190"/>
      <c r="M438" s="194"/>
      <c r="N438" s="194"/>
      <c r="O438" s="194"/>
      <c r="P438" s="194"/>
      <c r="Q438" s="194"/>
      <c r="R438" s="194"/>
      <c r="S438" s="195"/>
      <c r="T438" s="195"/>
      <c r="U438" s="195"/>
      <c r="V438" s="191"/>
      <c r="W438" s="192"/>
      <c r="X438" s="192"/>
      <c r="Y438" s="192"/>
      <c r="Z438" s="191"/>
      <c r="AA438" s="191"/>
      <c r="AB438" s="193"/>
      <c r="AC438" s="193"/>
      <c r="AD438" s="191"/>
      <c r="AE438" s="194"/>
      <c r="AF438" s="194"/>
      <c r="AG438" s="194"/>
      <c r="AH438" s="194"/>
      <c r="AI438" s="190"/>
    </row>
    <row r="439" ht="16.5" customHeight="1">
      <c r="A439" s="190"/>
      <c r="B439" s="191"/>
      <c r="C439" s="191"/>
      <c r="D439" s="191"/>
      <c r="E439" s="192"/>
      <c r="F439" s="192"/>
      <c r="G439" s="192"/>
      <c r="H439" s="192"/>
      <c r="I439" s="192"/>
      <c r="J439" s="193"/>
      <c r="K439" s="192"/>
      <c r="L439" s="190"/>
      <c r="M439" s="194"/>
      <c r="N439" s="194"/>
      <c r="O439" s="194"/>
      <c r="P439" s="194"/>
      <c r="Q439" s="194"/>
      <c r="R439" s="194"/>
      <c r="S439" s="195"/>
      <c r="T439" s="195"/>
      <c r="U439" s="195"/>
      <c r="V439" s="191"/>
      <c r="W439" s="192"/>
      <c r="X439" s="192"/>
      <c r="Y439" s="192"/>
      <c r="Z439" s="191"/>
      <c r="AA439" s="191"/>
      <c r="AB439" s="193"/>
      <c r="AC439" s="193"/>
      <c r="AD439" s="191"/>
      <c r="AE439" s="194"/>
      <c r="AF439" s="194"/>
      <c r="AG439" s="194"/>
      <c r="AH439" s="194"/>
      <c r="AI439" s="190"/>
    </row>
    <row r="440" ht="16.5" customHeight="1">
      <c r="A440" s="190"/>
      <c r="B440" s="191"/>
      <c r="C440" s="191"/>
      <c r="D440" s="191"/>
      <c r="E440" s="192"/>
      <c r="F440" s="192"/>
      <c r="G440" s="192"/>
      <c r="H440" s="192"/>
      <c r="I440" s="192"/>
      <c r="J440" s="193"/>
      <c r="K440" s="192"/>
      <c r="L440" s="190"/>
      <c r="M440" s="194"/>
      <c r="N440" s="194"/>
      <c r="O440" s="194"/>
      <c r="P440" s="194"/>
      <c r="Q440" s="194"/>
      <c r="R440" s="194"/>
      <c r="S440" s="195"/>
      <c r="T440" s="195"/>
      <c r="U440" s="195"/>
      <c r="V440" s="191"/>
      <c r="W440" s="192"/>
      <c r="X440" s="192"/>
      <c r="Y440" s="192"/>
      <c r="Z440" s="191"/>
      <c r="AA440" s="191"/>
      <c r="AB440" s="193"/>
      <c r="AC440" s="193"/>
      <c r="AD440" s="191"/>
      <c r="AE440" s="194"/>
      <c r="AF440" s="194"/>
      <c r="AG440" s="194"/>
      <c r="AH440" s="194"/>
      <c r="AI440" s="190"/>
    </row>
    <row r="441" ht="16.5" customHeight="1">
      <c r="A441" s="190"/>
      <c r="B441" s="191"/>
      <c r="C441" s="191"/>
      <c r="D441" s="191"/>
      <c r="E441" s="192"/>
      <c r="F441" s="192"/>
      <c r="G441" s="192"/>
      <c r="H441" s="192"/>
      <c r="I441" s="192"/>
      <c r="J441" s="193"/>
      <c r="K441" s="192"/>
      <c r="L441" s="190"/>
      <c r="M441" s="194"/>
      <c r="N441" s="194"/>
      <c r="O441" s="194"/>
      <c r="P441" s="194"/>
      <c r="Q441" s="194"/>
      <c r="R441" s="194"/>
      <c r="S441" s="195"/>
      <c r="T441" s="195"/>
      <c r="U441" s="195"/>
      <c r="V441" s="191"/>
      <c r="W441" s="192"/>
      <c r="X441" s="192"/>
      <c r="Y441" s="192"/>
      <c r="Z441" s="191"/>
      <c r="AA441" s="191"/>
      <c r="AB441" s="193"/>
      <c r="AC441" s="193"/>
      <c r="AD441" s="191"/>
      <c r="AE441" s="194"/>
      <c r="AF441" s="194"/>
      <c r="AG441" s="194"/>
      <c r="AH441" s="194"/>
      <c r="AI441" s="190"/>
    </row>
    <row r="442" ht="16.5" customHeight="1">
      <c r="A442" s="190"/>
      <c r="B442" s="191"/>
      <c r="C442" s="191"/>
      <c r="D442" s="191"/>
      <c r="E442" s="192"/>
      <c r="F442" s="192"/>
      <c r="G442" s="192"/>
      <c r="H442" s="192"/>
      <c r="I442" s="192"/>
      <c r="J442" s="193"/>
      <c r="K442" s="192"/>
      <c r="L442" s="190"/>
      <c r="M442" s="194"/>
      <c r="N442" s="194"/>
      <c r="O442" s="194"/>
      <c r="P442" s="194"/>
      <c r="Q442" s="194"/>
      <c r="R442" s="194"/>
      <c r="S442" s="195"/>
      <c r="T442" s="195"/>
      <c r="U442" s="195"/>
      <c r="V442" s="191"/>
      <c r="W442" s="192"/>
      <c r="X442" s="192"/>
      <c r="Y442" s="192"/>
      <c r="Z442" s="191"/>
      <c r="AA442" s="191"/>
      <c r="AB442" s="193"/>
      <c r="AC442" s="193"/>
      <c r="AD442" s="191"/>
      <c r="AE442" s="194"/>
      <c r="AF442" s="194"/>
      <c r="AG442" s="194"/>
      <c r="AH442" s="194"/>
      <c r="AI442" s="190"/>
    </row>
    <row r="443" ht="16.5" customHeight="1">
      <c r="A443" s="190"/>
      <c r="B443" s="191"/>
      <c r="C443" s="191"/>
      <c r="D443" s="191"/>
      <c r="E443" s="192"/>
      <c r="F443" s="192"/>
      <c r="G443" s="192"/>
      <c r="H443" s="192"/>
      <c r="I443" s="192"/>
      <c r="J443" s="193"/>
      <c r="K443" s="192"/>
      <c r="L443" s="190"/>
      <c r="M443" s="194"/>
      <c r="N443" s="194"/>
      <c r="O443" s="194"/>
      <c r="P443" s="194"/>
      <c r="Q443" s="194"/>
      <c r="R443" s="194"/>
      <c r="S443" s="195"/>
      <c r="T443" s="195"/>
      <c r="U443" s="195"/>
      <c r="V443" s="191"/>
      <c r="W443" s="192"/>
      <c r="X443" s="192"/>
      <c r="Y443" s="192"/>
      <c r="Z443" s="191"/>
      <c r="AA443" s="191"/>
      <c r="AB443" s="193"/>
      <c r="AC443" s="193"/>
      <c r="AD443" s="191"/>
      <c r="AE443" s="194"/>
      <c r="AF443" s="194"/>
      <c r="AG443" s="194"/>
      <c r="AH443" s="194"/>
      <c r="AI443" s="190"/>
    </row>
    <row r="444" ht="16.5" customHeight="1">
      <c r="A444" s="190"/>
      <c r="B444" s="191"/>
      <c r="C444" s="191"/>
      <c r="D444" s="191"/>
      <c r="E444" s="192"/>
      <c r="F444" s="192"/>
      <c r="G444" s="192"/>
      <c r="H444" s="192"/>
      <c r="I444" s="192"/>
      <c r="J444" s="193"/>
      <c r="K444" s="192"/>
      <c r="L444" s="190"/>
      <c r="M444" s="194"/>
      <c r="N444" s="194"/>
      <c r="O444" s="194"/>
      <c r="P444" s="194"/>
      <c r="Q444" s="194"/>
      <c r="R444" s="194"/>
      <c r="S444" s="195"/>
      <c r="T444" s="195"/>
      <c r="U444" s="195"/>
      <c r="V444" s="191"/>
      <c r="W444" s="192"/>
      <c r="X444" s="192"/>
      <c r="Y444" s="192"/>
      <c r="Z444" s="191"/>
      <c r="AA444" s="191"/>
      <c r="AB444" s="193"/>
      <c r="AC444" s="193"/>
      <c r="AD444" s="191"/>
      <c r="AE444" s="194"/>
      <c r="AF444" s="194"/>
      <c r="AG444" s="194"/>
      <c r="AH444" s="194"/>
      <c r="AI444" s="190"/>
    </row>
    <row r="445" ht="16.5" customHeight="1">
      <c r="A445" s="190"/>
      <c r="B445" s="191"/>
      <c r="C445" s="191"/>
      <c r="D445" s="191"/>
      <c r="E445" s="192"/>
      <c r="F445" s="192"/>
      <c r="G445" s="192"/>
      <c r="H445" s="192"/>
      <c r="I445" s="192"/>
      <c r="J445" s="193"/>
      <c r="K445" s="192"/>
      <c r="L445" s="190"/>
      <c r="M445" s="194"/>
      <c r="N445" s="194"/>
      <c r="O445" s="194"/>
      <c r="P445" s="194"/>
      <c r="Q445" s="194"/>
      <c r="R445" s="194"/>
      <c r="S445" s="195"/>
      <c r="T445" s="195"/>
      <c r="U445" s="195"/>
      <c r="V445" s="191"/>
      <c r="W445" s="192"/>
      <c r="X445" s="192"/>
      <c r="Y445" s="192"/>
      <c r="Z445" s="191"/>
      <c r="AA445" s="191"/>
      <c r="AB445" s="193"/>
      <c r="AC445" s="193"/>
      <c r="AD445" s="191"/>
      <c r="AE445" s="194"/>
      <c r="AF445" s="194"/>
      <c r="AG445" s="194"/>
      <c r="AH445" s="194"/>
      <c r="AI445" s="190"/>
    </row>
    <row r="446" ht="16.5" customHeight="1">
      <c r="A446" s="190"/>
      <c r="B446" s="191"/>
      <c r="C446" s="191"/>
      <c r="D446" s="191"/>
      <c r="E446" s="192"/>
      <c r="F446" s="192"/>
      <c r="G446" s="192"/>
      <c r="H446" s="192"/>
      <c r="I446" s="192"/>
      <c r="J446" s="193"/>
      <c r="K446" s="192"/>
      <c r="L446" s="190"/>
      <c r="M446" s="194"/>
      <c r="N446" s="194"/>
      <c r="O446" s="194"/>
      <c r="P446" s="194"/>
      <c r="Q446" s="194"/>
      <c r="R446" s="194"/>
      <c r="S446" s="195"/>
      <c r="T446" s="195"/>
      <c r="U446" s="195"/>
      <c r="V446" s="191"/>
      <c r="W446" s="192"/>
      <c r="X446" s="192"/>
      <c r="Y446" s="192"/>
      <c r="Z446" s="191"/>
      <c r="AA446" s="191"/>
      <c r="AB446" s="193"/>
      <c r="AC446" s="193"/>
      <c r="AD446" s="191"/>
      <c r="AE446" s="194"/>
      <c r="AF446" s="194"/>
      <c r="AG446" s="194"/>
      <c r="AH446" s="194"/>
      <c r="AI446" s="190"/>
    </row>
    <row r="447" ht="16.5" customHeight="1">
      <c r="A447" s="190"/>
      <c r="B447" s="191"/>
      <c r="C447" s="191"/>
      <c r="D447" s="191"/>
      <c r="E447" s="192"/>
      <c r="F447" s="192"/>
      <c r="G447" s="192"/>
      <c r="H447" s="192"/>
      <c r="I447" s="192"/>
      <c r="J447" s="193"/>
      <c r="K447" s="192"/>
      <c r="L447" s="190"/>
      <c r="M447" s="194"/>
      <c r="N447" s="194"/>
      <c r="O447" s="194"/>
      <c r="P447" s="194"/>
      <c r="Q447" s="194"/>
      <c r="R447" s="194"/>
      <c r="S447" s="195"/>
      <c r="T447" s="195"/>
      <c r="U447" s="195"/>
      <c r="V447" s="191"/>
      <c r="W447" s="192"/>
      <c r="X447" s="192"/>
      <c r="Y447" s="192"/>
      <c r="Z447" s="191"/>
      <c r="AA447" s="191"/>
      <c r="AB447" s="193"/>
      <c r="AC447" s="193"/>
      <c r="AD447" s="191"/>
      <c r="AE447" s="194"/>
      <c r="AF447" s="194"/>
      <c r="AG447" s="194"/>
      <c r="AH447" s="194"/>
      <c r="AI447" s="190"/>
    </row>
    <row r="448" ht="16.5" customHeight="1">
      <c r="A448" s="190"/>
      <c r="B448" s="191"/>
      <c r="C448" s="191"/>
      <c r="D448" s="191"/>
      <c r="E448" s="192"/>
      <c r="F448" s="192"/>
      <c r="G448" s="192"/>
      <c r="H448" s="192"/>
      <c r="I448" s="192"/>
      <c r="J448" s="193"/>
      <c r="K448" s="192"/>
      <c r="L448" s="190"/>
      <c r="M448" s="194"/>
      <c r="N448" s="194"/>
      <c r="O448" s="194"/>
      <c r="P448" s="194"/>
      <c r="Q448" s="194"/>
      <c r="R448" s="194"/>
      <c r="S448" s="195"/>
      <c r="T448" s="195"/>
      <c r="U448" s="195"/>
      <c r="V448" s="191"/>
      <c r="W448" s="192"/>
      <c r="X448" s="192"/>
      <c r="Y448" s="192"/>
      <c r="Z448" s="191"/>
      <c r="AA448" s="191"/>
      <c r="AB448" s="193"/>
      <c r="AC448" s="193"/>
      <c r="AD448" s="191"/>
      <c r="AE448" s="194"/>
      <c r="AF448" s="194"/>
      <c r="AG448" s="194"/>
      <c r="AH448" s="194"/>
      <c r="AI448" s="190"/>
    </row>
    <row r="449" ht="16.5" customHeight="1">
      <c r="A449" s="190"/>
      <c r="B449" s="191"/>
      <c r="C449" s="191"/>
      <c r="D449" s="191"/>
      <c r="E449" s="192"/>
      <c r="F449" s="192"/>
      <c r="G449" s="192"/>
      <c r="H449" s="192"/>
      <c r="I449" s="192"/>
      <c r="J449" s="193"/>
      <c r="K449" s="192"/>
      <c r="L449" s="190"/>
      <c r="M449" s="194"/>
      <c r="N449" s="194"/>
      <c r="O449" s="194"/>
      <c r="P449" s="194"/>
      <c r="Q449" s="194"/>
      <c r="R449" s="194"/>
      <c r="S449" s="195"/>
      <c r="T449" s="195"/>
      <c r="U449" s="195"/>
      <c r="V449" s="191"/>
      <c r="W449" s="192"/>
      <c r="X449" s="192"/>
      <c r="Y449" s="192"/>
      <c r="Z449" s="191"/>
      <c r="AA449" s="191"/>
      <c r="AB449" s="193"/>
      <c r="AC449" s="193"/>
      <c r="AD449" s="191"/>
      <c r="AE449" s="194"/>
      <c r="AF449" s="194"/>
      <c r="AG449" s="194"/>
      <c r="AH449" s="194"/>
      <c r="AI449" s="190"/>
    </row>
    <row r="450" ht="16.5" customHeight="1">
      <c r="A450" s="190"/>
      <c r="B450" s="191"/>
      <c r="C450" s="191"/>
      <c r="D450" s="191"/>
      <c r="E450" s="192"/>
      <c r="F450" s="192"/>
      <c r="G450" s="192"/>
      <c r="H450" s="192"/>
      <c r="I450" s="192"/>
      <c r="J450" s="193"/>
      <c r="K450" s="192"/>
      <c r="L450" s="190"/>
      <c r="M450" s="194"/>
      <c r="N450" s="194"/>
      <c r="O450" s="194"/>
      <c r="P450" s="194"/>
      <c r="Q450" s="194"/>
      <c r="R450" s="194"/>
      <c r="S450" s="195"/>
      <c r="T450" s="195"/>
      <c r="U450" s="195"/>
      <c r="V450" s="191"/>
      <c r="W450" s="192"/>
      <c r="X450" s="192"/>
      <c r="Y450" s="192"/>
      <c r="Z450" s="191"/>
      <c r="AA450" s="191"/>
      <c r="AB450" s="193"/>
      <c r="AC450" s="193"/>
      <c r="AD450" s="191"/>
      <c r="AE450" s="194"/>
      <c r="AF450" s="194"/>
      <c r="AG450" s="194"/>
      <c r="AH450" s="194"/>
      <c r="AI450" s="190"/>
    </row>
    <row r="451" ht="16.5" customHeight="1">
      <c r="A451" s="190"/>
      <c r="B451" s="191"/>
      <c r="C451" s="191"/>
      <c r="D451" s="191"/>
      <c r="E451" s="192"/>
      <c r="F451" s="192"/>
      <c r="G451" s="192"/>
      <c r="H451" s="192"/>
      <c r="I451" s="192"/>
      <c r="J451" s="193"/>
      <c r="K451" s="192"/>
      <c r="L451" s="190"/>
      <c r="M451" s="194"/>
      <c r="N451" s="194"/>
      <c r="O451" s="194"/>
      <c r="P451" s="194"/>
      <c r="Q451" s="194"/>
      <c r="R451" s="194"/>
      <c r="S451" s="195"/>
      <c r="T451" s="195"/>
      <c r="U451" s="195"/>
      <c r="V451" s="191"/>
      <c r="W451" s="192"/>
      <c r="X451" s="192"/>
      <c r="Y451" s="192"/>
      <c r="Z451" s="191"/>
      <c r="AA451" s="191"/>
      <c r="AB451" s="193"/>
      <c r="AC451" s="193"/>
      <c r="AD451" s="191"/>
      <c r="AE451" s="194"/>
      <c r="AF451" s="194"/>
      <c r="AG451" s="194"/>
      <c r="AH451" s="194"/>
      <c r="AI451" s="190"/>
    </row>
    <row r="452" ht="16.5" customHeight="1">
      <c r="A452" s="190"/>
      <c r="B452" s="191"/>
      <c r="C452" s="191"/>
      <c r="D452" s="191"/>
      <c r="E452" s="192"/>
      <c r="F452" s="192"/>
      <c r="G452" s="192"/>
      <c r="H452" s="192"/>
      <c r="I452" s="192"/>
      <c r="J452" s="193"/>
      <c r="K452" s="192"/>
      <c r="L452" s="190"/>
      <c r="M452" s="194"/>
      <c r="N452" s="194"/>
      <c r="O452" s="194"/>
      <c r="P452" s="194"/>
      <c r="Q452" s="194"/>
      <c r="R452" s="194"/>
      <c r="S452" s="195"/>
      <c r="T452" s="195"/>
      <c r="U452" s="195"/>
      <c r="V452" s="191"/>
      <c r="W452" s="192"/>
      <c r="X452" s="192"/>
      <c r="Y452" s="192"/>
      <c r="Z452" s="191"/>
      <c r="AA452" s="191"/>
      <c r="AB452" s="193"/>
      <c r="AC452" s="193"/>
      <c r="AD452" s="191"/>
      <c r="AE452" s="194"/>
      <c r="AF452" s="194"/>
      <c r="AG452" s="194"/>
      <c r="AH452" s="194"/>
      <c r="AI452" s="190"/>
    </row>
    <row r="453" ht="16.5" customHeight="1">
      <c r="A453" s="190"/>
      <c r="B453" s="191"/>
      <c r="C453" s="191"/>
      <c r="D453" s="191"/>
      <c r="E453" s="192"/>
      <c r="F453" s="192"/>
      <c r="G453" s="192"/>
      <c r="H453" s="192"/>
      <c r="I453" s="192"/>
      <c r="J453" s="193"/>
      <c r="K453" s="192"/>
      <c r="L453" s="190"/>
      <c r="M453" s="194"/>
      <c r="N453" s="194"/>
      <c r="O453" s="194"/>
      <c r="P453" s="194"/>
      <c r="Q453" s="194"/>
      <c r="R453" s="194"/>
      <c r="S453" s="195"/>
      <c r="T453" s="195"/>
      <c r="U453" s="195"/>
      <c r="V453" s="191"/>
      <c r="W453" s="192"/>
      <c r="X453" s="192"/>
      <c r="Y453" s="192"/>
      <c r="Z453" s="191"/>
      <c r="AA453" s="191"/>
      <c r="AB453" s="193"/>
      <c r="AC453" s="193"/>
      <c r="AD453" s="191"/>
      <c r="AE453" s="194"/>
      <c r="AF453" s="194"/>
      <c r="AG453" s="194"/>
      <c r="AH453" s="194"/>
      <c r="AI453" s="190"/>
    </row>
    <row r="454" ht="16.5" customHeight="1">
      <c r="A454" s="190"/>
      <c r="B454" s="191"/>
      <c r="C454" s="191"/>
      <c r="D454" s="191"/>
      <c r="E454" s="192"/>
      <c r="F454" s="192"/>
      <c r="G454" s="192"/>
      <c r="H454" s="192"/>
      <c r="I454" s="192"/>
      <c r="J454" s="193"/>
      <c r="K454" s="192"/>
      <c r="L454" s="190"/>
      <c r="M454" s="194"/>
      <c r="N454" s="194"/>
      <c r="O454" s="194"/>
      <c r="P454" s="194"/>
      <c r="Q454" s="194"/>
      <c r="R454" s="194"/>
      <c r="S454" s="195"/>
      <c r="T454" s="195"/>
      <c r="U454" s="195"/>
      <c r="V454" s="191"/>
      <c r="W454" s="192"/>
      <c r="X454" s="192"/>
      <c r="Y454" s="192"/>
      <c r="Z454" s="191"/>
      <c r="AA454" s="191"/>
      <c r="AB454" s="193"/>
      <c r="AC454" s="193"/>
      <c r="AD454" s="191"/>
      <c r="AE454" s="194"/>
      <c r="AF454" s="194"/>
      <c r="AG454" s="194"/>
      <c r="AH454" s="194"/>
      <c r="AI454" s="190"/>
    </row>
    <row r="455" ht="16.5" customHeight="1">
      <c r="A455" s="190"/>
      <c r="B455" s="191"/>
      <c r="C455" s="191"/>
      <c r="D455" s="191"/>
      <c r="E455" s="192"/>
      <c r="F455" s="192"/>
      <c r="G455" s="192"/>
      <c r="H455" s="192"/>
      <c r="I455" s="192"/>
      <c r="J455" s="193"/>
      <c r="K455" s="192"/>
      <c r="L455" s="190"/>
      <c r="M455" s="194"/>
      <c r="N455" s="194"/>
      <c r="O455" s="194"/>
      <c r="P455" s="194"/>
      <c r="Q455" s="194"/>
      <c r="R455" s="194"/>
      <c r="S455" s="195"/>
      <c r="T455" s="195"/>
      <c r="U455" s="195"/>
      <c r="V455" s="191"/>
      <c r="W455" s="192"/>
      <c r="X455" s="192"/>
      <c r="Y455" s="192"/>
      <c r="Z455" s="191"/>
      <c r="AA455" s="191"/>
      <c r="AB455" s="193"/>
      <c r="AC455" s="193"/>
      <c r="AD455" s="191"/>
      <c r="AE455" s="194"/>
      <c r="AF455" s="194"/>
      <c r="AG455" s="194"/>
      <c r="AH455" s="194"/>
      <c r="AI455" s="190"/>
    </row>
    <row r="456" ht="16.5" customHeight="1">
      <c r="A456" s="190"/>
      <c r="B456" s="191"/>
      <c r="C456" s="191"/>
      <c r="D456" s="191"/>
      <c r="E456" s="192"/>
      <c r="F456" s="192"/>
      <c r="G456" s="192"/>
      <c r="H456" s="192"/>
      <c r="I456" s="192"/>
      <c r="J456" s="193"/>
      <c r="K456" s="192"/>
      <c r="L456" s="190"/>
      <c r="M456" s="194"/>
      <c r="N456" s="194"/>
      <c r="O456" s="194"/>
      <c r="P456" s="194"/>
      <c r="Q456" s="194"/>
      <c r="R456" s="194"/>
      <c r="S456" s="195"/>
      <c r="T456" s="195"/>
      <c r="U456" s="195"/>
      <c r="V456" s="191"/>
      <c r="W456" s="192"/>
      <c r="X456" s="192"/>
      <c r="Y456" s="192"/>
      <c r="Z456" s="191"/>
      <c r="AA456" s="191"/>
      <c r="AB456" s="193"/>
      <c r="AC456" s="193"/>
      <c r="AD456" s="191"/>
      <c r="AE456" s="194"/>
      <c r="AF456" s="194"/>
      <c r="AG456" s="194"/>
      <c r="AH456" s="194"/>
      <c r="AI456" s="190"/>
    </row>
    <row r="457" ht="16.5" customHeight="1">
      <c r="A457" s="190"/>
      <c r="B457" s="191"/>
      <c r="C457" s="191"/>
      <c r="D457" s="191"/>
      <c r="E457" s="192"/>
      <c r="F457" s="192"/>
      <c r="G457" s="192"/>
      <c r="H457" s="192"/>
      <c r="I457" s="192"/>
      <c r="J457" s="193"/>
      <c r="K457" s="192"/>
      <c r="L457" s="190"/>
      <c r="M457" s="194"/>
      <c r="N457" s="194"/>
      <c r="O457" s="194"/>
      <c r="P457" s="194"/>
      <c r="Q457" s="194"/>
      <c r="R457" s="194"/>
      <c r="S457" s="195"/>
      <c r="T457" s="195"/>
      <c r="U457" s="195"/>
      <c r="V457" s="191"/>
      <c r="W457" s="192"/>
      <c r="X457" s="192"/>
      <c r="Y457" s="192"/>
      <c r="Z457" s="191"/>
      <c r="AA457" s="191"/>
      <c r="AB457" s="193"/>
      <c r="AC457" s="193"/>
      <c r="AD457" s="191"/>
      <c r="AE457" s="194"/>
      <c r="AF457" s="194"/>
      <c r="AG457" s="194"/>
      <c r="AH457" s="194"/>
      <c r="AI457" s="190"/>
    </row>
    <row r="458" ht="16.5" customHeight="1">
      <c r="A458" s="190"/>
      <c r="B458" s="191"/>
      <c r="C458" s="191"/>
      <c r="D458" s="191"/>
      <c r="E458" s="192"/>
      <c r="F458" s="192"/>
      <c r="G458" s="192"/>
      <c r="H458" s="192"/>
      <c r="I458" s="192"/>
      <c r="J458" s="193"/>
      <c r="K458" s="192"/>
      <c r="L458" s="190"/>
      <c r="M458" s="194"/>
      <c r="N458" s="194"/>
      <c r="O458" s="194"/>
      <c r="P458" s="194"/>
      <c r="Q458" s="194"/>
      <c r="R458" s="194"/>
      <c r="S458" s="195"/>
      <c r="T458" s="195"/>
      <c r="U458" s="195"/>
      <c r="V458" s="191"/>
      <c r="W458" s="192"/>
      <c r="X458" s="192"/>
      <c r="Y458" s="192"/>
      <c r="Z458" s="191"/>
      <c r="AA458" s="191"/>
      <c r="AB458" s="193"/>
      <c r="AC458" s="193"/>
      <c r="AD458" s="191"/>
      <c r="AE458" s="194"/>
      <c r="AF458" s="194"/>
      <c r="AG458" s="194"/>
      <c r="AH458" s="194"/>
      <c r="AI458" s="190"/>
    </row>
    <row r="459" ht="16.5" customHeight="1">
      <c r="A459" s="190"/>
      <c r="B459" s="191"/>
      <c r="C459" s="191"/>
      <c r="D459" s="191"/>
      <c r="E459" s="192"/>
      <c r="F459" s="192"/>
      <c r="G459" s="192"/>
      <c r="H459" s="192"/>
      <c r="I459" s="192"/>
      <c r="J459" s="193"/>
      <c r="K459" s="192"/>
      <c r="L459" s="190"/>
      <c r="M459" s="194"/>
      <c r="N459" s="194"/>
      <c r="O459" s="194"/>
      <c r="P459" s="194"/>
      <c r="Q459" s="194"/>
      <c r="R459" s="194"/>
      <c r="S459" s="195"/>
      <c r="T459" s="195"/>
      <c r="U459" s="195"/>
      <c r="V459" s="191"/>
      <c r="W459" s="192"/>
      <c r="X459" s="192"/>
      <c r="Y459" s="192"/>
      <c r="Z459" s="191"/>
      <c r="AA459" s="191"/>
      <c r="AB459" s="193"/>
      <c r="AC459" s="193"/>
      <c r="AD459" s="191"/>
      <c r="AE459" s="194"/>
      <c r="AF459" s="194"/>
      <c r="AG459" s="194"/>
      <c r="AH459" s="194"/>
      <c r="AI459" s="190"/>
    </row>
    <row r="460" ht="16.5" customHeight="1">
      <c r="A460" s="190"/>
      <c r="B460" s="191"/>
      <c r="C460" s="191"/>
      <c r="D460" s="191"/>
      <c r="E460" s="192"/>
      <c r="F460" s="192"/>
      <c r="G460" s="192"/>
      <c r="H460" s="192"/>
      <c r="I460" s="192"/>
      <c r="J460" s="193"/>
      <c r="K460" s="192"/>
      <c r="L460" s="190"/>
      <c r="M460" s="194"/>
      <c r="N460" s="194"/>
      <c r="O460" s="194"/>
      <c r="P460" s="194"/>
      <c r="Q460" s="194"/>
      <c r="R460" s="194"/>
      <c r="S460" s="195"/>
      <c r="T460" s="195"/>
      <c r="U460" s="195"/>
      <c r="V460" s="191"/>
      <c r="W460" s="192"/>
      <c r="X460" s="192"/>
      <c r="Y460" s="192"/>
      <c r="Z460" s="191"/>
      <c r="AA460" s="191"/>
      <c r="AB460" s="193"/>
      <c r="AC460" s="193"/>
      <c r="AD460" s="191"/>
      <c r="AE460" s="194"/>
      <c r="AF460" s="194"/>
      <c r="AG460" s="194"/>
      <c r="AH460" s="194"/>
      <c r="AI460" s="190"/>
    </row>
    <row r="461" ht="16.5" customHeight="1">
      <c r="A461" s="190"/>
      <c r="B461" s="191"/>
      <c r="C461" s="191"/>
      <c r="D461" s="191"/>
      <c r="E461" s="192"/>
      <c r="F461" s="192"/>
      <c r="G461" s="192"/>
      <c r="H461" s="192"/>
      <c r="I461" s="192"/>
      <c r="J461" s="193"/>
      <c r="K461" s="192"/>
      <c r="L461" s="190"/>
      <c r="M461" s="194"/>
      <c r="N461" s="194"/>
      <c r="O461" s="194"/>
      <c r="P461" s="194"/>
      <c r="Q461" s="194"/>
      <c r="R461" s="194"/>
      <c r="S461" s="195"/>
      <c r="T461" s="195"/>
      <c r="U461" s="195"/>
      <c r="V461" s="191"/>
      <c r="W461" s="192"/>
      <c r="X461" s="192"/>
      <c r="Y461" s="192"/>
      <c r="Z461" s="191"/>
      <c r="AA461" s="191"/>
      <c r="AB461" s="193"/>
      <c r="AC461" s="193"/>
      <c r="AD461" s="191"/>
      <c r="AE461" s="194"/>
      <c r="AF461" s="194"/>
      <c r="AG461" s="194"/>
      <c r="AH461" s="194"/>
      <c r="AI461" s="190"/>
    </row>
    <row r="462" ht="16.5" customHeight="1">
      <c r="A462" s="190"/>
      <c r="B462" s="191"/>
      <c r="C462" s="191"/>
      <c r="D462" s="191"/>
      <c r="E462" s="192"/>
      <c r="F462" s="192"/>
      <c r="G462" s="192"/>
      <c r="H462" s="192"/>
      <c r="I462" s="192"/>
      <c r="J462" s="193"/>
      <c r="K462" s="192"/>
      <c r="L462" s="190"/>
      <c r="M462" s="194"/>
      <c r="N462" s="194"/>
      <c r="O462" s="194"/>
      <c r="P462" s="194"/>
      <c r="Q462" s="194"/>
      <c r="R462" s="194"/>
      <c r="S462" s="195"/>
      <c r="T462" s="195"/>
      <c r="U462" s="195"/>
      <c r="V462" s="191"/>
      <c r="W462" s="192"/>
      <c r="X462" s="192"/>
      <c r="Y462" s="192"/>
      <c r="Z462" s="191"/>
      <c r="AA462" s="191"/>
      <c r="AB462" s="193"/>
      <c r="AC462" s="193"/>
      <c r="AD462" s="191"/>
      <c r="AE462" s="194"/>
      <c r="AF462" s="194"/>
      <c r="AG462" s="194"/>
      <c r="AH462" s="194"/>
      <c r="AI462" s="190"/>
    </row>
    <row r="463" ht="16.5" customHeight="1">
      <c r="A463" s="190"/>
      <c r="B463" s="191"/>
      <c r="C463" s="191"/>
      <c r="D463" s="191"/>
      <c r="E463" s="192"/>
      <c r="F463" s="192"/>
      <c r="G463" s="192"/>
      <c r="H463" s="192"/>
      <c r="I463" s="192"/>
      <c r="J463" s="193"/>
      <c r="K463" s="192"/>
      <c r="L463" s="190"/>
      <c r="M463" s="194"/>
      <c r="N463" s="194"/>
      <c r="O463" s="194"/>
      <c r="P463" s="194"/>
      <c r="Q463" s="194"/>
      <c r="R463" s="194"/>
      <c r="S463" s="195"/>
      <c r="T463" s="195"/>
      <c r="U463" s="195"/>
      <c r="V463" s="191"/>
      <c r="W463" s="192"/>
      <c r="X463" s="192"/>
      <c r="Y463" s="192"/>
      <c r="Z463" s="191"/>
      <c r="AA463" s="191"/>
      <c r="AB463" s="193"/>
      <c r="AC463" s="193"/>
      <c r="AD463" s="191"/>
      <c r="AE463" s="194"/>
      <c r="AF463" s="194"/>
      <c r="AG463" s="194"/>
      <c r="AH463" s="194"/>
      <c r="AI463" s="190"/>
    </row>
    <row r="464" ht="16.5" customHeight="1">
      <c r="A464" s="190"/>
      <c r="B464" s="191"/>
      <c r="C464" s="191"/>
      <c r="D464" s="191"/>
      <c r="E464" s="192"/>
      <c r="F464" s="192"/>
      <c r="G464" s="192"/>
      <c r="H464" s="192"/>
      <c r="I464" s="192"/>
      <c r="J464" s="193"/>
      <c r="K464" s="192"/>
      <c r="L464" s="190"/>
      <c r="M464" s="194"/>
      <c r="N464" s="194"/>
      <c r="O464" s="194"/>
      <c r="P464" s="194"/>
      <c r="Q464" s="194"/>
      <c r="R464" s="194"/>
      <c r="S464" s="195"/>
      <c r="T464" s="195"/>
      <c r="U464" s="195"/>
      <c r="V464" s="191"/>
      <c r="W464" s="192"/>
      <c r="X464" s="192"/>
      <c r="Y464" s="192"/>
      <c r="Z464" s="191"/>
      <c r="AA464" s="191"/>
      <c r="AB464" s="193"/>
      <c r="AC464" s="193"/>
      <c r="AD464" s="191"/>
      <c r="AE464" s="194"/>
      <c r="AF464" s="194"/>
      <c r="AG464" s="194"/>
      <c r="AH464" s="194"/>
      <c r="AI464" s="190"/>
    </row>
    <row r="465" ht="16.5" customHeight="1">
      <c r="A465" s="190"/>
      <c r="B465" s="191"/>
      <c r="C465" s="191"/>
      <c r="D465" s="191"/>
      <c r="E465" s="192"/>
      <c r="F465" s="192"/>
      <c r="G465" s="192"/>
      <c r="H465" s="192"/>
      <c r="I465" s="192"/>
      <c r="J465" s="193"/>
      <c r="K465" s="192"/>
      <c r="L465" s="190"/>
      <c r="M465" s="194"/>
      <c r="N465" s="194"/>
      <c r="O465" s="194"/>
      <c r="P465" s="194"/>
      <c r="Q465" s="194"/>
      <c r="R465" s="194"/>
      <c r="S465" s="195"/>
      <c r="T465" s="195"/>
      <c r="U465" s="195"/>
      <c r="V465" s="191"/>
      <c r="W465" s="192"/>
      <c r="X465" s="192"/>
      <c r="Y465" s="192"/>
      <c r="Z465" s="191"/>
      <c r="AA465" s="191"/>
      <c r="AB465" s="193"/>
      <c r="AC465" s="193"/>
      <c r="AD465" s="191"/>
      <c r="AE465" s="194"/>
      <c r="AF465" s="194"/>
      <c r="AG465" s="194"/>
      <c r="AH465" s="194"/>
      <c r="AI465" s="190"/>
    </row>
    <row r="466" ht="16.5" customHeight="1">
      <c r="A466" s="190"/>
      <c r="B466" s="191"/>
      <c r="C466" s="191"/>
      <c r="D466" s="191"/>
      <c r="E466" s="192"/>
      <c r="F466" s="192"/>
      <c r="G466" s="192"/>
      <c r="H466" s="192"/>
      <c r="I466" s="192"/>
      <c r="J466" s="193"/>
      <c r="K466" s="192"/>
      <c r="L466" s="190"/>
      <c r="M466" s="194"/>
      <c r="N466" s="194"/>
      <c r="O466" s="194"/>
      <c r="P466" s="194"/>
      <c r="Q466" s="194"/>
      <c r="R466" s="194"/>
      <c r="S466" s="195"/>
      <c r="T466" s="195"/>
      <c r="U466" s="195"/>
      <c r="V466" s="191"/>
      <c r="W466" s="192"/>
      <c r="X466" s="192"/>
      <c r="Y466" s="192"/>
      <c r="Z466" s="191"/>
      <c r="AA466" s="191"/>
      <c r="AB466" s="193"/>
      <c r="AC466" s="193"/>
      <c r="AD466" s="191"/>
      <c r="AE466" s="194"/>
      <c r="AF466" s="194"/>
      <c r="AG466" s="194"/>
      <c r="AH466" s="194"/>
      <c r="AI466" s="190"/>
    </row>
    <row r="467" ht="16.5" customHeight="1">
      <c r="A467" s="190"/>
      <c r="B467" s="191"/>
      <c r="C467" s="191"/>
      <c r="D467" s="191"/>
      <c r="E467" s="192"/>
      <c r="F467" s="192"/>
      <c r="G467" s="192"/>
      <c r="H467" s="192"/>
      <c r="I467" s="192"/>
      <c r="J467" s="193"/>
      <c r="K467" s="192"/>
      <c r="L467" s="190"/>
      <c r="M467" s="194"/>
      <c r="N467" s="194"/>
      <c r="O467" s="194"/>
      <c r="P467" s="194"/>
      <c r="Q467" s="194"/>
      <c r="R467" s="194"/>
      <c r="S467" s="195"/>
      <c r="T467" s="195"/>
      <c r="U467" s="195"/>
      <c r="V467" s="191"/>
      <c r="W467" s="192"/>
      <c r="X467" s="192"/>
      <c r="Y467" s="192"/>
      <c r="Z467" s="191"/>
      <c r="AA467" s="191"/>
      <c r="AB467" s="193"/>
      <c r="AC467" s="193"/>
      <c r="AD467" s="191"/>
      <c r="AE467" s="194"/>
      <c r="AF467" s="194"/>
      <c r="AG467" s="194"/>
      <c r="AH467" s="194"/>
      <c r="AI467" s="190"/>
    </row>
    <row r="468" ht="16.5" customHeight="1">
      <c r="A468" s="190"/>
      <c r="B468" s="191"/>
      <c r="C468" s="191"/>
      <c r="D468" s="191"/>
      <c r="E468" s="192"/>
      <c r="F468" s="192"/>
      <c r="G468" s="192"/>
      <c r="H468" s="192"/>
      <c r="I468" s="192"/>
      <c r="J468" s="193"/>
      <c r="K468" s="192"/>
      <c r="L468" s="190"/>
      <c r="M468" s="194"/>
      <c r="N468" s="194"/>
      <c r="O468" s="194"/>
      <c r="P468" s="194"/>
      <c r="Q468" s="194"/>
      <c r="R468" s="194"/>
      <c r="S468" s="195"/>
      <c r="T468" s="195"/>
      <c r="U468" s="195"/>
      <c r="V468" s="191"/>
      <c r="W468" s="192"/>
      <c r="X468" s="192"/>
      <c r="Y468" s="192"/>
      <c r="Z468" s="191"/>
      <c r="AA468" s="191"/>
      <c r="AB468" s="193"/>
      <c r="AC468" s="193"/>
      <c r="AD468" s="191"/>
      <c r="AE468" s="194"/>
      <c r="AF468" s="194"/>
      <c r="AG468" s="194"/>
      <c r="AH468" s="194"/>
      <c r="AI468" s="190"/>
    </row>
    <row r="469" ht="16.5" customHeight="1">
      <c r="A469" s="190"/>
      <c r="B469" s="191"/>
      <c r="C469" s="191"/>
      <c r="D469" s="191"/>
      <c r="E469" s="192"/>
      <c r="F469" s="192"/>
      <c r="G469" s="192"/>
      <c r="H469" s="192"/>
      <c r="I469" s="192"/>
      <c r="J469" s="193"/>
      <c r="K469" s="192"/>
      <c r="L469" s="190"/>
      <c r="M469" s="194"/>
      <c r="N469" s="194"/>
      <c r="O469" s="194"/>
      <c r="P469" s="194"/>
      <c r="Q469" s="194"/>
      <c r="R469" s="194"/>
      <c r="S469" s="195"/>
      <c r="T469" s="195"/>
      <c r="U469" s="195"/>
      <c r="V469" s="191"/>
      <c r="W469" s="192"/>
      <c r="X469" s="192"/>
      <c r="Y469" s="192"/>
      <c r="Z469" s="191"/>
      <c r="AA469" s="191"/>
      <c r="AB469" s="193"/>
      <c r="AC469" s="193"/>
      <c r="AD469" s="191"/>
      <c r="AE469" s="194"/>
      <c r="AF469" s="194"/>
      <c r="AG469" s="194"/>
      <c r="AH469" s="194"/>
      <c r="AI469" s="190"/>
    </row>
    <row r="470" ht="16.5" customHeight="1">
      <c r="A470" s="190"/>
      <c r="B470" s="191"/>
      <c r="C470" s="191"/>
      <c r="D470" s="191"/>
      <c r="E470" s="192"/>
      <c r="F470" s="192"/>
      <c r="G470" s="192"/>
      <c r="H470" s="192"/>
      <c r="I470" s="192"/>
      <c r="J470" s="193"/>
      <c r="K470" s="192"/>
      <c r="L470" s="190"/>
      <c r="M470" s="194"/>
      <c r="N470" s="194"/>
      <c r="O470" s="194"/>
      <c r="P470" s="194"/>
      <c r="Q470" s="194"/>
      <c r="R470" s="194"/>
      <c r="S470" s="195"/>
      <c r="T470" s="195"/>
      <c r="U470" s="195"/>
      <c r="V470" s="191"/>
      <c r="W470" s="192"/>
      <c r="X470" s="192"/>
      <c r="Y470" s="192"/>
      <c r="Z470" s="191"/>
      <c r="AA470" s="191"/>
      <c r="AB470" s="193"/>
      <c r="AC470" s="193"/>
      <c r="AD470" s="191"/>
      <c r="AE470" s="194"/>
      <c r="AF470" s="194"/>
      <c r="AG470" s="194"/>
      <c r="AH470" s="194"/>
      <c r="AI470" s="190"/>
    </row>
    <row r="471" ht="16.5" customHeight="1">
      <c r="A471" s="190"/>
      <c r="B471" s="191"/>
      <c r="C471" s="191"/>
      <c r="D471" s="191"/>
      <c r="E471" s="192"/>
      <c r="F471" s="192"/>
      <c r="G471" s="192"/>
      <c r="H471" s="192"/>
      <c r="I471" s="192"/>
      <c r="J471" s="193"/>
      <c r="K471" s="192"/>
      <c r="L471" s="190"/>
      <c r="M471" s="194"/>
      <c r="N471" s="194"/>
      <c r="O471" s="194"/>
      <c r="P471" s="194"/>
      <c r="Q471" s="194"/>
      <c r="R471" s="194"/>
      <c r="S471" s="195"/>
      <c r="T471" s="195"/>
      <c r="U471" s="195"/>
      <c r="V471" s="191"/>
      <c r="W471" s="192"/>
      <c r="X471" s="192"/>
      <c r="Y471" s="192"/>
      <c r="Z471" s="191"/>
      <c r="AA471" s="191"/>
      <c r="AB471" s="193"/>
      <c r="AC471" s="193"/>
      <c r="AD471" s="191"/>
      <c r="AE471" s="194"/>
      <c r="AF471" s="194"/>
      <c r="AG471" s="194"/>
      <c r="AH471" s="194"/>
      <c r="AI471" s="190"/>
    </row>
    <row r="472" ht="16.5" customHeight="1">
      <c r="A472" s="190"/>
      <c r="B472" s="191"/>
      <c r="C472" s="191"/>
      <c r="D472" s="191"/>
      <c r="E472" s="192"/>
      <c r="F472" s="192"/>
      <c r="G472" s="192"/>
      <c r="H472" s="192"/>
      <c r="I472" s="192"/>
      <c r="J472" s="193"/>
      <c r="K472" s="192"/>
      <c r="L472" s="190"/>
      <c r="M472" s="194"/>
      <c r="N472" s="194"/>
      <c r="O472" s="194"/>
      <c r="P472" s="194"/>
      <c r="Q472" s="194"/>
      <c r="R472" s="194"/>
      <c r="S472" s="195"/>
      <c r="T472" s="195"/>
      <c r="U472" s="195"/>
      <c r="V472" s="191"/>
      <c r="W472" s="192"/>
      <c r="X472" s="192"/>
      <c r="Y472" s="192"/>
      <c r="Z472" s="191"/>
      <c r="AA472" s="191"/>
      <c r="AB472" s="193"/>
      <c r="AC472" s="193"/>
      <c r="AD472" s="191"/>
      <c r="AE472" s="194"/>
      <c r="AF472" s="194"/>
      <c r="AG472" s="194"/>
      <c r="AH472" s="194"/>
      <c r="AI472" s="190"/>
    </row>
    <row r="473" ht="16.5" customHeight="1">
      <c r="A473" s="190"/>
      <c r="B473" s="191"/>
      <c r="C473" s="191"/>
      <c r="D473" s="191"/>
      <c r="E473" s="192"/>
      <c r="F473" s="192"/>
      <c r="G473" s="192"/>
      <c r="H473" s="192"/>
      <c r="I473" s="192"/>
      <c r="J473" s="193"/>
      <c r="K473" s="192"/>
      <c r="L473" s="190"/>
      <c r="M473" s="194"/>
      <c r="N473" s="194"/>
      <c r="O473" s="194"/>
      <c r="P473" s="194"/>
      <c r="Q473" s="194"/>
      <c r="R473" s="194"/>
      <c r="S473" s="195"/>
      <c r="T473" s="195"/>
      <c r="U473" s="195"/>
      <c r="V473" s="191"/>
      <c r="W473" s="192"/>
      <c r="X473" s="192"/>
      <c r="Y473" s="192"/>
      <c r="Z473" s="191"/>
      <c r="AA473" s="191"/>
      <c r="AB473" s="193"/>
      <c r="AC473" s="193"/>
      <c r="AD473" s="191"/>
      <c r="AE473" s="194"/>
      <c r="AF473" s="194"/>
      <c r="AG473" s="194"/>
      <c r="AH473" s="194"/>
      <c r="AI473" s="190"/>
    </row>
    <row r="474" ht="16.5" customHeight="1">
      <c r="A474" s="190"/>
      <c r="B474" s="191"/>
      <c r="C474" s="191"/>
      <c r="D474" s="191"/>
      <c r="E474" s="192"/>
      <c r="F474" s="192"/>
      <c r="G474" s="192"/>
      <c r="H474" s="192"/>
      <c r="I474" s="192"/>
      <c r="J474" s="193"/>
      <c r="K474" s="192"/>
      <c r="L474" s="190"/>
      <c r="M474" s="194"/>
      <c r="N474" s="194"/>
      <c r="O474" s="194"/>
      <c r="P474" s="194"/>
      <c r="Q474" s="194"/>
      <c r="R474" s="194"/>
      <c r="S474" s="195"/>
      <c r="T474" s="195"/>
      <c r="U474" s="195"/>
      <c r="V474" s="191"/>
      <c r="W474" s="192"/>
      <c r="X474" s="192"/>
      <c r="Y474" s="192"/>
      <c r="Z474" s="191"/>
      <c r="AA474" s="191"/>
      <c r="AB474" s="193"/>
      <c r="AC474" s="193"/>
      <c r="AD474" s="191"/>
      <c r="AE474" s="194"/>
      <c r="AF474" s="194"/>
      <c r="AG474" s="194"/>
      <c r="AH474" s="194"/>
      <c r="AI474" s="190"/>
    </row>
    <row r="475" ht="16.5" customHeight="1">
      <c r="A475" s="190"/>
      <c r="B475" s="191"/>
      <c r="C475" s="191"/>
      <c r="D475" s="191"/>
      <c r="E475" s="192"/>
      <c r="F475" s="192"/>
      <c r="G475" s="192"/>
      <c r="H475" s="192"/>
      <c r="I475" s="192"/>
      <c r="J475" s="193"/>
      <c r="K475" s="192"/>
      <c r="L475" s="190"/>
      <c r="M475" s="194"/>
      <c r="N475" s="194"/>
      <c r="O475" s="194"/>
      <c r="P475" s="194"/>
      <c r="Q475" s="194"/>
      <c r="R475" s="194"/>
      <c r="S475" s="195"/>
      <c r="T475" s="195"/>
      <c r="U475" s="195"/>
      <c r="V475" s="191"/>
      <c r="W475" s="192"/>
      <c r="X475" s="192"/>
      <c r="Y475" s="192"/>
      <c r="Z475" s="191"/>
      <c r="AA475" s="191"/>
      <c r="AB475" s="193"/>
      <c r="AC475" s="193"/>
      <c r="AD475" s="191"/>
      <c r="AE475" s="194"/>
      <c r="AF475" s="194"/>
      <c r="AG475" s="194"/>
      <c r="AH475" s="194"/>
      <c r="AI475" s="190"/>
    </row>
    <row r="476" ht="16.5" customHeight="1">
      <c r="A476" s="190"/>
      <c r="B476" s="191"/>
      <c r="C476" s="191"/>
      <c r="D476" s="191"/>
      <c r="E476" s="192"/>
      <c r="F476" s="192"/>
      <c r="G476" s="192"/>
      <c r="H476" s="192"/>
      <c r="I476" s="192"/>
      <c r="J476" s="193"/>
      <c r="K476" s="192"/>
      <c r="L476" s="190"/>
      <c r="M476" s="194"/>
      <c r="N476" s="194"/>
      <c r="O476" s="194"/>
      <c r="P476" s="194"/>
      <c r="Q476" s="194"/>
      <c r="R476" s="194"/>
      <c r="S476" s="195"/>
      <c r="T476" s="195"/>
      <c r="U476" s="195"/>
      <c r="V476" s="191"/>
      <c r="W476" s="192"/>
      <c r="X476" s="192"/>
      <c r="Y476" s="192"/>
      <c r="Z476" s="191"/>
      <c r="AA476" s="191"/>
      <c r="AB476" s="193"/>
      <c r="AC476" s="193"/>
      <c r="AD476" s="191"/>
      <c r="AE476" s="194"/>
      <c r="AF476" s="194"/>
      <c r="AG476" s="194"/>
      <c r="AH476" s="194"/>
      <c r="AI476" s="190"/>
    </row>
    <row r="477" ht="16.5" customHeight="1">
      <c r="A477" s="190"/>
      <c r="B477" s="191"/>
      <c r="C477" s="191"/>
      <c r="D477" s="191"/>
      <c r="E477" s="192"/>
      <c r="F477" s="192"/>
      <c r="G477" s="192"/>
      <c r="H477" s="192"/>
      <c r="I477" s="192"/>
      <c r="J477" s="193"/>
      <c r="K477" s="192"/>
      <c r="L477" s="190"/>
      <c r="M477" s="194"/>
      <c r="N477" s="194"/>
      <c r="O477" s="194"/>
      <c r="P477" s="194"/>
      <c r="Q477" s="194"/>
      <c r="R477" s="194"/>
      <c r="S477" s="195"/>
      <c r="T477" s="195"/>
      <c r="U477" s="195"/>
      <c r="V477" s="191"/>
      <c r="W477" s="192"/>
      <c r="X477" s="192"/>
      <c r="Y477" s="192"/>
      <c r="Z477" s="191"/>
      <c r="AA477" s="191"/>
      <c r="AB477" s="193"/>
      <c r="AC477" s="193"/>
      <c r="AD477" s="191"/>
      <c r="AE477" s="194"/>
      <c r="AF477" s="194"/>
      <c r="AG477" s="194"/>
      <c r="AH477" s="194"/>
      <c r="AI477" s="190"/>
    </row>
    <row r="478" ht="16.5" customHeight="1">
      <c r="A478" s="190"/>
      <c r="B478" s="191"/>
      <c r="C478" s="191"/>
      <c r="D478" s="191"/>
      <c r="E478" s="192"/>
      <c r="F478" s="192"/>
      <c r="G478" s="192"/>
      <c r="H478" s="192"/>
      <c r="I478" s="192"/>
      <c r="J478" s="193"/>
      <c r="K478" s="192"/>
      <c r="L478" s="190"/>
      <c r="M478" s="194"/>
      <c r="N478" s="194"/>
      <c r="O478" s="194"/>
      <c r="P478" s="194"/>
      <c r="Q478" s="194"/>
      <c r="R478" s="194"/>
      <c r="S478" s="195"/>
      <c r="T478" s="195"/>
      <c r="U478" s="195"/>
      <c r="V478" s="191"/>
      <c r="W478" s="192"/>
      <c r="X478" s="192"/>
      <c r="Y478" s="192"/>
      <c r="Z478" s="191"/>
      <c r="AA478" s="191"/>
      <c r="AB478" s="193"/>
      <c r="AC478" s="193"/>
      <c r="AD478" s="191"/>
      <c r="AE478" s="194"/>
      <c r="AF478" s="194"/>
      <c r="AG478" s="194"/>
      <c r="AH478" s="194"/>
      <c r="AI478" s="190"/>
    </row>
    <row r="479" ht="16.5" customHeight="1">
      <c r="A479" s="190"/>
      <c r="B479" s="191"/>
      <c r="C479" s="191"/>
      <c r="D479" s="191"/>
      <c r="E479" s="192"/>
      <c r="F479" s="192"/>
      <c r="G479" s="192"/>
      <c r="H479" s="192"/>
      <c r="I479" s="192"/>
      <c r="J479" s="193"/>
      <c r="K479" s="192"/>
      <c r="L479" s="190"/>
      <c r="M479" s="194"/>
      <c r="N479" s="194"/>
      <c r="O479" s="194"/>
      <c r="P479" s="194"/>
      <c r="Q479" s="194"/>
      <c r="R479" s="194"/>
      <c r="S479" s="195"/>
      <c r="T479" s="195"/>
      <c r="U479" s="195"/>
      <c r="V479" s="191"/>
      <c r="W479" s="192"/>
      <c r="X479" s="192"/>
      <c r="Y479" s="192"/>
      <c r="Z479" s="191"/>
      <c r="AA479" s="191"/>
      <c r="AB479" s="193"/>
      <c r="AC479" s="193"/>
      <c r="AD479" s="191"/>
      <c r="AE479" s="194"/>
      <c r="AF479" s="194"/>
      <c r="AG479" s="194"/>
      <c r="AH479" s="194"/>
      <c r="AI479" s="190"/>
    </row>
    <row r="480" ht="16.5" customHeight="1">
      <c r="A480" s="190"/>
      <c r="B480" s="191"/>
      <c r="C480" s="191"/>
      <c r="D480" s="191"/>
      <c r="E480" s="192"/>
      <c r="F480" s="192"/>
      <c r="G480" s="192"/>
      <c r="H480" s="192"/>
      <c r="I480" s="192"/>
      <c r="J480" s="193"/>
      <c r="K480" s="192"/>
      <c r="L480" s="190"/>
      <c r="M480" s="194"/>
      <c r="N480" s="194"/>
      <c r="O480" s="194"/>
      <c r="P480" s="194"/>
      <c r="Q480" s="194"/>
      <c r="R480" s="194"/>
      <c r="S480" s="195"/>
      <c r="T480" s="195"/>
      <c r="U480" s="195"/>
      <c r="V480" s="191"/>
      <c r="W480" s="192"/>
      <c r="X480" s="192"/>
      <c r="Y480" s="192"/>
      <c r="Z480" s="191"/>
      <c r="AA480" s="191"/>
      <c r="AB480" s="193"/>
      <c r="AC480" s="193"/>
      <c r="AD480" s="191"/>
      <c r="AE480" s="194"/>
      <c r="AF480" s="194"/>
      <c r="AG480" s="194"/>
      <c r="AH480" s="194"/>
      <c r="AI480" s="190"/>
    </row>
    <row r="481" ht="16.5" customHeight="1">
      <c r="A481" s="190"/>
      <c r="B481" s="191"/>
      <c r="C481" s="191"/>
      <c r="D481" s="191"/>
      <c r="E481" s="192"/>
      <c r="F481" s="192"/>
      <c r="G481" s="192"/>
      <c r="H481" s="192"/>
      <c r="I481" s="192"/>
      <c r="J481" s="193"/>
      <c r="K481" s="192"/>
      <c r="L481" s="190"/>
      <c r="M481" s="194"/>
      <c r="N481" s="194"/>
      <c r="O481" s="194"/>
      <c r="P481" s="194"/>
      <c r="Q481" s="194"/>
      <c r="R481" s="194"/>
      <c r="S481" s="195"/>
      <c r="T481" s="195"/>
      <c r="U481" s="195"/>
      <c r="V481" s="191"/>
      <c r="W481" s="192"/>
      <c r="X481" s="192"/>
      <c r="Y481" s="192"/>
      <c r="Z481" s="191"/>
      <c r="AA481" s="191"/>
      <c r="AB481" s="193"/>
      <c r="AC481" s="193"/>
      <c r="AD481" s="191"/>
      <c r="AE481" s="194"/>
      <c r="AF481" s="194"/>
      <c r="AG481" s="194"/>
      <c r="AH481" s="194"/>
      <c r="AI481" s="190"/>
    </row>
    <row r="482" ht="16.5" customHeight="1">
      <c r="A482" s="190"/>
      <c r="B482" s="191"/>
      <c r="C482" s="191"/>
      <c r="D482" s="191"/>
      <c r="E482" s="192"/>
      <c r="F482" s="192"/>
      <c r="G482" s="192"/>
      <c r="H482" s="192"/>
      <c r="I482" s="192"/>
      <c r="J482" s="193"/>
      <c r="K482" s="192"/>
      <c r="L482" s="190"/>
      <c r="M482" s="194"/>
      <c r="N482" s="194"/>
      <c r="O482" s="194"/>
      <c r="P482" s="194"/>
      <c r="Q482" s="194"/>
      <c r="R482" s="194"/>
      <c r="S482" s="195"/>
      <c r="T482" s="195"/>
      <c r="U482" s="195"/>
      <c r="V482" s="191"/>
      <c r="W482" s="192"/>
      <c r="X482" s="192"/>
      <c r="Y482" s="192"/>
      <c r="Z482" s="191"/>
      <c r="AA482" s="191"/>
      <c r="AB482" s="193"/>
      <c r="AC482" s="193"/>
      <c r="AD482" s="191"/>
      <c r="AE482" s="194"/>
      <c r="AF482" s="194"/>
      <c r="AG482" s="194"/>
      <c r="AH482" s="194"/>
      <c r="AI482" s="190"/>
    </row>
    <row r="483" ht="16.5" customHeight="1">
      <c r="A483" s="190"/>
      <c r="B483" s="191"/>
      <c r="C483" s="191"/>
      <c r="D483" s="191"/>
      <c r="E483" s="192"/>
      <c r="F483" s="192"/>
      <c r="G483" s="192"/>
      <c r="H483" s="192"/>
      <c r="I483" s="192"/>
      <c r="J483" s="193"/>
      <c r="K483" s="192"/>
      <c r="L483" s="190"/>
      <c r="M483" s="194"/>
      <c r="N483" s="194"/>
      <c r="O483" s="194"/>
      <c r="P483" s="194"/>
      <c r="Q483" s="194"/>
      <c r="R483" s="194"/>
      <c r="S483" s="195"/>
      <c r="T483" s="195"/>
      <c r="U483" s="195"/>
      <c r="V483" s="191"/>
      <c r="W483" s="192"/>
      <c r="X483" s="192"/>
      <c r="Y483" s="192"/>
      <c r="Z483" s="191"/>
      <c r="AA483" s="191"/>
      <c r="AB483" s="193"/>
      <c r="AC483" s="193"/>
      <c r="AD483" s="191"/>
      <c r="AE483" s="194"/>
      <c r="AF483" s="194"/>
      <c r="AG483" s="194"/>
      <c r="AH483" s="194"/>
      <c r="AI483" s="190"/>
    </row>
    <row r="484" ht="16.5" customHeight="1">
      <c r="A484" s="190"/>
      <c r="B484" s="191"/>
      <c r="C484" s="191"/>
      <c r="D484" s="191"/>
      <c r="E484" s="192"/>
      <c r="F484" s="192"/>
      <c r="G484" s="192"/>
      <c r="H484" s="192"/>
      <c r="I484" s="192"/>
      <c r="J484" s="193"/>
      <c r="K484" s="192"/>
      <c r="L484" s="190"/>
      <c r="M484" s="194"/>
      <c r="N484" s="194"/>
      <c r="O484" s="194"/>
      <c r="P484" s="194"/>
      <c r="Q484" s="194"/>
      <c r="R484" s="194"/>
      <c r="S484" s="195"/>
      <c r="T484" s="195"/>
      <c r="U484" s="195"/>
      <c r="V484" s="191"/>
      <c r="W484" s="192"/>
      <c r="X484" s="192"/>
      <c r="Y484" s="192"/>
      <c r="Z484" s="191"/>
      <c r="AA484" s="191"/>
      <c r="AB484" s="193"/>
      <c r="AC484" s="193"/>
      <c r="AD484" s="191"/>
      <c r="AE484" s="194"/>
      <c r="AF484" s="194"/>
      <c r="AG484" s="194"/>
      <c r="AH484" s="194"/>
      <c r="AI484" s="190"/>
    </row>
    <row r="485" ht="16.5" customHeight="1">
      <c r="A485" s="190"/>
      <c r="B485" s="191"/>
      <c r="C485" s="191"/>
      <c r="D485" s="191"/>
      <c r="E485" s="192"/>
      <c r="F485" s="192"/>
      <c r="G485" s="192"/>
      <c r="H485" s="192"/>
      <c r="I485" s="192"/>
      <c r="J485" s="193"/>
      <c r="K485" s="192"/>
      <c r="L485" s="190"/>
      <c r="M485" s="194"/>
      <c r="N485" s="194"/>
      <c r="O485" s="194"/>
      <c r="P485" s="194"/>
      <c r="Q485" s="194"/>
      <c r="R485" s="194"/>
      <c r="S485" s="195"/>
      <c r="T485" s="195"/>
      <c r="U485" s="195"/>
      <c r="V485" s="191"/>
      <c r="W485" s="192"/>
      <c r="X485" s="192"/>
      <c r="Y485" s="192"/>
      <c r="Z485" s="191"/>
      <c r="AA485" s="191"/>
      <c r="AB485" s="193"/>
      <c r="AC485" s="193"/>
      <c r="AD485" s="191"/>
      <c r="AE485" s="194"/>
      <c r="AF485" s="194"/>
      <c r="AG485" s="194"/>
      <c r="AH485" s="194"/>
      <c r="AI485" s="190"/>
    </row>
    <row r="486" ht="16.5" customHeight="1">
      <c r="A486" s="190"/>
      <c r="B486" s="191"/>
      <c r="C486" s="191"/>
      <c r="D486" s="191"/>
      <c r="E486" s="192"/>
      <c r="F486" s="192"/>
      <c r="G486" s="192"/>
      <c r="H486" s="192"/>
      <c r="I486" s="192"/>
      <c r="J486" s="193"/>
      <c r="K486" s="192"/>
      <c r="L486" s="190"/>
      <c r="M486" s="194"/>
      <c r="N486" s="194"/>
      <c r="O486" s="194"/>
      <c r="P486" s="194"/>
      <c r="Q486" s="194"/>
      <c r="R486" s="194"/>
      <c r="S486" s="195"/>
      <c r="T486" s="195"/>
      <c r="U486" s="195"/>
      <c r="V486" s="191"/>
      <c r="W486" s="192"/>
      <c r="X486" s="192"/>
      <c r="Y486" s="192"/>
      <c r="Z486" s="191"/>
      <c r="AA486" s="191"/>
      <c r="AB486" s="193"/>
      <c r="AC486" s="193"/>
      <c r="AD486" s="191"/>
      <c r="AE486" s="194"/>
      <c r="AF486" s="194"/>
      <c r="AG486" s="194"/>
      <c r="AH486" s="194"/>
      <c r="AI486" s="190"/>
    </row>
    <row r="487" ht="16.5" customHeight="1">
      <c r="A487" s="190"/>
      <c r="B487" s="191"/>
      <c r="C487" s="191"/>
      <c r="D487" s="191"/>
      <c r="E487" s="192"/>
      <c r="F487" s="192"/>
      <c r="G487" s="192"/>
      <c r="H487" s="192"/>
      <c r="I487" s="192"/>
      <c r="J487" s="193"/>
      <c r="K487" s="192"/>
      <c r="L487" s="190"/>
      <c r="M487" s="194"/>
      <c r="N487" s="194"/>
      <c r="O487" s="194"/>
      <c r="P487" s="194"/>
      <c r="Q487" s="194"/>
      <c r="R487" s="194"/>
      <c r="S487" s="195"/>
      <c r="T487" s="195"/>
      <c r="U487" s="195"/>
      <c r="V487" s="191"/>
      <c r="W487" s="192"/>
      <c r="X487" s="192"/>
      <c r="Y487" s="192"/>
      <c r="Z487" s="191"/>
      <c r="AA487" s="191"/>
      <c r="AB487" s="193"/>
      <c r="AC487" s="193"/>
      <c r="AD487" s="191"/>
      <c r="AE487" s="194"/>
      <c r="AF487" s="194"/>
      <c r="AG487" s="194"/>
      <c r="AH487" s="194"/>
      <c r="AI487" s="190"/>
    </row>
    <row r="488" ht="16.5" customHeight="1">
      <c r="A488" s="190"/>
      <c r="B488" s="191"/>
      <c r="C488" s="191"/>
      <c r="D488" s="191"/>
      <c r="E488" s="192"/>
      <c r="F488" s="192"/>
      <c r="G488" s="192"/>
      <c r="H488" s="192"/>
      <c r="I488" s="192"/>
      <c r="J488" s="193"/>
      <c r="K488" s="192"/>
      <c r="L488" s="190"/>
      <c r="M488" s="194"/>
      <c r="N488" s="194"/>
      <c r="O488" s="194"/>
      <c r="P488" s="194"/>
      <c r="Q488" s="194"/>
      <c r="R488" s="194"/>
      <c r="S488" s="195"/>
      <c r="T488" s="195"/>
      <c r="U488" s="195"/>
      <c r="V488" s="191"/>
      <c r="W488" s="192"/>
      <c r="X488" s="192"/>
      <c r="Y488" s="192"/>
      <c r="Z488" s="191"/>
      <c r="AA488" s="191"/>
      <c r="AB488" s="193"/>
      <c r="AC488" s="193"/>
      <c r="AD488" s="191"/>
      <c r="AE488" s="194"/>
      <c r="AF488" s="194"/>
      <c r="AG488" s="194"/>
      <c r="AH488" s="194"/>
      <c r="AI488" s="190"/>
    </row>
    <row r="489" ht="16.5" customHeight="1">
      <c r="A489" s="190"/>
      <c r="B489" s="191"/>
      <c r="C489" s="191"/>
      <c r="D489" s="191"/>
      <c r="E489" s="192"/>
      <c r="F489" s="192"/>
      <c r="G489" s="192"/>
      <c r="H489" s="192"/>
      <c r="I489" s="192"/>
      <c r="J489" s="193"/>
      <c r="K489" s="192"/>
      <c r="L489" s="190"/>
      <c r="M489" s="194"/>
      <c r="N489" s="194"/>
      <c r="O489" s="194"/>
      <c r="P489" s="194"/>
      <c r="Q489" s="194"/>
      <c r="R489" s="194"/>
      <c r="S489" s="195"/>
      <c r="T489" s="195"/>
      <c r="U489" s="195"/>
      <c r="V489" s="191"/>
      <c r="W489" s="192"/>
      <c r="X489" s="192"/>
      <c r="Y489" s="192"/>
      <c r="Z489" s="191"/>
      <c r="AA489" s="191"/>
      <c r="AB489" s="193"/>
      <c r="AC489" s="193"/>
      <c r="AD489" s="191"/>
      <c r="AE489" s="194"/>
      <c r="AF489" s="194"/>
      <c r="AG489" s="194"/>
      <c r="AH489" s="194"/>
      <c r="AI489" s="190"/>
    </row>
    <row r="490" ht="16.5" customHeight="1">
      <c r="A490" s="190"/>
      <c r="B490" s="191"/>
      <c r="C490" s="191"/>
      <c r="D490" s="191"/>
      <c r="E490" s="192"/>
      <c r="F490" s="192"/>
      <c r="G490" s="192"/>
      <c r="H490" s="192"/>
      <c r="I490" s="192"/>
      <c r="J490" s="193"/>
      <c r="K490" s="192"/>
      <c r="L490" s="190"/>
      <c r="M490" s="194"/>
      <c r="N490" s="194"/>
      <c r="O490" s="194"/>
      <c r="P490" s="194"/>
      <c r="Q490" s="194"/>
      <c r="R490" s="194"/>
      <c r="S490" s="195"/>
      <c r="T490" s="195"/>
      <c r="U490" s="195"/>
      <c r="V490" s="191"/>
      <c r="W490" s="192"/>
      <c r="X490" s="192"/>
      <c r="Y490" s="192"/>
      <c r="Z490" s="191"/>
      <c r="AA490" s="191"/>
      <c r="AB490" s="193"/>
      <c r="AC490" s="193"/>
      <c r="AD490" s="191"/>
      <c r="AE490" s="194"/>
      <c r="AF490" s="194"/>
      <c r="AG490" s="194"/>
      <c r="AH490" s="194"/>
      <c r="AI490" s="190"/>
    </row>
    <row r="491" ht="16.5" customHeight="1">
      <c r="A491" s="190"/>
      <c r="B491" s="191"/>
      <c r="C491" s="191"/>
      <c r="D491" s="191"/>
      <c r="E491" s="192"/>
      <c r="F491" s="192"/>
      <c r="G491" s="192"/>
      <c r="H491" s="192"/>
      <c r="I491" s="192"/>
      <c r="J491" s="193"/>
      <c r="K491" s="192"/>
      <c r="L491" s="190"/>
      <c r="M491" s="194"/>
      <c r="N491" s="194"/>
      <c r="O491" s="194"/>
      <c r="P491" s="194"/>
      <c r="Q491" s="194"/>
      <c r="R491" s="194"/>
      <c r="S491" s="195"/>
      <c r="T491" s="195"/>
      <c r="U491" s="195"/>
      <c r="V491" s="191"/>
      <c r="W491" s="192"/>
      <c r="X491" s="192"/>
      <c r="Y491" s="192"/>
      <c r="Z491" s="191"/>
      <c r="AA491" s="191"/>
      <c r="AB491" s="193"/>
      <c r="AC491" s="193"/>
      <c r="AD491" s="191"/>
      <c r="AE491" s="194"/>
      <c r="AF491" s="194"/>
      <c r="AG491" s="194"/>
      <c r="AH491" s="194"/>
      <c r="AI491" s="190"/>
    </row>
    <row r="492" ht="16.5" customHeight="1">
      <c r="A492" s="190"/>
      <c r="B492" s="191"/>
      <c r="C492" s="191"/>
      <c r="D492" s="191"/>
      <c r="E492" s="192"/>
      <c r="F492" s="192"/>
      <c r="G492" s="192"/>
      <c r="H492" s="192"/>
      <c r="I492" s="192"/>
      <c r="J492" s="193"/>
      <c r="K492" s="192"/>
      <c r="L492" s="190"/>
      <c r="M492" s="194"/>
      <c r="N492" s="194"/>
      <c r="O492" s="194"/>
      <c r="P492" s="194"/>
      <c r="Q492" s="194"/>
      <c r="R492" s="194"/>
      <c r="S492" s="195"/>
      <c r="T492" s="195"/>
      <c r="U492" s="195"/>
      <c r="V492" s="191"/>
      <c r="W492" s="192"/>
      <c r="X492" s="192"/>
      <c r="Y492" s="192"/>
      <c r="Z492" s="191"/>
      <c r="AA492" s="191"/>
      <c r="AB492" s="193"/>
      <c r="AC492" s="193"/>
      <c r="AD492" s="191"/>
      <c r="AE492" s="194"/>
      <c r="AF492" s="194"/>
      <c r="AG492" s="194"/>
      <c r="AH492" s="194"/>
      <c r="AI492" s="190"/>
    </row>
    <row r="493" ht="16.5" customHeight="1">
      <c r="A493" s="190"/>
      <c r="B493" s="191"/>
      <c r="C493" s="191"/>
      <c r="D493" s="191"/>
      <c r="E493" s="192"/>
      <c r="F493" s="192"/>
      <c r="G493" s="192"/>
      <c r="H493" s="192"/>
      <c r="I493" s="192"/>
      <c r="J493" s="193"/>
      <c r="K493" s="192"/>
      <c r="L493" s="190"/>
      <c r="M493" s="194"/>
      <c r="N493" s="194"/>
      <c r="O493" s="194"/>
      <c r="P493" s="194"/>
      <c r="Q493" s="194"/>
      <c r="R493" s="194"/>
      <c r="S493" s="195"/>
      <c r="T493" s="195"/>
      <c r="U493" s="195"/>
      <c r="V493" s="191"/>
      <c r="W493" s="192"/>
      <c r="X493" s="192"/>
      <c r="Y493" s="192"/>
      <c r="Z493" s="191"/>
      <c r="AA493" s="191"/>
      <c r="AB493" s="193"/>
      <c r="AC493" s="193"/>
      <c r="AD493" s="191"/>
      <c r="AE493" s="194"/>
      <c r="AF493" s="194"/>
      <c r="AG493" s="194"/>
      <c r="AH493" s="194"/>
      <c r="AI493" s="190"/>
    </row>
    <row r="494" ht="16.5" customHeight="1">
      <c r="A494" s="190"/>
      <c r="B494" s="191"/>
      <c r="C494" s="191"/>
      <c r="D494" s="191"/>
      <c r="E494" s="192"/>
      <c r="F494" s="192"/>
      <c r="G494" s="192"/>
      <c r="H494" s="192"/>
      <c r="I494" s="192"/>
      <c r="J494" s="193"/>
      <c r="K494" s="192"/>
      <c r="L494" s="190"/>
      <c r="M494" s="194"/>
      <c r="N494" s="194"/>
      <c r="O494" s="194"/>
      <c r="P494" s="194"/>
      <c r="Q494" s="194"/>
      <c r="R494" s="194"/>
      <c r="S494" s="195"/>
      <c r="T494" s="195"/>
      <c r="U494" s="195"/>
      <c r="V494" s="191"/>
      <c r="W494" s="192"/>
      <c r="X494" s="192"/>
      <c r="Y494" s="192"/>
      <c r="Z494" s="191"/>
      <c r="AA494" s="191"/>
      <c r="AB494" s="193"/>
      <c r="AC494" s="193"/>
      <c r="AD494" s="191"/>
      <c r="AE494" s="194"/>
      <c r="AF494" s="194"/>
      <c r="AG494" s="194"/>
      <c r="AH494" s="194"/>
      <c r="AI494" s="190"/>
    </row>
    <row r="495" ht="16.5" customHeight="1">
      <c r="A495" s="190"/>
      <c r="B495" s="191"/>
      <c r="C495" s="191"/>
      <c r="D495" s="191"/>
      <c r="E495" s="192"/>
      <c r="F495" s="192"/>
      <c r="G495" s="192"/>
      <c r="H495" s="192"/>
      <c r="I495" s="192"/>
      <c r="J495" s="193"/>
      <c r="K495" s="192"/>
      <c r="L495" s="190"/>
      <c r="M495" s="194"/>
      <c r="N495" s="194"/>
      <c r="O495" s="194"/>
      <c r="P495" s="194"/>
      <c r="Q495" s="194"/>
      <c r="R495" s="194"/>
      <c r="S495" s="195"/>
      <c r="T495" s="195"/>
      <c r="U495" s="195"/>
      <c r="V495" s="191"/>
      <c r="W495" s="192"/>
      <c r="X495" s="192"/>
      <c r="Y495" s="192"/>
      <c r="Z495" s="191"/>
      <c r="AA495" s="191"/>
      <c r="AB495" s="193"/>
      <c r="AC495" s="193"/>
      <c r="AD495" s="191"/>
      <c r="AE495" s="194"/>
      <c r="AF495" s="194"/>
      <c r="AG495" s="194"/>
      <c r="AH495" s="194"/>
      <c r="AI495" s="190"/>
    </row>
    <row r="496" ht="16.5" customHeight="1">
      <c r="A496" s="190"/>
      <c r="B496" s="191"/>
      <c r="C496" s="191"/>
      <c r="D496" s="191"/>
      <c r="E496" s="192"/>
      <c r="F496" s="192"/>
      <c r="G496" s="192"/>
      <c r="H496" s="192"/>
      <c r="I496" s="192"/>
      <c r="J496" s="193"/>
      <c r="K496" s="192"/>
      <c r="L496" s="190"/>
      <c r="M496" s="194"/>
      <c r="N496" s="194"/>
      <c r="O496" s="194"/>
      <c r="P496" s="194"/>
      <c r="Q496" s="194"/>
      <c r="R496" s="194"/>
      <c r="S496" s="195"/>
      <c r="T496" s="195"/>
      <c r="U496" s="195"/>
      <c r="V496" s="191"/>
      <c r="W496" s="192"/>
      <c r="X496" s="192"/>
      <c r="Y496" s="192"/>
      <c r="Z496" s="191"/>
      <c r="AA496" s="191"/>
      <c r="AB496" s="193"/>
      <c r="AC496" s="193"/>
      <c r="AD496" s="191"/>
      <c r="AE496" s="194"/>
      <c r="AF496" s="194"/>
      <c r="AG496" s="194"/>
      <c r="AH496" s="194"/>
      <c r="AI496" s="190"/>
    </row>
    <row r="497" ht="16.5" customHeight="1">
      <c r="A497" s="190"/>
      <c r="B497" s="191"/>
      <c r="C497" s="191"/>
      <c r="D497" s="191"/>
      <c r="E497" s="192"/>
      <c r="F497" s="192"/>
      <c r="G497" s="192"/>
      <c r="H497" s="192"/>
      <c r="I497" s="192"/>
      <c r="J497" s="193"/>
      <c r="K497" s="192"/>
      <c r="L497" s="190"/>
      <c r="M497" s="194"/>
      <c r="N497" s="194"/>
      <c r="O497" s="194"/>
      <c r="P497" s="194"/>
      <c r="Q497" s="194"/>
      <c r="R497" s="194"/>
      <c r="S497" s="195"/>
      <c r="T497" s="195"/>
      <c r="U497" s="195"/>
      <c r="V497" s="191"/>
      <c r="W497" s="192"/>
      <c r="X497" s="192"/>
      <c r="Y497" s="192"/>
      <c r="Z497" s="191"/>
      <c r="AA497" s="191"/>
      <c r="AB497" s="193"/>
      <c r="AC497" s="193"/>
      <c r="AD497" s="191"/>
      <c r="AE497" s="194"/>
      <c r="AF497" s="194"/>
      <c r="AG497" s="194"/>
      <c r="AH497" s="194"/>
      <c r="AI497" s="190"/>
    </row>
    <row r="498" ht="16.5" customHeight="1">
      <c r="A498" s="190"/>
      <c r="B498" s="191"/>
      <c r="C498" s="191"/>
      <c r="D498" s="191"/>
      <c r="E498" s="192"/>
      <c r="F498" s="192"/>
      <c r="G498" s="192"/>
      <c r="H498" s="192"/>
      <c r="I498" s="192"/>
      <c r="J498" s="193"/>
      <c r="K498" s="192"/>
      <c r="L498" s="190"/>
      <c r="M498" s="194"/>
      <c r="N498" s="194"/>
      <c r="O498" s="194"/>
      <c r="P498" s="194"/>
      <c r="Q498" s="194"/>
      <c r="R498" s="194"/>
      <c r="S498" s="195"/>
      <c r="T498" s="195"/>
      <c r="U498" s="195"/>
      <c r="V498" s="191"/>
      <c r="W498" s="192"/>
      <c r="X498" s="192"/>
      <c r="Y498" s="192"/>
      <c r="Z498" s="191"/>
      <c r="AA498" s="191"/>
      <c r="AB498" s="193"/>
      <c r="AC498" s="193"/>
      <c r="AD498" s="191"/>
      <c r="AE498" s="194"/>
      <c r="AF498" s="194"/>
      <c r="AG498" s="194"/>
      <c r="AH498" s="194"/>
      <c r="AI498" s="190"/>
    </row>
    <row r="499" ht="16.5" customHeight="1">
      <c r="A499" s="190"/>
      <c r="B499" s="191"/>
      <c r="C499" s="191"/>
      <c r="D499" s="191"/>
      <c r="E499" s="192"/>
      <c r="F499" s="192"/>
      <c r="G499" s="192"/>
      <c r="H499" s="192"/>
      <c r="I499" s="192"/>
      <c r="J499" s="193"/>
      <c r="K499" s="192"/>
      <c r="L499" s="190"/>
      <c r="M499" s="194"/>
      <c r="N499" s="194"/>
      <c r="O499" s="194"/>
      <c r="P499" s="194"/>
      <c r="Q499" s="194"/>
      <c r="R499" s="194"/>
      <c r="S499" s="195"/>
      <c r="T499" s="195"/>
      <c r="U499" s="195"/>
      <c r="V499" s="191"/>
      <c r="W499" s="192"/>
      <c r="X499" s="192"/>
      <c r="Y499" s="192"/>
      <c r="Z499" s="191"/>
      <c r="AA499" s="191"/>
      <c r="AB499" s="193"/>
      <c r="AC499" s="193"/>
      <c r="AD499" s="191"/>
      <c r="AE499" s="194"/>
      <c r="AF499" s="194"/>
      <c r="AG499" s="194"/>
      <c r="AH499" s="194"/>
      <c r="AI499" s="190"/>
    </row>
    <row r="500" ht="16.5" customHeight="1">
      <c r="A500" s="190"/>
      <c r="B500" s="191"/>
      <c r="C500" s="191"/>
      <c r="D500" s="191"/>
      <c r="E500" s="192"/>
      <c r="F500" s="192"/>
      <c r="G500" s="192"/>
      <c r="H500" s="192"/>
      <c r="I500" s="192"/>
      <c r="J500" s="193"/>
      <c r="K500" s="192"/>
      <c r="L500" s="190"/>
      <c r="M500" s="194"/>
      <c r="N500" s="194"/>
      <c r="O500" s="194"/>
      <c r="P500" s="194"/>
      <c r="Q500" s="194"/>
      <c r="R500" s="194"/>
      <c r="S500" s="195"/>
      <c r="T500" s="195"/>
      <c r="U500" s="195"/>
      <c r="V500" s="191"/>
      <c r="W500" s="192"/>
      <c r="X500" s="192"/>
      <c r="Y500" s="192"/>
      <c r="Z500" s="191"/>
      <c r="AA500" s="191"/>
      <c r="AB500" s="193"/>
      <c r="AC500" s="193"/>
      <c r="AD500" s="191"/>
      <c r="AE500" s="194"/>
      <c r="AF500" s="194"/>
      <c r="AG500" s="194"/>
      <c r="AH500" s="194"/>
      <c r="AI500" s="190"/>
    </row>
    <row r="501" ht="16.5" customHeight="1">
      <c r="A501" s="190"/>
      <c r="B501" s="191"/>
      <c r="C501" s="191"/>
      <c r="D501" s="191"/>
      <c r="E501" s="192"/>
      <c r="F501" s="192"/>
      <c r="G501" s="192"/>
      <c r="H501" s="192"/>
      <c r="I501" s="192"/>
      <c r="J501" s="193"/>
      <c r="K501" s="192"/>
      <c r="L501" s="190"/>
      <c r="M501" s="194"/>
      <c r="N501" s="194"/>
      <c r="O501" s="194"/>
      <c r="P501" s="194"/>
      <c r="Q501" s="194"/>
      <c r="R501" s="194"/>
      <c r="S501" s="195"/>
      <c r="T501" s="195"/>
      <c r="U501" s="195"/>
      <c r="V501" s="191"/>
      <c r="W501" s="192"/>
      <c r="X501" s="192"/>
      <c r="Y501" s="192"/>
      <c r="Z501" s="191"/>
      <c r="AA501" s="191"/>
      <c r="AB501" s="193"/>
      <c r="AC501" s="193"/>
      <c r="AD501" s="191"/>
      <c r="AE501" s="194"/>
      <c r="AF501" s="194"/>
      <c r="AG501" s="194"/>
      <c r="AH501" s="194"/>
      <c r="AI501" s="190"/>
    </row>
    <row r="502" ht="16.5" customHeight="1">
      <c r="A502" s="190"/>
      <c r="B502" s="191"/>
      <c r="C502" s="191"/>
      <c r="D502" s="191"/>
      <c r="E502" s="192"/>
      <c r="F502" s="192"/>
      <c r="G502" s="192"/>
      <c r="H502" s="192"/>
      <c r="I502" s="192"/>
      <c r="J502" s="193"/>
      <c r="K502" s="192"/>
      <c r="L502" s="190"/>
      <c r="M502" s="194"/>
      <c r="N502" s="194"/>
      <c r="O502" s="194"/>
      <c r="P502" s="194"/>
      <c r="Q502" s="194"/>
      <c r="R502" s="194"/>
      <c r="S502" s="195"/>
      <c r="T502" s="195"/>
      <c r="U502" s="195"/>
      <c r="V502" s="191"/>
      <c r="W502" s="192"/>
      <c r="X502" s="192"/>
      <c r="Y502" s="192"/>
      <c r="Z502" s="191"/>
      <c r="AA502" s="191"/>
      <c r="AB502" s="193"/>
      <c r="AC502" s="193"/>
      <c r="AD502" s="191"/>
      <c r="AE502" s="194"/>
      <c r="AF502" s="194"/>
      <c r="AG502" s="194"/>
      <c r="AH502" s="194"/>
      <c r="AI502" s="190"/>
    </row>
    <row r="503" ht="16.5" customHeight="1">
      <c r="A503" s="190"/>
      <c r="B503" s="191"/>
      <c r="C503" s="191"/>
      <c r="D503" s="191"/>
      <c r="E503" s="192"/>
      <c r="F503" s="192"/>
      <c r="G503" s="192"/>
      <c r="H503" s="192"/>
      <c r="I503" s="192"/>
      <c r="J503" s="193"/>
      <c r="K503" s="192"/>
      <c r="L503" s="190"/>
      <c r="M503" s="194"/>
      <c r="N503" s="194"/>
      <c r="O503" s="194"/>
      <c r="P503" s="194"/>
      <c r="Q503" s="194"/>
      <c r="R503" s="194"/>
      <c r="S503" s="195"/>
      <c r="T503" s="195"/>
      <c r="U503" s="195"/>
      <c r="V503" s="191"/>
      <c r="W503" s="192"/>
      <c r="X503" s="192"/>
      <c r="Y503" s="192"/>
      <c r="Z503" s="191"/>
      <c r="AA503" s="191"/>
      <c r="AB503" s="193"/>
      <c r="AC503" s="193"/>
      <c r="AD503" s="191"/>
      <c r="AE503" s="194"/>
      <c r="AF503" s="194"/>
      <c r="AG503" s="194"/>
      <c r="AH503" s="194"/>
      <c r="AI503" s="190"/>
    </row>
    <row r="504" ht="16.5" customHeight="1">
      <c r="A504" s="190"/>
      <c r="B504" s="191"/>
      <c r="C504" s="191"/>
      <c r="D504" s="191"/>
      <c r="E504" s="192"/>
      <c r="F504" s="192"/>
      <c r="G504" s="192"/>
      <c r="H504" s="192"/>
      <c r="I504" s="192"/>
      <c r="J504" s="193"/>
      <c r="K504" s="192"/>
      <c r="L504" s="190"/>
      <c r="M504" s="194"/>
      <c r="N504" s="194"/>
      <c r="O504" s="194"/>
      <c r="P504" s="194"/>
      <c r="Q504" s="194"/>
      <c r="R504" s="194"/>
      <c r="S504" s="195"/>
      <c r="T504" s="195"/>
      <c r="U504" s="195"/>
      <c r="V504" s="191"/>
      <c r="W504" s="192"/>
      <c r="X504" s="192"/>
      <c r="Y504" s="192"/>
      <c r="Z504" s="191"/>
      <c r="AA504" s="191"/>
      <c r="AB504" s="193"/>
      <c r="AC504" s="193"/>
      <c r="AD504" s="191"/>
      <c r="AE504" s="194"/>
      <c r="AF504" s="194"/>
      <c r="AG504" s="194"/>
      <c r="AH504" s="194"/>
      <c r="AI504" s="190"/>
    </row>
    <row r="505" ht="16.5" customHeight="1">
      <c r="A505" s="190"/>
      <c r="B505" s="191"/>
      <c r="C505" s="191"/>
      <c r="D505" s="191"/>
      <c r="E505" s="192"/>
      <c r="F505" s="192"/>
      <c r="G505" s="192"/>
      <c r="H505" s="192"/>
      <c r="I505" s="192"/>
      <c r="J505" s="193"/>
      <c r="K505" s="192"/>
      <c r="L505" s="190"/>
      <c r="M505" s="194"/>
      <c r="N505" s="194"/>
      <c r="O505" s="194"/>
      <c r="P505" s="194"/>
      <c r="Q505" s="194"/>
      <c r="R505" s="194"/>
      <c r="S505" s="195"/>
      <c r="T505" s="195"/>
      <c r="U505" s="195"/>
      <c r="V505" s="191"/>
      <c r="W505" s="192"/>
      <c r="X505" s="192"/>
      <c r="Y505" s="192"/>
      <c r="Z505" s="191"/>
      <c r="AA505" s="191"/>
      <c r="AB505" s="193"/>
      <c r="AC505" s="193"/>
      <c r="AD505" s="191"/>
      <c r="AE505" s="194"/>
      <c r="AF505" s="194"/>
      <c r="AG505" s="194"/>
      <c r="AH505" s="194"/>
      <c r="AI505" s="190"/>
    </row>
    <row r="506" ht="16.5" customHeight="1">
      <c r="A506" s="190"/>
      <c r="B506" s="191"/>
      <c r="C506" s="191"/>
      <c r="D506" s="191"/>
      <c r="E506" s="192"/>
      <c r="F506" s="192"/>
      <c r="G506" s="192"/>
      <c r="H506" s="192"/>
      <c r="I506" s="192"/>
      <c r="J506" s="193"/>
      <c r="K506" s="192"/>
      <c r="L506" s="190"/>
      <c r="M506" s="194"/>
      <c r="N506" s="194"/>
      <c r="O506" s="194"/>
      <c r="P506" s="194"/>
      <c r="Q506" s="194"/>
      <c r="R506" s="194"/>
      <c r="S506" s="195"/>
      <c r="T506" s="195"/>
      <c r="U506" s="195"/>
      <c r="V506" s="191"/>
      <c r="W506" s="192"/>
      <c r="X506" s="192"/>
      <c r="Y506" s="192"/>
      <c r="Z506" s="191"/>
      <c r="AA506" s="191"/>
      <c r="AB506" s="193"/>
      <c r="AC506" s="193"/>
      <c r="AD506" s="191"/>
      <c r="AE506" s="194"/>
      <c r="AF506" s="194"/>
      <c r="AG506" s="194"/>
      <c r="AH506" s="194"/>
      <c r="AI506" s="190"/>
    </row>
    <row r="507" ht="16.5" customHeight="1">
      <c r="A507" s="190"/>
      <c r="B507" s="191"/>
      <c r="C507" s="191"/>
      <c r="D507" s="191"/>
      <c r="E507" s="192"/>
      <c r="F507" s="192"/>
      <c r="G507" s="192"/>
      <c r="H507" s="192"/>
      <c r="I507" s="192"/>
      <c r="J507" s="193"/>
      <c r="K507" s="192"/>
      <c r="L507" s="190"/>
      <c r="M507" s="194"/>
      <c r="N507" s="194"/>
      <c r="O507" s="194"/>
      <c r="P507" s="194"/>
      <c r="Q507" s="194"/>
      <c r="R507" s="194"/>
      <c r="S507" s="195"/>
      <c r="T507" s="195"/>
      <c r="U507" s="195"/>
      <c r="V507" s="191"/>
      <c r="W507" s="192"/>
      <c r="X507" s="192"/>
      <c r="Y507" s="192"/>
      <c r="Z507" s="191"/>
      <c r="AA507" s="191"/>
      <c r="AB507" s="193"/>
      <c r="AC507" s="193"/>
      <c r="AD507" s="191"/>
      <c r="AE507" s="194"/>
      <c r="AF507" s="194"/>
      <c r="AG507" s="194"/>
      <c r="AH507" s="194"/>
      <c r="AI507" s="190"/>
    </row>
    <row r="508" ht="16.5" customHeight="1">
      <c r="A508" s="190"/>
      <c r="B508" s="191"/>
      <c r="C508" s="191"/>
      <c r="D508" s="191"/>
      <c r="E508" s="192"/>
      <c r="F508" s="192"/>
      <c r="G508" s="192"/>
      <c r="H508" s="192"/>
      <c r="I508" s="192"/>
      <c r="J508" s="193"/>
      <c r="K508" s="192"/>
      <c r="L508" s="190"/>
      <c r="M508" s="194"/>
      <c r="N508" s="194"/>
      <c r="O508" s="194"/>
      <c r="P508" s="194"/>
      <c r="Q508" s="194"/>
      <c r="R508" s="194"/>
      <c r="S508" s="195"/>
      <c r="T508" s="195"/>
      <c r="U508" s="195"/>
      <c r="V508" s="191"/>
      <c r="W508" s="192"/>
      <c r="X508" s="192"/>
      <c r="Y508" s="192"/>
      <c r="Z508" s="191"/>
      <c r="AA508" s="191"/>
      <c r="AB508" s="193"/>
      <c r="AC508" s="193"/>
      <c r="AD508" s="191"/>
      <c r="AE508" s="194"/>
      <c r="AF508" s="194"/>
      <c r="AG508" s="194"/>
      <c r="AH508" s="194"/>
      <c r="AI508" s="190"/>
    </row>
    <row r="509" ht="16.5" customHeight="1">
      <c r="A509" s="190"/>
      <c r="B509" s="191"/>
      <c r="C509" s="191"/>
      <c r="D509" s="191"/>
      <c r="E509" s="192"/>
      <c r="F509" s="192"/>
      <c r="G509" s="192"/>
      <c r="H509" s="192"/>
      <c r="I509" s="192"/>
      <c r="J509" s="193"/>
      <c r="K509" s="192"/>
      <c r="L509" s="190"/>
      <c r="M509" s="194"/>
      <c r="N509" s="194"/>
      <c r="O509" s="194"/>
      <c r="P509" s="194"/>
      <c r="Q509" s="194"/>
      <c r="R509" s="194"/>
      <c r="S509" s="195"/>
      <c r="T509" s="195"/>
      <c r="U509" s="195"/>
      <c r="V509" s="191"/>
      <c r="W509" s="192"/>
      <c r="X509" s="192"/>
      <c r="Y509" s="192"/>
      <c r="Z509" s="191"/>
      <c r="AA509" s="191"/>
      <c r="AB509" s="193"/>
      <c r="AC509" s="193"/>
      <c r="AD509" s="191"/>
      <c r="AE509" s="194"/>
      <c r="AF509" s="194"/>
      <c r="AG509" s="194"/>
      <c r="AH509" s="194"/>
      <c r="AI509" s="190"/>
    </row>
    <row r="510" ht="16.5" customHeight="1">
      <c r="A510" s="190"/>
      <c r="B510" s="191"/>
      <c r="C510" s="191"/>
      <c r="D510" s="191"/>
      <c r="E510" s="192"/>
      <c r="F510" s="192"/>
      <c r="G510" s="192"/>
      <c r="H510" s="192"/>
      <c r="I510" s="192"/>
      <c r="J510" s="193"/>
      <c r="K510" s="192"/>
      <c r="L510" s="190"/>
      <c r="M510" s="194"/>
      <c r="N510" s="194"/>
      <c r="O510" s="194"/>
      <c r="P510" s="194"/>
      <c r="Q510" s="194"/>
      <c r="R510" s="194"/>
      <c r="S510" s="195"/>
      <c r="T510" s="195"/>
      <c r="U510" s="195"/>
      <c r="V510" s="191"/>
      <c r="W510" s="192"/>
      <c r="X510" s="192"/>
      <c r="Y510" s="192"/>
      <c r="Z510" s="191"/>
      <c r="AA510" s="191"/>
      <c r="AB510" s="193"/>
      <c r="AC510" s="193"/>
      <c r="AD510" s="191"/>
      <c r="AE510" s="194"/>
      <c r="AF510" s="194"/>
      <c r="AG510" s="194"/>
      <c r="AH510" s="194"/>
      <c r="AI510" s="190"/>
    </row>
    <row r="511" ht="16.5" customHeight="1">
      <c r="A511" s="190"/>
      <c r="B511" s="191"/>
      <c r="C511" s="191"/>
      <c r="D511" s="191"/>
      <c r="E511" s="192"/>
      <c r="F511" s="192"/>
      <c r="G511" s="192"/>
      <c r="H511" s="192"/>
      <c r="I511" s="192"/>
      <c r="J511" s="193"/>
      <c r="K511" s="192"/>
      <c r="L511" s="190"/>
      <c r="M511" s="194"/>
      <c r="N511" s="194"/>
      <c r="O511" s="194"/>
      <c r="P511" s="194"/>
      <c r="Q511" s="194"/>
      <c r="R511" s="194"/>
      <c r="S511" s="195"/>
      <c r="T511" s="195"/>
      <c r="U511" s="195"/>
      <c r="V511" s="191"/>
      <c r="W511" s="192"/>
      <c r="X511" s="192"/>
      <c r="Y511" s="192"/>
      <c r="Z511" s="191"/>
      <c r="AA511" s="191"/>
      <c r="AB511" s="193"/>
      <c r="AC511" s="193"/>
      <c r="AD511" s="191"/>
      <c r="AE511" s="194"/>
      <c r="AF511" s="194"/>
      <c r="AG511" s="194"/>
      <c r="AH511" s="194"/>
      <c r="AI511" s="190"/>
    </row>
    <row r="512" ht="16.5" customHeight="1">
      <c r="A512" s="190"/>
      <c r="B512" s="191"/>
      <c r="C512" s="191"/>
      <c r="D512" s="191"/>
      <c r="E512" s="192"/>
      <c r="F512" s="192"/>
      <c r="G512" s="192"/>
      <c r="H512" s="192"/>
      <c r="I512" s="192"/>
      <c r="J512" s="193"/>
      <c r="K512" s="192"/>
      <c r="L512" s="190"/>
      <c r="M512" s="194"/>
      <c r="N512" s="194"/>
      <c r="O512" s="194"/>
      <c r="P512" s="194"/>
      <c r="Q512" s="194"/>
      <c r="R512" s="194"/>
      <c r="S512" s="195"/>
      <c r="T512" s="195"/>
      <c r="U512" s="195"/>
      <c r="V512" s="191"/>
      <c r="W512" s="192"/>
      <c r="X512" s="192"/>
      <c r="Y512" s="192"/>
      <c r="Z512" s="191"/>
      <c r="AA512" s="191"/>
      <c r="AB512" s="193"/>
      <c r="AC512" s="193"/>
      <c r="AD512" s="191"/>
      <c r="AE512" s="194"/>
      <c r="AF512" s="194"/>
      <c r="AG512" s="194"/>
      <c r="AH512" s="194"/>
      <c r="AI512" s="190"/>
    </row>
    <row r="513" ht="16.5" customHeight="1">
      <c r="A513" s="190"/>
      <c r="B513" s="191"/>
      <c r="C513" s="191"/>
      <c r="D513" s="191"/>
      <c r="E513" s="192"/>
      <c r="F513" s="192"/>
      <c r="G513" s="192"/>
      <c r="H513" s="192"/>
      <c r="I513" s="192"/>
      <c r="J513" s="193"/>
      <c r="K513" s="192"/>
      <c r="L513" s="190"/>
      <c r="M513" s="194"/>
      <c r="N513" s="194"/>
      <c r="O513" s="194"/>
      <c r="P513" s="194"/>
      <c r="Q513" s="194"/>
      <c r="R513" s="194"/>
      <c r="S513" s="195"/>
      <c r="T513" s="195"/>
      <c r="U513" s="195"/>
      <c r="V513" s="191"/>
      <c r="W513" s="192"/>
      <c r="X513" s="192"/>
      <c r="Y513" s="192"/>
      <c r="Z513" s="191"/>
      <c r="AA513" s="191"/>
      <c r="AB513" s="193"/>
      <c r="AC513" s="193"/>
      <c r="AD513" s="191"/>
      <c r="AE513" s="194"/>
      <c r="AF513" s="194"/>
      <c r="AG513" s="194"/>
      <c r="AH513" s="194"/>
      <c r="AI513" s="190"/>
    </row>
    <row r="514" ht="16.5" customHeight="1">
      <c r="A514" s="190"/>
      <c r="B514" s="191"/>
      <c r="C514" s="191"/>
      <c r="D514" s="191"/>
      <c r="E514" s="192"/>
      <c r="F514" s="192"/>
      <c r="G514" s="192"/>
      <c r="H514" s="192"/>
      <c r="I514" s="192"/>
      <c r="J514" s="193"/>
      <c r="K514" s="192"/>
      <c r="L514" s="190"/>
      <c r="M514" s="194"/>
      <c r="N514" s="194"/>
      <c r="O514" s="194"/>
      <c r="P514" s="194"/>
      <c r="Q514" s="194"/>
      <c r="R514" s="194"/>
      <c r="S514" s="195"/>
      <c r="T514" s="195"/>
      <c r="U514" s="195"/>
      <c r="V514" s="191"/>
      <c r="W514" s="192"/>
      <c r="X514" s="192"/>
      <c r="Y514" s="192"/>
      <c r="Z514" s="191"/>
      <c r="AA514" s="191"/>
      <c r="AB514" s="193"/>
      <c r="AC514" s="193"/>
      <c r="AD514" s="191"/>
      <c r="AE514" s="194"/>
      <c r="AF514" s="194"/>
      <c r="AG514" s="194"/>
      <c r="AH514" s="194"/>
      <c r="AI514" s="190"/>
    </row>
    <row r="515" ht="16.5" customHeight="1">
      <c r="A515" s="190"/>
      <c r="B515" s="191"/>
      <c r="C515" s="191"/>
      <c r="D515" s="191"/>
      <c r="E515" s="192"/>
      <c r="F515" s="192"/>
      <c r="G515" s="192"/>
      <c r="H515" s="192"/>
      <c r="I515" s="192"/>
      <c r="J515" s="193"/>
      <c r="K515" s="192"/>
      <c r="L515" s="190"/>
      <c r="M515" s="194"/>
      <c r="N515" s="194"/>
      <c r="O515" s="194"/>
      <c r="P515" s="194"/>
      <c r="Q515" s="194"/>
      <c r="R515" s="194"/>
      <c r="S515" s="195"/>
      <c r="T515" s="195"/>
      <c r="U515" s="195"/>
      <c r="V515" s="191"/>
      <c r="W515" s="192"/>
      <c r="X515" s="192"/>
      <c r="Y515" s="192"/>
      <c r="Z515" s="191"/>
      <c r="AA515" s="191"/>
      <c r="AB515" s="193"/>
      <c r="AC515" s="193"/>
      <c r="AD515" s="191"/>
      <c r="AE515" s="194"/>
      <c r="AF515" s="194"/>
      <c r="AG515" s="194"/>
      <c r="AH515" s="194"/>
      <c r="AI515" s="190"/>
    </row>
    <row r="516" ht="16.5" customHeight="1">
      <c r="A516" s="190"/>
      <c r="B516" s="191"/>
      <c r="C516" s="191"/>
      <c r="D516" s="191"/>
      <c r="E516" s="192"/>
      <c r="F516" s="192"/>
      <c r="G516" s="192"/>
      <c r="H516" s="192"/>
      <c r="I516" s="192"/>
      <c r="J516" s="193"/>
      <c r="K516" s="192"/>
      <c r="L516" s="190"/>
      <c r="M516" s="194"/>
      <c r="N516" s="194"/>
      <c r="O516" s="194"/>
      <c r="P516" s="194"/>
      <c r="Q516" s="194"/>
      <c r="R516" s="194"/>
      <c r="S516" s="195"/>
      <c r="T516" s="195"/>
      <c r="U516" s="195"/>
      <c r="V516" s="191"/>
      <c r="W516" s="192"/>
      <c r="X516" s="192"/>
      <c r="Y516" s="192"/>
      <c r="Z516" s="191"/>
      <c r="AA516" s="191"/>
      <c r="AB516" s="193"/>
      <c r="AC516" s="193"/>
      <c r="AD516" s="191"/>
      <c r="AE516" s="194"/>
      <c r="AF516" s="194"/>
      <c r="AG516" s="194"/>
      <c r="AH516" s="194"/>
      <c r="AI516" s="190"/>
    </row>
    <row r="517" ht="16.5" customHeight="1">
      <c r="A517" s="190"/>
      <c r="B517" s="191"/>
      <c r="C517" s="191"/>
      <c r="D517" s="191"/>
      <c r="E517" s="192"/>
      <c r="F517" s="192"/>
      <c r="G517" s="192"/>
      <c r="H517" s="192"/>
      <c r="I517" s="192"/>
      <c r="J517" s="193"/>
      <c r="K517" s="192"/>
      <c r="L517" s="190"/>
      <c r="M517" s="194"/>
      <c r="N517" s="194"/>
      <c r="O517" s="194"/>
      <c r="P517" s="194"/>
      <c r="Q517" s="194"/>
      <c r="R517" s="194"/>
      <c r="S517" s="195"/>
      <c r="T517" s="195"/>
      <c r="U517" s="195"/>
      <c r="V517" s="191"/>
      <c r="W517" s="192"/>
      <c r="X517" s="192"/>
      <c r="Y517" s="192"/>
      <c r="Z517" s="191"/>
      <c r="AA517" s="191"/>
      <c r="AB517" s="193"/>
      <c r="AC517" s="193"/>
      <c r="AD517" s="191"/>
      <c r="AE517" s="194"/>
      <c r="AF517" s="194"/>
      <c r="AG517" s="194"/>
      <c r="AH517" s="194"/>
      <c r="AI517" s="190"/>
    </row>
    <row r="518" ht="16.5" customHeight="1">
      <c r="A518" s="190"/>
      <c r="B518" s="191"/>
      <c r="C518" s="191"/>
      <c r="D518" s="191"/>
      <c r="E518" s="192"/>
      <c r="F518" s="192"/>
      <c r="G518" s="192"/>
      <c r="H518" s="192"/>
      <c r="I518" s="192"/>
      <c r="J518" s="193"/>
      <c r="K518" s="192"/>
      <c r="L518" s="190"/>
      <c r="M518" s="194"/>
      <c r="N518" s="194"/>
      <c r="O518" s="194"/>
      <c r="P518" s="194"/>
      <c r="Q518" s="194"/>
      <c r="R518" s="194"/>
      <c r="S518" s="195"/>
      <c r="T518" s="195"/>
      <c r="U518" s="195"/>
      <c r="V518" s="191"/>
      <c r="W518" s="192"/>
      <c r="X518" s="192"/>
      <c r="Y518" s="192"/>
      <c r="Z518" s="191"/>
      <c r="AA518" s="191"/>
      <c r="AB518" s="193"/>
      <c r="AC518" s="193"/>
      <c r="AD518" s="191"/>
      <c r="AE518" s="194"/>
      <c r="AF518" s="194"/>
      <c r="AG518" s="194"/>
      <c r="AH518" s="194"/>
      <c r="AI518" s="190"/>
    </row>
    <row r="519" ht="16.5" customHeight="1">
      <c r="A519" s="190"/>
      <c r="B519" s="191"/>
      <c r="C519" s="191"/>
      <c r="D519" s="191"/>
      <c r="E519" s="192"/>
      <c r="F519" s="192"/>
      <c r="G519" s="192"/>
      <c r="H519" s="192"/>
      <c r="I519" s="192"/>
      <c r="J519" s="193"/>
      <c r="K519" s="192"/>
      <c r="L519" s="190"/>
      <c r="M519" s="194"/>
      <c r="N519" s="194"/>
      <c r="O519" s="194"/>
      <c r="P519" s="194"/>
      <c r="Q519" s="194"/>
      <c r="R519" s="194"/>
      <c r="S519" s="195"/>
      <c r="T519" s="195"/>
      <c r="U519" s="195"/>
      <c r="V519" s="191"/>
      <c r="W519" s="192"/>
      <c r="X519" s="192"/>
      <c r="Y519" s="192"/>
      <c r="Z519" s="191"/>
      <c r="AA519" s="191"/>
      <c r="AB519" s="193"/>
      <c r="AC519" s="193"/>
      <c r="AD519" s="191"/>
      <c r="AE519" s="194"/>
      <c r="AF519" s="194"/>
      <c r="AG519" s="194"/>
      <c r="AH519" s="194"/>
      <c r="AI519" s="190"/>
    </row>
    <row r="520" ht="16.5" customHeight="1">
      <c r="A520" s="190"/>
      <c r="B520" s="191"/>
      <c r="C520" s="191"/>
      <c r="D520" s="191"/>
      <c r="E520" s="192"/>
      <c r="F520" s="192"/>
      <c r="G520" s="192"/>
      <c r="H520" s="192"/>
      <c r="I520" s="192"/>
      <c r="J520" s="193"/>
      <c r="K520" s="192"/>
      <c r="L520" s="190"/>
      <c r="M520" s="194"/>
      <c r="N520" s="194"/>
      <c r="O520" s="194"/>
      <c r="P520" s="194"/>
      <c r="Q520" s="194"/>
      <c r="R520" s="194"/>
      <c r="S520" s="195"/>
      <c r="T520" s="195"/>
      <c r="U520" s="195"/>
      <c r="V520" s="191"/>
      <c r="W520" s="192"/>
      <c r="X520" s="192"/>
      <c r="Y520" s="192"/>
      <c r="Z520" s="191"/>
      <c r="AA520" s="191"/>
      <c r="AB520" s="193"/>
      <c r="AC520" s="193"/>
      <c r="AD520" s="191"/>
      <c r="AE520" s="194"/>
      <c r="AF520" s="194"/>
      <c r="AG520" s="194"/>
      <c r="AH520" s="194"/>
      <c r="AI520" s="190"/>
    </row>
    <row r="521" ht="16.5" customHeight="1">
      <c r="A521" s="190"/>
      <c r="B521" s="191"/>
      <c r="C521" s="191"/>
      <c r="D521" s="191"/>
      <c r="E521" s="192"/>
      <c r="F521" s="192"/>
      <c r="G521" s="192"/>
      <c r="H521" s="192"/>
      <c r="I521" s="192"/>
      <c r="J521" s="193"/>
      <c r="K521" s="192"/>
      <c r="L521" s="190"/>
      <c r="M521" s="194"/>
      <c r="N521" s="194"/>
      <c r="O521" s="194"/>
      <c r="P521" s="194"/>
      <c r="Q521" s="194"/>
      <c r="R521" s="194"/>
      <c r="S521" s="195"/>
      <c r="T521" s="195"/>
      <c r="U521" s="195"/>
      <c r="V521" s="191"/>
      <c r="W521" s="192"/>
      <c r="X521" s="192"/>
      <c r="Y521" s="192"/>
      <c r="Z521" s="191"/>
      <c r="AA521" s="191"/>
      <c r="AB521" s="193"/>
      <c r="AC521" s="193"/>
      <c r="AD521" s="191"/>
      <c r="AE521" s="194"/>
      <c r="AF521" s="194"/>
      <c r="AG521" s="194"/>
      <c r="AH521" s="194"/>
      <c r="AI521" s="190"/>
    </row>
    <row r="522" ht="16.5" customHeight="1">
      <c r="A522" s="190"/>
      <c r="B522" s="191"/>
      <c r="C522" s="191"/>
      <c r="D522" s="191"/>
      <c r="E522" s="192"/>
      <c r="F522" s="192"/>
      <c r="G522" s="192"/>
      <c r="H522" s="192"/>
      <c r="I522" s="192"/>
      <c r="J522" s="193"/>
      <c r="K522" s="192"/>
      <c r="L522" s="190"/>
      <c r="M522" s="194"/>
      <c r="N522" s="194"/>
      <c r="O522" s="194"/>
      <c r="P522" s="194"/>
      <c r="Q522" s="194"/>
      <c r="R522" s="194"/>
      <c r="S522" s="195"/>
      <c r="T522" s="195"/>
      <c r="U522" s="195"/>
      <c r="V522" s="191"/>
      <c r="W522" s="192"/>
      <c r="X522" s="192"/>
      <c r="Y522" s="192"/>
      <c r="Z522" s="191"/>
      <c r="AA522" s="191"/>
      <c r="AB522" s="193"/>
      <c r="AC522" s="193"/>
      <c r="AD522" s="191"/>
      <c r="AE522" s="194"/>
      <c r="AF522" s="194"/>
      <c r="AG522" s="194"/>
      <c r="AH522" s="194"/>
      <c r="AI522" s="190"/>
    </row>
    <row r="523" ht="16.5" customHeight="1">
      <c r="A523" s="190"/>
      <c r="B523" s="191"/>
      <c r="C523" s="191"/>
      <c r="D523" s="191"/>
      <c r="E523" s="192"/>
      <c r="F523" s="192"/>
      <c r="G523" s="192"/>
      <c r="H523" s="192"/>
      <c r="I523" s="192"/>
      <c r="J523" s="193"/>
      <c r="K523" s="192"/>
      <c r="L523" s="190"/>
      <c r="M523" s="194"/>
      <c r="N523" s="194"/>
      <c r="O523" s="194"/>
      <c r="P523" s="194"/>
      <c r="Q523" s="194"/>
      <c r="R523" s="194"/>
      <c r="S523" s="195"/>
      <c r="T523" s="195"/>
      <c r="U523" s="195"/>
      <c r="V523" s="191"/>
      <c r="W523" s="192"/>
      <c r="X523" s="192"/>
      <c r="Y523" s="192"/>
      <c r="Z523" s="191"/>
      <c r="AA523" s="191"/>
      <c r="AB523" s="193"/>
      <c r="AC523" s="193"/>
      <c r="AD523" s="191"/>
      <c r="AE523" s="194"/>
      <c r="AF523" s="194"/>
      <c r="AG523" s="194"/>
      <c r="AH523" s="194"/>
      <c r="AI523" s="190"/>
    </row>
    <row r="524" ht="16.5" customHeight="1">
      <c r="A524" s="190"/>
      <c r="B524" s="191"/>
      <c r="C524" s="191"/>
      <c r="D524" s="191"/>
      <c r="E524" s="192"/>
      <c r="F524" s="192"/>
      <c r="G524" s="192"/>
      <c r="H524" s="192"/>
      <c r="I524" s="192"/>
      <c r="J524" s="193"/>
      <c r="K524" s="192"/>
      <c r="L524" s="190"/>
      <c r="M524" s="194"/>
      <c r="N524" s="194"/>
      <c r="O524" s="194"/>
      <c r="P524" s="194"/>
      <c r="Q524" s="194"/>
      <c r="R524" s="194"/>
      <c r="S524" s="195"/>
      <c r="T524" s="195"/>
      <c r="U524" s="195"/>
      <c r="V524" s="191"/>
      <c r="W524" s="192"/>
      <c r="X524" s="192"/>
      <c r="Y524" s="192"/>
      <c r="Z524" s="191"/>
      <c r="AA524" s="191"/>
      <c r="AB524" s="193"/>
      <c r="AC524" s="193"/>
      <c r="AD524" s="191"/>
      <c r="AE524" s="194"/>
      <c r="AF524" s="194"/>
      <c r="AG524" s="194"/>
      <c r="AH524" s="194"/>
      <c r="AI524" s="190"/>
    </row>
    <row r="525" ht="16.5" customHeight="1">
      <c r="A525" s="190"/>
      <c r="B525" s="191"/>
      <c r="C525" s="191"/>
      <c r="D525" s="191"/>
      <c r="E525" s="192"/>
      <c r="F525" s="192"/>
      <c r="G525" s="192"/>
      <c r="H525" s="192"/>
      <c r="I525" s="192"/>
      <c r="J525" s="193"/>
      <c r="K525" s="192"/>
      <c r="L525" s="190"/>
      <c r="M525" s="194"/>
      <c r="N525" s="194"/>
      <c r="O525" s="194"/>
      <c r="P525" s="194"/>
      <c r="Q525" s="194"/>
      <c r="R525" s="194"/>
      <c r="S525" s="195"/>
      <c r="T525" s="195"/>
      <c r="U525" s="195"/>
      <c r="V525" s="191"/>
      <c r="W525" s="192"/>
      <c r="X525" s="192"/>
      <c r="Y525" s="192"/>
      <c r="Z525" s="191"/>
      <c r="AA525" s="191"/>
      <c r="AB525" s="193"/>
      <c r="AC525" s="193"/>
      <c r="AD525" s="191"/>
      <c r="AE525" s="194"/>
      <c r="AF525" s="194"/>
      <c r="AG525" s="194"/>
      <c r="AH525" s="194"/>
      <c r="AI525" s="190"/>
    </row>
    <row r="526" ht="16.5" customHeight="1">
      <c r="A526" s="190"/>
      <c r="B526" s="191"/>
      <c r="C526" s="191"/>
      <c r="D526" s="191"/>
      <c r="E526" s="192"/>
      <c r="F526" s="192"/>
      <c r="G526" s="192"/>
      <c r="H526" s="192"/>
      <c r="I526" s="192"/>
      <c r="J526" s="193"/>
      <c r="K526" s="192"/>
      <c r="L526" s="190"/>
      <c r="M526" s="194"/>
      <c r="N526" s="194"/>
      <c r="O526" s="194"/>
      <c r="P526" s="194"/>
      <c r="Q526" s="194"/>
      <c r="R526" s="194"/>
      <c r="S526" s="195"/>
      <c r="T526" s="195"/>
      <c r="U526" s="195"/>
      <c r="V526" s="191"/>
      <c r="W526" s="192"/>
      <c r="X526" s="192"/>
      <c r="Y526" s="192"/>
      <c r="Z526" s="191"/>
      <c r="AA526" s="191"/>
      <c r="AB526" s="193"/>
      <c r="AC526" s="193"/>
      <c r="AD526" s="191"/>
      <c r="AE526" s="194"/>
      <c r="AF526" s="194"/>
      <c r="AG526" s="194"/>
      <c r="AH526" s="194"/>
      <c r="AI526" s="190"/>
    </row>
    <row r="527" ht="16.5" customHeight="1">
      <c r="A527" s="190"/>
      <c r="B527" s="191"/>
      <c r="C527" s="191"/>
      <c r="D527" s="191"/>
      <c r="E527" s="192"/>
      <c r="F527" s="192"/>
      <c r="G527" s="192"/>
      <c r="H527" s="192"/>
      <c r="I527" s="192"/>
      <c r="J527" s="193"/>
      <c r="K527" s="192"/>
      <c r="L527" s="190"/>
      <c r="M527" s="194"/>
      <c r="N527" s="194"/>
      <c r="O527" s="194"/>
      <c r="P527" s="194"/>
      <c r="Q527" s="194"/>
      <c r="R527" s="194"/>
      <c r="S527" s="195"/>
      <c r="T527" s="195"/>
      <c r="U527" s="195"/>
      <c r="V527" s="191"/>
      <c r="W527" s="192"/>
      <c r="X527" s="192"/>
      <c r="Y527" s="192"/>
      <c r="Z527" s="191"/>
      <c r="AA527" s="191"/>
      <c r="AB527" s="193"/>
      <c r="AC527" s="193"/>
      <c r="AD527" s="191"/>
      <c r="AE527" s="194"/>
      <c r="AF527" s="194"/>
      <c r="AG527" s="194"/>
      <c r="AH527" s="194"/>
      <c r="AI527" s="190"/>
    </row>
    <row r="528" ht="16.5" customHeight="1">
      <c r="A528" s="190"/>
      <c r="B528" s="191"/>
      <c r="C528" s="191"/>
      <c r="D528" s="191"/>
      <c r="E528" s="192"/>
      <c r="F528" s="192"/>
      <c r="G528" s="192"/>
      <c r="H528" s="192"/>
      <c r="I528" s="192"/>
      <c r="J528" s="193"/>
      <c r="K528" s="192"/>
      <c r="L528" s="190"/>
      <c r="M528" s="194"/>
      <c r="N528" s="194"/>
      <c r="O528" s="194"/>
      <c r="P528" s="194"/>
      <c r="Q528" s="194"/>
      <c r="R528" s="194"/>
      <c r="S528" s="195"/>
      <c r="T528" s="195"/>
      <c r="U528" s="195"/>
      <c r="V528" s="191"/>
      <c r="W528" s="192"/>
      <c r="X528" s="192"/>
      <c r="Y528" s="192"/>
      <c r="Z528" s="191"/>
      <c r="AA528" s="191"/>
      <c r="AB528" s="193"/>
      <c r="AC528" s="193"/>
      <c r="AD528" s="191"/>
      <c r="AE528" s="194"/>
      <c r="AF528" s="194"/>
      <c r="AG528" s="194"/>
      <c r="AH528" s="194"/>
      <c r="AI528" s="190"/>
    </row>
    <row r="529" ht="16.5" customHeight="1">
      <c r="A529" s="190"/>
      <c r="B529" s="191"/>
      <c r="C529" s="191"/>
      <c r="D529" s="191"/>
      <c r="E529" s="192"/>
      <c r="F529" s="192"/>
      <c r="G529" s="192"/>
      <c r="H529" s="192"/>
      <c r="I529" s="192"/>
      <c r="J529" s="193"/>
      <c r="K529" s="192"/>
      <c r="L529" s="190"/>
      <c r="M529" s="194"/>
      <c r="N529" s="194"/>
      <c r="O529" s="194"/>
      <c r="P529" s="194"/>
      <c r="Q529" s="194"/>
      <c r="R529" s="194"/>
      <c r="S529" s="195"/>
      <c r="T529" s="195"/>
      <c r="U529" s="195"/>
      <c r="V529" s="191"/>
      <c r="W529" s="192"/>
      <c r="X529" s="192"/>
      <c r="Y529" s="192"/>
      <c r="Z529" s="191"/>
      <c r="AA529" s="191"/>
      <c r="AB529" s="193"/>
      <c r="AC529" s="193"/>
      <c r="AD529" s="191"/>
      <c r="AE529" s="194"/>
      <c r="AF529" s="194"/>
      <c r="AG529" s="194"/>
      <c r="AH529" s="194"/>
      <c r="AI529" s="190"/>
    </row>
    <row r="530" ht="16.5" customHeight="1">
      <c r="A530" s="190"/>
      <c r="B530" s="191"/>
      <c r="C530" s="191"/>
      <c r="D530" s="191"/>
      <c r="E530" s="192"/>
      <c r="F530" s="192"/>
      <c r="G530" s="192"/>
      <c r="H530" s="192"/>
      <c r="I530" s="192"/>
      <c r="J530" s="193"/>
      <c r="K530" s="192"/>
      <c r="L530" s="190"/>
      <c r="M530" s="194"/>
      <c r="N530" s="194"/>
      <c r="O530" s="194"/>
      <c r="P530" s="194"/>
      <c r="Q530" s="194"/>
      <c r="R530" s="194"/>
      <c r="S530" s="195"/>
      <c r="T530" s="195"/>
      <c r="U530" s="195"/>
      <c r="V530" s="191"/>
      <c r="W530" s="192"/>
      <c r="X530" s="192"/>
      <c r="Y530" s="192"/>
      <c r="Z530" s="191"/>
      <c r="AA530" s="191"/>
      <c r="AB530" s="193"/>
      <c r="AC530" s="193"/>
      <c r="AD530" s="191"/>
      <c r="AE530" s="194"/>
      <c r="AF530" s="194"/>
      <c r="AG530" s="194"/>
      <c r="AH530" s="194"/>
      <c r="AI530" s="190"/>
    </row>
    <row r="531" ht="16.5" customHeight="1">
      <c r="A531" s="190"/>
      <c r="B531" s="191"/>
      <c r="C531" s="191"/>
      <c r="D531" s="191"/>
      <c r="E531" s="192"/>
      <c r="F531" s="192"/>
      <c r="G531" s="192"/>
      <c r="H531" s="192"/>
      <c r="I531" s="192"/>
      <c r="J531" s="193"/>
      <c r="K531" s="192"/>
      <c r="L531" s="190"/>
      <c r="M531" s="194"/>
      <c r="N531" s="194"/>
      <c r="O531" s="194"/>
      <c r="P531" s="194"/>
      <c r="Q531" s="194"/>
      <c r="R531" s="194"/>
      <c r="S531" s="195"/>
      <c r="T531" s="195"/>
      <c r="U531" s="195"/>
      <c r="V531" s="191"/>
      <c r="W531" s="192"/>
      <c r="X531" s="192"/>
      <c r="Y531" s="192"/>
      <c r="Z531" s="191"/>
      <c r="AA531" s="191"/>
      <c r="AB531" s="193"/>
      <c r="AC531" s="193"/>
      <c r="AD531" s="191"/>
      <c r="AE531" s="194"/>
      <c r="AF531" s="194"/>
      <c r="AG531" s="194"/>
      <c r="AH531" s="194"/>
      <c r="AI531" s="190"/>
    </row>
    <row r="532" ht="16.5" customHeight="1">
      <c r="A532" s="190"/>
      <c r="B532" s="191"/>
      <c r="C532" s="191"/>
      <c r="D532" s="191"/>
      <c r="E532" s="192"/>
      <c r="F532" s="192"/>
      <c r="G532" s="192"/>
      <c r="H532" s="192"/>
      <c r="I532" s="192"/>
      <c r="J532" s="193"/>
      <c r="K532" s="192"/>
      <c r="L532" s="190"/>
      <c r="M532" s="194"/>
      <c r="N532" s="194"/>
      <c r="O532" s="194"/>
      <c r="P532" s="194"/>
      <c r="Q532" s="194"/>
      <c r="R532" s="194"/>
      <c r="S532" s="195"/>
      <c r="T532" s="195"/>
      <c r="U532" s="195"/>
      <c r="V532" s="191"/>
      <c r="W532" s="192"/>
      <c r="X532" s="192"/>
      <c r="Y532" s="192"/>
      <c r="Z532" s="191"/>
      <c r="AA532" s="191"/>
      <c r="AB532" s="193"/>
      <c r="AC532" s="193"/>
      <c r="AD532" s="191"/>
      <c r="AE532" s="194"/>
      <c r="AF532" s="194"/>
      <c r="AG532" s="194"/>
      <c r="AH532" s="194"/>
      <c r="AI532" s="190"/>
    </row>
    <row r="533" ht="16.5" customHeight="1">
      <c r="A533" s="190"/>
      <c r="B533" s="191"/>
      <c r="C533" s="191"/>
      <c r="D533" s="191"/>
      <c r="E533" s="192"/>
      <c r="F533" s="192"/>
      <c r="G533" s="192"/>
      <c r="H533" s="192"/>
      <c r="I533" s="192"/>
      <c r="J533" s="193"/>
      <c r="K533" s="192"/>
      <c r="L533" s="190"/>
      <c r="M533" s="194"/>
      <c r="N533" s="194"/>
      <c r="O533" s="194"/>
      <c r="P533" s="194"/>
      <c r="Q533" s="194"/>
      <c r="R533" s="194"/>
      <c r="S533" s="195"/>
      <c r="T533" s="195"/>
      <c r="U533" s="195"/>
      <c r="V533" s="191"/>
      <c r="W533" s="192"/>
      <c r="X533" s="192"/>
      <c r="Y533" s="192"/>
      <c r="Z533" s="191"/>
      <c r="AA533" s="191"/>
      <c r="AB533" s="193"/>
      <c r="AC533" s="193"/>
      <c r="AD533" s="191"/>
      <c r="AE533" s="194"/>
      <c r="AF533" s="194"/>
      <c r="AG533" s="194"/>
      <c r="AH533" s="194"/>
      <c r="AI533" s="190"/>
    </row>
    <row r="534" ht="16.5" customHeight="1">
      <c r="A534" s="190"/>
      <c r="B534" s="191"/>
      <c r="C534" s="191"/>
      <c r="D534" s="191"/>
      <c r="E534" s="192"/>
      <c r="F534" s="192"/>
      <c r="G534" s="192"/>
      <c r="H534" s="192"/>
      <c r="I534" s="192"/>
      <c r="J534" s="193"/>
      <c r="K534" s="192"/>
      <c r="L534" s="190"/>
      <c r="M534" s="194"/>
      <c r="N534" s="194"/>
      <c r="O534" s="194"/>
      <c r="P534" s="194"/>
      <c r="Q534" s="194"/>
      <c r="R534" s="194"/>
      <c r="S534" s="195"/>
      <c r="T534" s="195"/>
      <c r="U534" s="195"/>
      <c r="V534" s="191"/>
      <c r="W534" s="192"/>
      <c r="X534" s="192"/>
      <c r="Y534" s="192"/>
      <c r="Z534" s="191"/>
      <c r="AA534" s="191"/>
      <c r="AB534" s="193"/>
      <c r="AC534" s="193"/>
      <c r="AD534" s="191"/>
      <c r="AE534" s="194"/>
      <c r="AF534" s="194"/>
      <c r="AG534" s="194"/>
      <c r="AH534" s="194"/>
      <c r="AI534" s="190"/>
    </row>
    <row r="535" ht="16.5" customHeight="1">
      <c r="A535" s="190"/>
      <c r="B535" s="191"/>
      <c r="C535" s="191"/>
      <c r="D535" s="191"/>
      <c r="E535" s="192"/>
      <c r="F535" s="192"/>
      <c r="G535" s="192"/>
      <c r="H535" s="192"/>
      <c r="I535" s="192"/>
      <c r="J535" s="193"/>
      <c r="K535" s="192"/>
      <c r="L535" s="190"/>
      <c r="M535" s="194"/>
      <c r="N535" s="194"/>
      <c r="O535" s="194"/>
      <c r="P535" s="194"/>
      <c r="Q535" s="194"/>
      <c r="R535" s="194"/>
      <c r="S535" s="195"/>
      <c r="T535" s="195"/>
      <c r="U535" s="195"/>
      <c r="V535" s="191"/>
      <c r="W535" s="192"/>
      <c r="X535" s="192"/>
      <c r="Y535" s="192"/>
      <c r="Z535" s="191"/>
      <c r="AA535" s="191"/>
      <c r="AB535" s="193"/>
      <c r="AC535" s="193"/>
      <c r="AD535" s="191"/>
      <c r="AE535" s="194"/>
      <c r="AF535" s="194"/>
      <c r="AG535" s="194"/>
      <c r="AH535" s="194"/>
      <c r="AI535" s="190"/>
    </row>
    <row r="536" ht="16.5" customHeight="1">
      <c r="A536" s="190"/>
      <c r="B536" s="191"/>
      <c r="C536" s="191"/>
      <c r="D536" s="191"/>
      <c r="E536" s="192"/>
      <c r="F536" s="192"/>
      <c r="G536" s="192"/>
      <c r="H536" s="192"/>
      <c r="I536" s="192"/>
      <c r="J536" s="193"/>
      <c r="K536" s="192"/>
      <c r="L536" s="190"/>
      <c r="M536" s="194"/>
      <c r="N536" s="194"/>
      <c r="O536" s="194"/>
      <c r="P536" s="194"/>
      <c r="Q536" s="194"/>
      <c r="R536" s="194"/>
      <c r="S536" s="195"/>
      <c r="T536" s="195"/>
      <c r="U536" s="195"/>
      <c r="V536" s="191"/>
      <c r="W536" s="192"/>
      <c r="X536" s="192"/>
      <c r="Y536" s="192"/>
      <c r="Z536" s="191"/>
      <c r="AA536" s="191"/>
      <c r="AB536" s="193"/>
      <c r="AC536" s="193"/>
      <c r="AD536" s="191"/>
      <c r="AE536" s="194"/>
      <c r="AF536" s="194"/>
      <c r="AG536" s="194"/>
      <c r="AH536" s="194"/>
      <c r="AI536" s="190"/>
    </row>
    <row r="537" ht="16.5" customHeight="1">
      <c r="A537" s="190"/>
      <c r="B537" s="191"/>
      <c r="C537" s="191"/>
      <c r="D537" s="191"/>
      <c r="E537" s="192"/>
      <c r="F537" s="192"/>
      <c r="G537" s="192"/>
      <c r="H537" s="192"/>
      <c r="I537" s="192"/>
      <c r="J537" s="193"/>
      <c r="K537" s="192"/>
      <c r="L537" s="190"/>
      <c r="M537" s="194"/>
      <c r="N537" s="194"/>
      <c r="O537" s="194"/>
      <c r="P537" s="194"/>
      <c r="Q537" s="194"/>
      <c r="R537" s="194"/>
      <c r="S537" s="195"/>
      <c r="T537" s="195"/>
      <c r="U537" s="195"/>
      <c r="V537" s="191"/>
      <c r="W537" s="192"/>
      <c r="X537" s="192"/>
      <c r="Y537" s="192"/>
      <c r="Z537" s="191"/>
      <c r="AA537" s="191"/>
      <c r="AB537" s="193"/>
      <c r="AC537" s="193"/>
      <c r="AD537" s="191"/>
      <c r="AE537" s="194"/>
      <c r="AF537" s="194"/>
      <c r="AG537" s="194"/>
      <c r="AH537" s="194"/>
      <c r="AI537" s="190"/>
    </row>
    <row r="538" ht="16.5" customHeight="1">
      <c r="A538" s="190"/>
      <c r="B538" s="191"/>
      <c r="C538" s="191"/>
      <c r="D538" s="191"/>
      <c r="E538" s="192"/>
      <c r="F538" s="192"/>
      <c r="G538" s="192"/>
      <c r="H538" s="192"/>
      <c r="I538" s="192"/>
      <c r="J538" s="193"/>
      <c r="K538" s="192"/>
      <c r="L538" s="190"/>
      <c r="M538" s="194"/>
      <c r="N538" s="194"/>
      <c r="O538" s="194"/>
      <c r="P538" s="194"/>
      <c r="Q538" s="194"/>
      <c r="R538" s="194"/>
      <c r="S538" s="195"/>
      <c r="T538" s="195"/>
      <c r="U538" s="195"/>
      <c r="V538" s="191"/>
      <c r="W538" s="192"/>
      <c r="X538" s="192"/>
      <c r="Y538" s="192"/>
      <c r="Z538" s="191"/>
      <c r="AA538" s="191"/>
      <c r="AB538" s="193"/>
      <c r="AC538" s="193"/>
      <c r="AD538" s="191"/>
      <c r="AE538" s="194"/>
      <c r="AF538" s="194"/>
      <c r="AG538" s="194"/>
      <c r="AH538" s="194"/>
      <c r="AI538" s="190"/>
    </row>
    <row r="539" ht="16.5" customHeight="1">
      <c r="A539" s="190"/>
      <c r="B539" s="191"/>
      <c r="C539" s="191"/>
      <c r="D539" s="191"/>
      <c r="E539" s="192"/>
      <c r="F539" s="192"/>
      <c r="G539" s="192"/>
      <c r="H539" s="192"/>
      <c r="I539" s="192"/>
      <c r="J539" s="193"/>
      <c r="K539" s="192"/>
      <c r="L539" s="190"/>
      <c r="M539" s="194"/>
      <c r="N539" s="194"/>
      <c r="O539" s="194"/>
      <c r="P539" s="194"/>
      <c r="Q539" s="194"/>
      <c r="R539" s="194"/>
      <c r="S539" s="195"/>
      <c r="T539" s="195"/>
      <c r="U539" s="195"/>
      <c r="V539" s="191"/>
      <c r="W539" s="192"/>
      <c r="X539" s="192"/>
      <c r="Y539" s="192"/>
      <c r="Z539" s="191"/>
      <c r="AA539" s="191"/>
      <c r="AB539" s="193"/>
      <c r="AC539" s="193"/>
      <c r="AD539" s="191"/>
      <c r="AE539" s="194"/>
      <c r="AF539" s="194"/>
      <c r="AG539" s="194"/>
      <c r="AH539" s="194"/>
      <c r="AI539" s="190"/>
    </row>
    <row r="540" ht="16.5" customHeight="1">
      <c r="A540" s="190"/>
      <c r="B540" s="191"/>
      <c r="C540" s="191"/>
      <c r="D540" s="191"/>
      <c r="E540" s="192"/>
      <c r="F540" s="192"/>
      <c r="G540" s="192"/>
      <c r="H540" s="192"/>
      <c r="I540" s="192"/>
      <c r="J540" s="193"/>
      <c r="K540" s="192"/>
      <c r="L540" s="190"/>
      <c r="M540" s="194"/>
      <c r="N540" s="194"/>
      <c r="O540" s="194"/>
      <c r="P540" s="194"/>
      <c r="Q540" s="194"/>
      <c r="R540" s="194"/>
      <c r="S540" s="195"/>
      <c r="T540" s="195"/>
      <c r="U540" s="195"/>
      <c r="V540" s="191"/>
      <c r="W540" s="192"/>
      <c r="X540" s="192"/>
      <c r="Y540" s="192"/>
      <c r="Z540" s="191"/>
      <c r="AA540" s="191"/>
      <c r="AB540" s="193"/>
      <c r="AC540" s="193"/>
      <c r="AD540" s="191"/>
      <c r="AE540" s="194"/>
      <c r="AF540" s="194"/>
      <c r="AG540" s="194"/>
      <c r="AH540" s="194"/>
      <c r="AI540" s="190"/>
    </row>
    <row r="541" ht="16.5" customHeight="1">
      <c r="A541" s="190"/>
      <c r="B541" s="191"/>
      <c r="C541" s="191"/>
      <c r="D541" s="191"/>
      <c r="E541" s="192"/>
      <c r="F541" s="192"/>
      <c r="G541" s="192"/>
      <c r="H541" s="192"/>
      <c r="I541" s="192"/>
      <c r="J541" s="193"/>
      <c r="K541" s="192"/>
      <c r="L541" s="190"/>
      <c r="M541" s="194"/>
      <c r="N541" s="194"/>
      <c r="O541" s="194"/>
      <c r="P541" s="194"/>
      <c r="Q541" s="194"/>
      <c r="R541" s="194"/>
      <c r="S541" s="195"/>
      <c r="T541" s="195"/>
      <c r="U541" s="195"/>
      <c r="V541" s="191"/>
      <c r="W541" s="192"/>
      <c r="X541" s="192"/>
      <c r="Y541" s="192"/>
      <c r="Z541" s="191"/>
      <c r="AA541" s="191"/>
      <c r="AB541" s="193"/>
      <c r="AC541" s="193"/>
      <c r="AD541" s="191"/>
      <c r="AE541" s="194"/>
      <c r="AF541" s="194"/>
      <c r="AG541" s="194"/>
      <c r="AH541" s="194"/>
      <c r="AI541" s="190"/>
    </row>
    <row r="542" ht="16.5" customHeight="1">
      <c r="A542" s="190"/>
      <c r="B542" s="191"/>
      <c r="C542" s="191"/>
      <c r="D542" s="191"/>
      <c r="E542" s="192"/>
      <c r="F542" s="192"/>
      <c r="G542" s="192"/>
      <c r="H542" s="192"/>
      <c r="I542" s="192"/>
      <c r="J542" s="193"/>
      <c r="K542" s="192"/>
      <c r="L542" s="190"/>
      <c r="M542" s="194"/>
      <c r="N542" s="194"/>
      <c r="O542" s="194"/>
      <c r="P542" s="194"/>
      <c r="Q542" s="194"/>
      <c r="R542" s="194"/>
      <c r="S542" s="195"/>
      <c r="T542" s="195"/>
      <c r="U542" s="195"/>
      <c r="V542" s="191"/>
      <c r="W542" s="192"/>
      <c r="X542" s="192"/>
      <c r="Y542" s="192"/>
      <c r="Z542" s="191"/>
      <c r="AA542" s="191"/>
      <c r="AB542" s="193"/>
      <c r="AC542" s="193"/>
      <c r="AD542" s="191"/>
      <c r="AE542" s="194"/>
      <c r="AF542" s="194"/>
      <c r="AG542" s="194"/>
      <c r="AH542" s="194"/>
      <c r="AI542" s="190"/>
    </row>
    <row r="543" ht="16.5" customHeight="1">
      <c r="A543" s="190"/>
      <c r="B543" s="191"/>
      <c r="C543" s="191"/>
      <c r="D543" s="191"/>
      <c r="E543" s="192"/>
      <c r="F543" s="192"/>
      <c r="G543" s="192"/>
      <c r="H543" s="192"/>
      <c r="I543" s="192"/>
      <c r="J543" s="193"/>
      <c r="K543" s="192"/>
      <c r="L543" s="190"/>
      <c r="M543" s="194"/>
      <c r="N543" s="194"/>
      <c r="O543" s="194"/>
      <c r="P543" s="194"/>
      <c r="Q543" s="194"/>
      <c r="R543" s="194"/>
      <c r="S543" s="195"/>
      <c r="T543" s="195"/>
      <c r="U543" s="195"/>
      <c r="V543" s="191"/>
      <c r="W543" s="192"/>
      <c r="X543" s="192"/>
      <c r="Y543" s="192"/>
      <c r="Z543" s="191"/>
      <c r="AA543" s="191"/>
      <c r="AB543" s="193"/>
      <c r="AC543" s="193"/>
      <c r="AD543" s="191"/>
      <c r="AE543" s="194"/>
      <c r="AF543" s="194"/>
      <c r="AG543" s="194"/>
      <c r="AH543" s="194"/>
      <c r="AI543" s="190"/>
    </row>
    <row r="544" ht="16.5" customHeight="1">
      <c r="A544" s="190"/>
      <c r="B544" s="191"/>
      <c r="C544" s="191"/>
      <c r="D544" s="191"/>
      <c r="E544" s="192"/>
      <c r="F544" s="192"/>
      <c r="G544" s="192"/>
      <c r="H544" s="192"/>
      <c r="I544" s="192"/>
      <c r="J544" s="193"/>
      <c r="K544" s="192"/>
      <c r="L544" s="190"/>
      <c r="M544" s="194"/>
      <c r="N544" s="194"/>
      <c r="O544" s="194"/>
      <c r="P544" s="194"/>
      <c r="Q544" s="194"/>
      <c r="R544" s="194"/>
      <c r="S544" s="195"/>
      <c r="T544" s="195"/>
      <c r="U544" s="195"/>
      <c r="V544" s="191"/>
      <c r="W544" s="192"/>
      <c r="X544" s="192"/>
      <c r="Y544" s="192"/>
      <c r="Z544" s="191"/>
      <c r="AA544" s="191"/>
      <c r="AB544" s="193"/>
      <c r="AC544" s="193"/>
      <c r="AD544" s="191"/>
      <c r="AE544" s="194"/>
      <c r="AF544" s="194"/>
      <c r="AG544" s="194"/>
      <c r="AH544" s="194"/>
      <c r="AI544" s="190"/>
    </row>
    <row r="545" ht="16.5" customHeight="1">
      <c r="A545" s="190"/>
      <c r="B545" s="191"/>
      <c r="C545" s="191"/>
      <c r="D545" s="191"/>
      <c r="E545" s="192"/>
      <c r="F545" s="192"/>
      <c r="G545" s="192"/>
      <c r="H545" s="192"/>
      <c r="I545" s="192"/>
      <c r="J545" s="193"/>
      <c r="K545" s="192"/>
      <c r="L545" s="190"/>
      <c r="M545" s="194"/>
      <c r="N545" s="194"/>
      <c r="O545" s="194"/>
      <c r="P545" s="194"/>
      <c r="Q545" s="194"/>
      <c r="R545" s="194"/>
      <c r="S545" s="195"/>
      <c r="T545" s="195"/>
      <c r="U545" s="195"/>
      <c r="V545" s="191"/>
      <c r="W545" s="192"/>
      <c r="X545" s="192"/>
      <c r="Y545" s="192"/>
      <c r="Z545" s="191"/>
      <c r="AA545" s="191"/>
      <c r="AB545" s="193"/>
      <c r="AC545" s="193"/>
      <c r="AD545" s="191"/>
      <c r="AE545" s="194"/>
      <c r="AF545" s="194"/>
      <c r="AG545" s="194"/>
      <c r="AH545" s="194"/>
      <c r="AI545" s="190"/>
    </row>
    <row r="546" ht="16.5" customHeight="1">
      <c r="A546" s="190"/>
      <c r="B546" s="191"/>
      <c r="C546" s="191"/>
      <c r="D546" s="191"/>
      <c r="E546" s="192"/>
      <c r="F546" s="192"/>
      <c r="G546" s="192"/>
      <c r="H546" s="192"/>
      <c r="I546" s="192"/>
      <c r="J546" s="193"/>
      <c r="K546" s="192"/>
      <c r="L546" s="190"/>
      <c r="M546" s="194"/>
      <c r="N546" s="194"/>
      <c r="O546" s="194"/>
      <c r="P546" s="194"/>
      <c r="Q546" s="194"/>
      <c r="R546" s="194"/>
      <c r="S546" s="195"/>
      <c r="T546" s="195"/>
      <c r="U546" s="195"/>
      <c r="V546" s="191"/>
      <c r="W546" s="192"/>
      <c r="X546" s="192"/>
      <c r="Y546" s="192"/>
      <c r="Z546" s="191"/>
      <c r="AA546" s="191"/>
      <c r="AB546" s="193"/>
      <c r="AC546" s="193"/>
      <c r="AD546" s="191"/>
      <c r="AE546" s="194"/>
      <c r="AF546" s="194"/>
      <c r="AG546" s="194"/>
      <c r="AH546" s="194"/>
      <c r="AI546" s="190"/>
    </row>
    <row r="547" ht="16.5" customHeight="1">
      <c r="A547" s="190"/>
      <c r="B547" s="191"/>
      <c r="C547" s="191"/>
      <c r="D547" s="191"/>
      <c r="E547" s="192"/>
      <c r="F547" s="192"/>
      <c r="G547" s="192"/>
      <c r="H547" s="192"/>
      <c r="I547" s="192"/>
      <c r="J547" s="193"/>
      <c r="K547" s="192"/>
      <c r="L547" s="190"/>
      <c r="M547" s="194"/>
      <c r="N547" s="194"/>
      <c r="O547" s="194"/>
      <c r="P547" s="194"/>
      <c r="Q547" s="194"/>
      <c r="R547" s="194"/>
      <c r="S547" s="195"/>
      <c r="T547" s="195"/>
      <c r="U547" s="195"/>
      <c r="V547" s="191"/>
      <c r="W547" s="192"/>
      <c r="X547" s="192"/>
      <c r="Y547" s="192"/>
      <c r="Z547" s="191"/>
      <c r="AA547" s="191"/>
      <c r="AB547" s="193"/>
      <c r="AC547" s="193"/>
      <c r="AD547" s="191"/>
      <c r="AE547" s="194"/>
      <c r="AF547" s="194"/>
      <c r="AG547" s="194"/>
      <c r="AH547" s="194"/>
      <c r="AI547" s="190"/>
    </row>
    <row r="548" ht="16.5" customHeight="1">
      <c r="A548" s="190"/>
      <c r="B548" s="191"/>
      <c r="C548" s="191"/>
      <c r="D548" s="191"/>
      <c r="E548" s="192"/>
      <c r="F548" s="192"/>
      <c r="G548" s="192"/>
      <c r="H548" s="192"/>
      <c r="I548" s="192"/>
      <c r="J548" s="193"/>
      <c r="K548" s="192"/>
      <c r="L548" s="190"/>
      <c r="M548" s="194"/>
      <c r="N548" s="194"/>
      <c r="O548" s="194"/>
      <c r="P548" s="194"/>
      <c r="Q548" s="194"/>
      <c r="R548" s="194"/>
      <c r="S548" s="195"/>
      <c r="T548" s="195"/>
      <c r="U548" s="195"/>
      <c r="V548" s="191"/>
      <c r="W548" s="192"/>
      <c r="X548" s="192"/>
      <c r="Y548" s="192"/>
      <c r="Z548" s="191"/>
      <c r="AA548" s="191"/>
      <c r="AB548" s="193"/>
      <c r="AC548" s="193"/>
      <c r="AD548" s="191"/>
      <c r="AE548" s="194"/>
      <c r="AF548" s="194"/>
      <c r="AG548" s="194"/>
      <c r="AH548" s="194"/>
      <c r="AI548" s="190"/>
    </row>
    <row r="549" ht="16.5" customHeight="1">
      <c r="A549" s="190"/>
      <c r="B549" s="191"/>
      <c r="C549" s="191"/>
      <c r="D549" s="191"/>
      <c r="E549" s="192"/>
      <c r="F549" s="192"/>
      <c r="G549" s="192"/>
      <c r="H549" s="192"/>
      <c r="I549" s="192"/>
      <c r="J549" s="193"/>
      <c r="K549" s="192"/>
      <c r="L549" s="190"/>
      <c r="M549" s="194"/>
      <c r="N549" s="194"/>
      <c r="O549" s="194"/>
      <c r="P549" s="194"/>
      <c r="Q549" s="194"/>
      <c r="R549" s="194"/>
      <c r="S549" s="195"/>
      <c r="T549" s="195"/>
      <c r="U549" s="195"/>
      <c r="V549" s="191"/>
      <c r="W549" s="192"/>
      <c r="X549" s="192"/>
      <c r="Y549" s="192"/>
      <c r="Z549" s="191"/>
      <c r="AA549" s="191"/>
      <c r="AB549" s="193"/>
      <c r="AC549" s="193"/>
      <c r="AD549" s="191"/>
      <c r="AE549" s="194"/>
      <c r="AF549" s="194"/>
      <c r="AG549" s="194"/>
      <c r="AH549" s="194"/>
      <c r="AI549" s="190"/>
    </row>
    <row r="550" ht="16.5" customHeight="1">
      <c r="A550" s="190"/>
      <c r="B550" s="191"/>
      <c r="C550" s="191"/>
      <c r="D550" s="191"/>
      <c r="E550" s="192"/>
      <c r="F550" s="192"/>
      <c r="G550" s="192"/>
      <c r="H550" s="192"/>
      <c r="I550" s="192"/>
      <c r="J550" s="193"/>
      <c r="K550" s="192"/>
      <c r="L550" s="190"/>
      <c r="M550" s="194"/>
      <c r="N550" s="194"/>
      <c r="O550" s="194"/>
      <c r="P550" s="194"/>
      <c r="Q550" s="194"/>
      <c r="R550" s="194"/>
      <c r="S550" s="195"/>
      <c r="T550" s="195"/>
      <c r="U550" s="195"/>
      <c r="V550" s="191"/>
      <c r="W550" s="192"/>
      <c r="X550" s="192"/>
      <c r="Y550" s="192"/>
      <c r="Z550" s="191"/>
      <c r="AA550" s="191"/>
      <c r="AB550" s="193"/>
      <c r="AC550" s="193"/>
      <c r="AD550" s="191"/>
      <c r="AE550" s="194"/>
      <c r="AF550" s="194"/>
      <c r="AG550" s="194"/>
      <c r="AH550" s="194"/>
      <c r="AI550" s="190"/>
    </row>
    <row r="551" ht="16.5" customHeight="1">
      <c r="A551" s="190"/>
      <c r="B551" s="191"/>
      <c r="C551" s="191"/>
      <c r="D551" s="191"/>
      <c r="E551" s="192"/>
      <c r="F551" s="192"/>
      <c r="G551" s="192"/>
      <c r="H551" s="192"/>
      <c r="I551" s="192"/>
      <c r="J551" s="193"/>
      <c r="K551" s="192"/>
      <c r="L551" s="190"/>
      <c r="M551" s="194"/>
      <c r="N551" s="194"/>
      <c r="O551" s="194"/>
      <c r="P551" s="194"/>
      <c r="Q551" s="194"/>
      <c r="R551" s="194"/>
      <c r="S551" s="195"/>
      <c r="T551" s="195"/>
      <c r="U551" s="195"/>
      <c r="V551" s="191"/>
      <c r="W551" s="192"/>
      <c r="X551" s="192"/>
      <c r="Y551" s="192"/>
      <c r="Z551" s="191"/>
      <c r="AA551" s="191"/>
      <c r="AB551" s="193"/>
      <c r="AC551" s="193"/>
      <c r="AD551" s="191"/>
      <c r="AE551" s="194"/>
      <c r="AF551" s="194"/>
      <c r="AG551" s="194"/>
      <c r="AH551" s="194"/>
      <c r="AI551" s="190"/>
    </row>
    <row r="552" ht="16.5" customHeight="1">
      <c r="A552" s="190"/>
      <c r="B552" s="191"/>
      <c r="C552" s="191"/>
      <c r="D552" s="191"/>
      <c r="E552" s="192"/>
      <c r="F552" s="192"/>
      <c r="G552" s="192"/>
      <c r="H552" s="192"/>
      <c r="I552" s="192"/>
      <c r="J552" s="193"/>
      <c r="K552" s="192"/>
      <c r="L552" s="190"/>
      <c r="M552" s="194"/>
      <c r="N552" s="194"/>
      <c r="O552" s="194"/>
      <c r="P552" s="194"/>
      <c r="Q552" s="194"/>
      <c r="R552" s="194"/>
      <c r="S552" s="195"/>
      <c r="T552" s="195"/>
      <c r="U552" s="195"/>
      <c r="V552" s="191"/>
      <c r="W552" s="192"/>
      <c r="X552" s="192"/>
      <c r="Y552" s="192"/>
      <c r="Z552" s="191"/>
      <c r="AA552" s="191"/>
      <c r="AB552" s="193"/>
      <c r="AC552" s="193"/>
      <c r="AD552" s="191"/>
      <c r="AE552" s="194"/>
      <c r="AF552" s="194"/>
      <c r="AG552" s="194"/>
      <c r="AH552" s="194"/>
      <c r="AI552" s="190"/>
    </row>
    <row r="553" ht="16.5" customHeight="1">
      <c r="A553" s="190"/>
      <c r="B553" s="191"/>
      <c r="C553" s="191"/>
      <c r="D553" s="191"/>
      <c r="E553" s="192"/>
      <c r="F553" s="192"/>
      <c r="G553" s="192"/>
      <c r="H553" s="192"/>
      <c r="I553" s="192"/>
      <c r="J553" s="193"/>
      <c r="K553" s="192"/>
      <c r="L553" s="190"/>
      <c r="M553" s="194"/>
      <c r="N553" s="194"/>
      <c r="O553" s="194"/>
      <c r="P553" s="194"/>
      <c r="Q553" s="194"/>
      <c r="R553" s="194"/>
      <c r="S553" s="195"/>
      <c r="T553" s="195"/>
      <c r="U553" s="195"/>
      <c r="V553" s="191"/>
      <c r="W553" s="192"/>
      <c r="X553" s="192"/>
      <c r="Y553" s="192"/>
      <c r="Z553" s="191"/>
      <c r="AA553" s="191"/>
      <c r="AB553" s="193"/>
      <c r="AC553" s="193"/>
      <c r="AD553" s="191"/>
      <c r="AE553" s="194"/>
      <c r="AF553" s="194"/>
      <c r="AG553" s="194"/>
      <c r="AH553" s="194"/>
      <c r="AI553" s="190"/>
    </row>
    <row r="554" ht="16.5" customHeight="1">
      <c r="A554" s="190"/>
      <c r="B554" s="191"/>
      <c r="C554" s="191"/>
      <c r="D554" s="191"/>
      <c r="E554" s="192"/>
      <c r="F554" s="192"/>
      <c r="G554" s="192"/>
      <c r="H554" s="192"/>
      <c r="I554" s="192"/>
      <c r="J554" s="193"/>
      <c r="K554" s="192"/>
      <c r="L554" s="190"/>
      <c r="M554" s="194"/>
      <c r="N554" s="194"/>
      <c r="O554" s="194"/>
      <c r="P554" s="194"/>
      <c r="Q554" s="194"/>
      <c r="R554" s="194"/>
      <c r="S554" s="195"/>
      <c r="T554" s="195"/>
      <c r="U554" s="195"/>
      <c r="V554" s="191"/>
      <c r="W554" s="192"/>
      <c r="X554" s="192"/>
      <c r="Y554" s="192"/>
      <c r="Z554" s="191"/>
      <c r="AA554" s="191"/>
      <c r="AB554" s="193"/>
      <c r="AC554" s="193"/>
      <c r="AD554" s="191"/>
      <c r="AE554" s="194"/>
      <c r="AF554" s="194"/>
      <c r="AG554" s="194"/>
      <c r="AH554" s="194"/>
      <c r="AI554" s="190"/>
    </row>
    <row r="555" ht="16.5" customHeight="1">
      <c r="A555" s="190"/>
      <c r="B555" s="191"/>
      <c r="C555" s="191"/>
      <c r="D555" s="191"/>
      <c r="E555" s="192"/>
      <c r="F555" s="192"/>
      <c r="G555" s="192"/>
      <c r="H555" s="192"/>
      <c r="I555" s="192"/>
      <c r="J555" s="193"/>
      <c r="K555" s="192"/>
      <c r="L555" s="190"/>
      <c r="M555" s="194"/>
      <c r="N555" s="194"/>
      <c r="O555" s="194"/>
      <c r="P555" s="194"/>
      <c r="Q555" s="194"/>
      <c r="R555" s="194"/>
      <c r="S555" s="195"/>
      <c r="T555" s="195"/>
      <c r="U555" s="195"/>
      <c r="V555" s="191"/>
      <c r="W555" s="192"/>
      <c r="X555" s="192"/>
      <c r="Y555" s="192"/>
      <c r="Z555" s="191"/>
      <c r="AA555" s="191"/>
      <c r="AB555" s="193"/>
      <c r="AC555" s="193"/>
      <c r="AD555" s="191"/>
      <c r="AE555" s="194"/>
      <c r="AF555" s="194"/>
      <c r="AG555" s="194"/>
      <c r="AH555" s="194"/>
      <c r="AI555" s="190"/>
    </row>
    <row r="556" ht="16.5" customHeight="1">
      <c r="A556" s="190"/>
      <c r="B556" s="191"/>
      <c r="C556" s="191"/>
      <c r="D556" s="191"/>
      <c r="E556" s="192"/>
      <c r="F556" s="192"/>
      <c r="G556" s="192"/>
      <c r="H556" s="192"/>
      <c r="I556" s="192"/>
      <c r="J556" s="193"/>
      <c r="K556" s="192"/>
      <c r="L556" s="190"/>
      <c r="M556" s="194"/>
      <c r="N556" s="194"/>
      <c r="O556" s="194"/>
      <c r="P556" s="194"/>
      <c r="Q556" s="194"/>
      <c r="R556" s="194"/>
      <c r="S556" s="195"/>
      <c r="T556" s="195"/>
      <c r="U556" s="195"/>
      <c r="V556" s="191"/>
      <c r="W556" s="192"/>
      <c r="X556" s="192"/>
      <c r="Y556" s="192"/>
      <c r="Z556" s="191"/>
      <c r="AA556" s="191"/>
      <c r="AB556" s="193"/>
      <c r="AC556" s="193"/>
      <c r="AD556" s="191"/>
      <c r="AE556" s="194"/>
      <c r="AF556" s="194"/>
      <c r="AG556" s="194"/>
      <c r="AH556" s="194"/>
      <c r="AI556" s="190"/>
    </row>
    <row r="557" ht="16.5" customHeight="1">
      <c r="A557" s="190"/>
      <c r="B557" s="191"/>
      <c r="C557" s="191"/>
      <c r="D557" s="191"/>
      <c r="E557" s="192"/>
      <c r="F557" s="192"/>
      <c r="G557" s="192"/>
      <c r="H557" s="192"/>
      <c r="I557" s="192"/>
      <c r="J557" s="193"/>
      <c r="K557" s="192"/>
      <c r="L557" s="190"/>
      <c r="M557" s="194"/>
      <c r="N557" s="194"/>
      <c r="O557" s="194"/>
      <c r="P557" s="194"/>
      <c r="Q557" s="194"/>
      <c r="R557" s="194"/>
      <c r="S557" s="195"/>
      <c r="T557" s="195"/>
      <c r="U557" s="195"/>
      <c r="V557" s="191"/>
      <c r="W557" s="192"/>
      <c r="X557" s="192"/>
      <c r="Y557" s="192"/>
      <c r="Z557" s="191"/>
      <c r="AA557" s="191"/>
      <c r="AB557" s="193"/>
      <c r="AC557" s="193"/>
      <c r="AD557" s="191"/>
      <c r="AE557" s="194"/>
      <c r="AF557" s="194"/>
      <c r="AG557" s="194"/>
      <c r="AH557" s="194"/>
      <c r="AI557" s="190"/>
    </row>
    <row r="558" ht="16.5" customHeight="1">
      <c r="A558" s="190"/>
      <c r="B558" s="191"/>
      <c r="C558" s="191"/>
      <c r="D558" s="191"/>
      <c r="E558" s="192"/>
      <c r="F558" s="192"/>
      <c r="G558" s="192"/>
      <c r="H558" s="192"/>
      <c r="I558" s="192"/>
      <c r="J558" s="193"/>
      <c r="K558" s="192"/>
      <c r="L558" s="190"/>
      <c r="M558" s="194"/>
      <c r="N558" s="194"/>
      <c r="O558" s="194"/>
      <c r="P558" s="194"/>
      <c r="Q558" s="194"/>
      <c r="R558" s="194"/>
      <c r="S558" s="195"/>
      <c r="T558" s="195"/>
      <c r="U558" s="195"/>
      <c r="V558" s="191"/>
      <c r="W558" s="192"/>
      <c r="X558" s="192"/>
      <c r="Y558" s="192"/>
      <c r="Z558" s="191"/>
      <c r="AA558" s="191"/>
      <c r="AB558" s="193"/>
      <c r="AC558" s="193"/>
      <c r="AD558" s="191"/>
      <c r="AE558" s="194"/>
      <c r="AF558" s="194"/>
      <c r="AG558" s="194"/>
      <c r="AH558" s="194"/>
      <c r="AI558" s="190"/>
    </row>
    <row r="559" ht="16.5" customHeight="1">
      <c r="A559" s="190"/>
      <c r="B559" s="191"/>
      <c r="C559" s="191"/>
      <c r="D559" s="191"/>
      <c r="E559" s="192"/>
      <c r="F559" s="192"/>
      <c r="G559" s="192"/>
      <c r="H559" s="192"/>
      <c r="I559" s="192"/>
      <c r="J559" s="193"/>
      <c r="K559" s="192"/>
      <c r="L559" s="190"/>
      <c r="M559" s="194"/>
      <c r="N559" s="194"/>
      <c r="O559" s="194"/>
      <c r="P559" s="194"/>
      <c r="Q559" s="194"/>
      <c r="R559" s="194"/>
      <c r="S559" s="195"/>
      <c r="T559" s="195"/>
      <c r="U559" s="195"/>
      <c r="V559" s="191"/>
      <c r="W559" s="192"/>
      <c r="X559" s="192"/>
      <c r="Y559" s="192"/>
      <c r="Z559" s="191"/>
      <c r="AA559" s="191"/>
      <c r="AB559" s="193"/>
      <c r="AC559" s="193"/>
      <c r="AD559" s="191"/>
      <c r="AE559" s="194"/>
      <c r="AF559" s="194"/>
      <c r="AG559" s="194"/>
      <c r="AH559" s="194"/>
      <c r="AI559" s="190"/>
    </row>
    <row r="560" ht="16.5" customHeight="1">
      <c r="A560" s="190"/>
      <c r="B560" s="191"/>
      <c r="C560" s="191"/>
      <c r="D560" s="191"/>
      <c r="E560" s="192"/>
      <c r="F560" s="192"/>
      <c r="G560" s="192"/>
      <c r="H560" s="192"/>
      <c r="I560" s="192"/>
      <c r="J560" s="193"/>
      <c r="K560" s="192"/>
      <c r="L560" s="190"/>
      <c r="M560" s="194"/>
      <c r="N560" s="194"/>
      <c r="O560" s="194"/>
      <c r="P560" s="194"/>
      <c r="Q560" s="194"/>
      <c r="R560" s="194"/>
      <c r="S560" s="195"/>
      <c r="T560" s="195"/>
      <c r="U560" s="195"/>
      <c r="V560" s="191"/>
      <c r="W560" s="192"/>
      <c r="X560" s="192"/>
      <c r="Y560" s="192"/>
      <c r="Z560" s="191"/>
      <c r="AA560" s="191"/>
      <c r="AB560" s="193"/>
      <c r="AC560" s="193"/>
      <c r="AD560" s="191"/>
      <c r="AE560" s="194"/>
      <c r="AF560" s="194"/>
      <c r="AG560" s="194"/>
      <c r="AH560" s="194"/>
      <c r="AI560" s="190"/>
    </row>
    <row r="561" ht="16.5" customHeight="1">
      <c r="A561" s="190"/>
      <c r="B561" s="191"/>
      <c r="C561" s="191"/>
      <c r="D561" s="191"/>
      <c r="E561" s="192"/>
      <c r="F561" s="192"/>
      <c r="G561" s="192"/>
      <c r="H561" s="192"/>
      <c r="I561" s="192"/>
      <c r="J561" s="193"/>
      <c r="K561" s="192"/>
      <c r="L561" s="190"/>
      <c r="M561" s="194"/>
      <c r="N561" s="194"/>
      <c r="O561" s="194"/>
      <c r="P561" s="194"/>
      <c r="Q561" s="194"/>
      <c r="R561" s="194"/>
      <c r="S561" s="195"/>
      <c r="T561" s="195"/>
      <c r="U561" s="195"/>
      <c r="V561" s="191"/>
      <c r="W561" s="192"/>
      <c r="X561" s="192"/>
      <c r="Y561" s="192"/>
      <c r="Z561" s="191"/>
      <c r="AA561" s="191"/>
      <c r="AB561" s="193"/>
      <c r="AC561" s="193"/>
      <c r="AD561" s="191"/>
      <c r="AE561" s="194"/>
      <c r="AF561" s="194"/>
      <c r="AG561" s="194"/>
      <c r="AH561" s="194"/>
      <c r="AI561" s="190"/>
    </row>
    <row r="562" ht="16.5" customHeight="1">
      <c r="A562" s="190"/>
      <c r="B562" s="191"/>
      <c r="C562" s="191"/>
      <c r="D562" s="191"/>
      <c r="E562" s="192"/>
      <c r="F562" s="192"/>
      <c r="G562" s="192"/>
      <c r="H562" s="192"/>
      <c r="I562" s="192"/>
      <c r="J562" s="193"/>
      <c r="K562" s="192"/>
      <c r="L562" s="190"/>
      <c r="M562" s="194"/>
      <c r="N562" s="194"/>
      <c r="O562" s="194"/>
      <c r="P562" s="194"/>
      <c r="Q562" s="194"/>
      <c r="R562" s="194"/>
      <c r="S562" s="195"/>
      <c r="T562" s="195"/>
      <c r="U562" s="195"/>
      <c r="V562" s="191"/>
      <c r="W562" s="192"/>
      <c r="X562" s="192"/>
      <c r="Y562" s="192"/>
      <c r="Z562" s="191"/>
      <c r="AA562" s="191"/>
      <c r="AB562" s="193"/>
      <c r="AC562" s="193"/>
      <c r="AD562" s="191"/>
      <c r="AE562" s="194"/>
      <c r="AF562" s="194"/>
      <c r="AG562" s="194"/>
      <c r="AH562" s="194"/>
      <c r="AI562" s="190"/>
    </row>
    <row r="563" ht="16.5" customHeight="1">
      <c r="A563" s="190"/>
      <c r="B563" s="191"/>
      <c r="C563" s="191"/>
      <c r="D563" s="191"/>
      <c r="E563" s="192"/>
      <c r="F563" s="192"/>
      <c r="G563" s="192"/>
      <c r="H563" s="192"/>
      <c r="I563" s="192"/>
      <c r="J563" s="193"/>
      <c r="K563" s="192"/>
      <c r="L563" s="190"/>
      <c r="M563" s="194"/>
      <c r="N563" s="194"/>
      <c r="O563" s="194"/>
      <c r="P563" s="194"/>
      <c r="Q563" s="194"/>
      <c r="R563" s="194"/>
      <c r="S563" s="195"/>
      <c r="T563" s="195"/>
      <c r="U563" s="195"/>
      <c r="V563" s="191"/>
      <c r="W563" s="192"/>
      <c r="X563" s="192"/>
      <c r="Y563" s="192"/>
      <c r="Z563" s="191"/>
      <c r="AA563" s="191"/>
      <c r="AB563" s="193"/>
      <c r="AC563" s="193"/>
      <c r="AD563" s="191"/>
      <c r="AE563" s="194"/>
      <c r="AF563" s="194"/>
      <c r="AG563" s="194"/>
      <c r="AH563" s="194"/>
      <c r="AI563" s="190"/>
    </row>
    <row r="564" ht="16.5" customHeight="1">
      <c r="A564" s="190"/>
      <c r="B564" s="191"/>
      <c r="C564" s="191"/>
      <c r="D564" s="191"/>
      <c r="E564" s="192"/>
      <c r="F564" s="192"/>
      <c r="G564" s="192"/>
      <c r="H564" s="192"/>
      <c r="I564" s="192"/>
      <c r="J564" s="193"/>
      <c r="K564" s="192"/>
      <c r="L564" s="190"/>
      <c r="M564" s="194"/>
      <c r="N564" s="194"/>
      <c r="O564" s="194"/>
      <c r="P564" s="194"/>
      <c r="Q564" s="194"/>
      <c r="R564" s="194"/>
      <c r="S564" s="195"/>
      <c r="T564" s="195"/>
      <c r="U564" s="195"/>
      <c r="V564" s="191"/>
      <c r="W564" s="192"/>
      <c r="X564" s="192"/>
      <c r="Y564" s="192"/>
      <c r="Z564" s="191"/>
      <c r="AA564" s="191"/>
      <c r="AB564" s="193"/>
      <c r="AC564" s="193"/>
      <c r="AD564" s="191"/>
      <c r="AE564" s="194"/>
      <c r="AF564" s="194"/>
      <c r="AG564" s="194"/>
      <c r="AH564" s="194"/>
      <c r="AI564" s="190"/>
    </row>
    <row r="565" ht="16.5" customHeight="1">
      <c r="A565" s="190"/>
      <c r="B565" s="191"/>
      <c r="C565" s="191"/>
      <c r="D565" s="191"/>
      <c r="E565" s="192"/>
      <c r="F565" s="192"/>
      <c r="G565" s="192"/>
      <c r="H565" s="192"/>
      <c r="I565" s="192"/>
      <c r="J565" s="193"/>
      <c r="K565" s="192"/>
      <c r="L565" s="190"/>
      <c r="M565" s="194"/>
      <c r="N565" s="194"/>
      <c r="O565" s="194"/>
      <c r="P565" s="194"/>
      <c r="Q565" s="194"/>
      <c r="R565" s="194"/>
      <c r="S565" s="195"/>
      <c r="T565" s="195"/>
      <c r="U565" s="195"/>
      <c r="V565" s="191"/>
      <c r="W565" s="192"/>
      <c r="X565" s="192"/>
      <c r="Y565" s="192"/>
      <c r="Z565" s="191"/>
      <c r="AA565" s="191"/>
      <c r="AB565" s="193"/>
      <c r="AC565" s="193"/>
      <c r="AD565" s="191"/>
      <c r="AE565" s="194"/>
      <c r="AF565" s="194"/>
      <c r="AG565" s="194"/>
      <c r="AH565" s="194"/>
      <c r="AI565" s="190"/>
    </row>
    <row r="566" ht="16.5" customHeight="1">
      <c r="A566" s="190"/>
      <c r="B566" s="191"/>
      <c r="C566" s="191"/>
      <c r="D566" s="191"/>
      <c r="E566" s="192"/>
      <c r="F566" s="192"/>
      <c r="G566" s="192"/>
      <c r="H566" s="192"/>
      <c r="I566" s="192"/>
      <c r="J566" s="193"/>
      <c r="K566" s="192"/>
      <c r="L566" s="190"/>
      <c r="M566" s="194"/>
      <c r="N566" s="194"/>
      <c r="O566" s="194"/>
      <c r="P566" s="194"/>
      <c r="Q566" s="194"/>
      <c r="R566" s="194"/>
      <c r="S566" s="195"/>
      <c r="T566" s="195"/>
      <c r="U566" s="195"/>
      <c r="V566" s="191"/>
      <c r="W566" s="192"/>
      <c r="X566" s="192"/>
      <c r="Y566" s="192"/>
      <c r="Z566" s="191"/>
      <c r="AA566" s="191"/>
      <c r="AB566" s="193"/>
      <c r="AC566" s="193"/>
      <c r="AD566" s="191"/>
      <c r="AE566" s="194"/>
      <c r="AF566" s="194"/>
      <c r="AG566" s="194"/>
      <c r="AH566" s="194"/>
      <c r="AI566" s="190"/>
    </row>
    <row r="567" ht="16.5" customHeight="1">
      <c r="A567" s="190"/>
      <c r="B567" s="191"/>
      <c r="C567" s="191"/>
      <c r="D567" s="191"/>
      <c r="E567" s="192"/>
      <c r="F567" s="192"/>
      <c r="G567" s="192"/>
      <c r="H567" s="192"/>
      <c r="I567" s="192"/>
      <c r="J567" s="193"/>
      <c r="K567" s="192"/>
      <c r="L567" s="190"/>
      <c r="M567" s="194"/>
      <c r="N567" s="194"/>
      <c r="O567" s="194"/>
      <c r="P567" s="194"/>
      <c r="Q567" s="194"/>
      <c r="R567" s="194"/>
      <c r="S567" s="195"/>
      <c r="T567" s="195"/>
      <c r="U567" s="195"/>
      <c r="V567" s="191"/>
      <c r="W567" s="192"/>
      <c r="X567" s="192"/>
      <c r="Y567" s="192"/>
      <c r="Z567" s="191"/>
      <c r="AA567" s="191"/>
      <c r="AB567" s="193"/>
      <c r="AC567" s="193"/>
      <c r="AD567" s="191"/>
      <c r="AE567" s="194"/>
      <c r="AF567" s="194"/>
      <c r="AG567" s="194"/>
      <c r="AH567" s="194"/>
      <c r="AI567" s="190"/>
    </row>
    <row r="568" ht="16.5" customHeight="1">
      <c r="A568" s="190"/>
      <c r="B568" s="191"/>
      <c r="C568" s="191"/>
      <c r="D568" s="191"/>
      <c r="E568" s="192"/>
      <c r="F568" s="192"/>
      <c r="G568" s="192"/>
      <c r="H568" s="192"/>
      <c r="I568" s="192"/>
      <c r="J568" s="193"/>
      <c r="K568" s="192"/>
      <c r="L568" s="190"/>
      <c r="M568" s="194"/>
      <c r="N568" s="194"/>
      <c r="O568" s="194"/>
      <c r="P568" s="194"/>
      <c r="Q568" s="194"/>
      <c r="R568" s="194"/>
      <c r="S568" s="195"/>
      <c r="T568" s="195"/>
      <c r="U568" s="195"/>
      <c r="V568" s="191"/>
      <c r="W568" s="192"/>
      <c r="X568" s="192"/>
      <c r="Y568" s="192"/>
      <c r="Z568" s="191"/>
      <c r="AA568" s="191"/>
      <c r="AB568" s="193"/>
      <c r="AC568" s="193"/>
      <c r="AD568" s="191"/>
      <c r="AE568" s="194"/>
      <c r="AF568" s="194"/>
      <c r="AG568" s="194"/>
      <c r="AH568" s="194"/>
      <c r="AI568" s="190"/>
    </row>
    <row r="569" ht="16.5" customHeight="1">
      <c r="A569" s="190"/>
      <c r="B569" s="191"/>
      <c r="C569" s="191"/>
      <c r="D569" s="191"/>
      <c r="E569" s="192"/>
      <c r="F569" s="192"/>
      <c r="G569" s="192"/>
      <c r="H569" s="192"/>
      <c r="I569" s="192"/>
      <c r="J569" s="193"/>
      <c r="K569" s="192"/>
      <c r="L569" s="190"/>
      <c r="M569" s="194"/>
      <c r="N569" s="194"/>
      <c r="O569" s="194"/>
      <c r="P569" s="194"/>
      <c r="Q569" s="194"/>
      <c r="R569" s="194"/>
      <c r="S569" s="195"/>
      <c r="T569" s="195"/>
      <c r="U569" s="195"/>
      <c r="V569" s="191"/>
      <c r="W569" s="192"/>
      <c r="X569" s="192"/>
      <c r="Y569" s="192"/>
      <c r="Z569" s="191"/>
      <c r="AA569" s="191"/>
      <c r="AB569" s="193"/>
      <c r="AC569" s="193"/>
      <c r="AD569" s="191"/>
      <c r="AE569" s="194"/>
      <c r="AF569" s="194"/>
      <c r="AG569" s="194"/>
      <c r="AH569" s="194"/>
      <c r="AI569" s="190"/>
    </row>
    <row r="570" ht="16.5" customHeight="1">
      <c r="A570" s="190"/>
      <c r="B570" s="191"/>
      <c r="C570" s="191"/>
      <c r="D570" s="191"/>
      <c r="E570" s="192"/>
      <c r="F570" s="192"/>
      <c r="G570" s="192"/>
      <c r="H570" s="192"/>
      <c r="I570" s="192"/>
      <c r="J570" s="193"/>
      <c r="K570" s="192"/>
      <c r="L570" s="190"/>
      <c r="M570" s="194"/>
      <c r="N570" s="194"/>
      <c r="O570" s="194"/>
      <c r="P570" s="194"/>
      <c r="Q570" s="194"/>
      <c r="R570" s="194"/>
      <c r="S570" s="195"/>
      <c r="T570" s="195"/>
      <c r="U570" s="195"/>
      <c r="V570" s="191"/>
      <c r="W570" s="192"/>
      <c r="X570" s="192"/>
      <c r="Y570" s="192"/>
      <c r="Z570" s="191"/>
      <c r="AA570" s="191"/>
      <c r="AB570" s="193"/>
      <c r="AC570" s="193"/>
      <c r="AD570" s="191"/>
      <c r="AE570" s="194"/>
      <c r="AF570" s="194"/>
      <c r="AG570" s="194"/>
      <c r="AH570" s="194"/>
      <c r="AI570" s="190"/>
    </row>
    <row r="571" ht="16.5" customHeight="1">
      <c r="A571" s="190"/>
      <c r="B571" s="191"/>
      <c r="C571" s="191"/>
      <c r="D571" s="191"/>
      <c r="E571" s="192"/>
      <c r="F571" s="192"/>
      <c r="G571" s="192"/>
      <c r="H571" s="192"/>
      <c r="I571" s="192"/>
      <c r="J571" s="193"/>
      <c r="K571" s="192"/>
      <c r="L571" s="190"/>
      <c r="M571" s="194"/>
      <c r="N571" s="194"/>
      <c r="O571" s="194"/>
      <c r="P571" s="194"/>
      <c r="Q571" s="194"/>
      <c r="R571" s="194"/>
      <c r="S571" s="195"/>
      <c r="T571" s="195"/>
      <c r="U571" s="195"/>
      <c r="V571" s="191"/>
      <c r="W571" s="192"/>
      <c r="X571" s="192"/>
      <c r="Y571" s="192"/>
      <c r="Z571" s="191"/>
      <c r="AA571" s="191"/>
      <c r="AB571" s="193"/>
      <c r="AC571" s="193"/>
      <c r="AD571" s="191"/>
      <c r="AE571" s="194"/>
      <c r="AF571" s="194"/>
      <c r="AG571" s="194"/>
      <c r="AH571" s="194"/>
      <c r="AI571" s="190"/>
    </row>
    <row r="572" ht="16.5" customHeight="1">
      <c r="A572" s="190"/>
      <c r="B572" s="191"/>
      <c r="C572" s="191"/>
      <c r="D572" s="191"/>
      <c r="E572" s="192"/>
      <c r="F572" s="192"/>
      <c r="G572" s="192"/>
      <c r="H572" s="192"/>
      <c r="I572" s="192"/>
      <c r="J572" s="193"/>
      <c r="K572" s="192"/>
      <c r="L572" s="190"/>
      <c r="M572" s="194"/>
      <c r="N572" s="194"/>
      <c r="O572" s="194"/>
      <c r="P572" s="194"/>
      <c r="Q572" s="194"/>
      <c r="R572" s="194"/>
      <c r="S572" s="195"/>
      <c r="T572" s="195"/>
      <c r="U572" s="195"/>
      <c r="V572" s="191"/>
      <c r="W572" s="192"/>
      <c r="X572" s="192"/>
      <c r="Y572" s="192"/>
      <c r="Z572" s="191"/>
      <c r="AA572" s="191"/>
      <c r="AB572" s="193"/>
      <c r="AC572" s="193"/>
      <c r="AD572" s="191"/>
      <c r="AE572" s="194"/>
      <c r="AF572" s="194"/>
      <c r="AG572" s="194"/>
      <c r="AH572" s="194"/>
      <c r="AI572" s="190"/>
    </row>
    <row r="573" ht="16.5" customHeight="1">
      <c r="A573" s="190"/>
      <c r="B573" s="191"/>
      <c r="C573" s="191"/>
      <c r="D573" s="191"/>
      <c r="E573" s="192"/>
      <c r="F573" s="192"/>
      <c r="G573" s="192"/>
      <c r="H573" s="192"/>
      <c r="I573" s="192"/>
      <c r="J573" s="193"/>
      <c r="K573" s="192"/>
      <c r="L573" s="190"/>
      <c r="M573" s="194"/>
      <c r="N573" s="194"/>
      <c r="O573" s="194"/>
      <c r="P573" s="194"/>
      <c r="Q573" s="194"/>
      <c r="R573" s="194"/>
      <c r="S573" s="195"/>
      <c r="T573" s="195"/>
      <c r="U573" s="195"/>
      <c r="V573" s="191"/>
      <c r="W573" s="192"/>
      <c r="X573" s="192"/>
      <c r="Y573" s="192"/>
      <c r="Z573" s="191"/>
      <c r="AA573" s="191"/>
      <c r="AB573" s="193"/>
      <c r="AC573" s="193"/>
      <c r="AD573" s="191"/>
      <c r="AE573" s="194"/>
      <c r="AF573" s="194"/>
      <c r="AG573" s="194"/>
      <c r="AH573" s="194"/>
      <c r="AI573" s="190"/>
    </row>
    <row r="574" ht="16.5" customHeight="1">
      <c r="A574" s="190"/>
      <c r="B574" s="191"/>
      <c r="C574" s="191"/>
      <c r="D574" s="191"/>
      <c r="E574" s="192"/>
      <c r="F574" s="192"/>
      <c r="G574" s="192"/>
      <c r="H574" s="192"/>
      <c r="I574" s="192"/>
      <c r="J574" s="193"/>
      <c r="K574" s="192"/>
      <c r="L574" s="190"/>
      <c r="M574" s="194"/>
      <c r="N574" s="194"/>
      <c r="O574" s="194"/>
      <c r="P574" s="194"/>
      <c r="Q574" s="194"/>
      <c r="R574" s="194"/>
      <c r="S574" s="195"/>
      <c r="T574" s="195"/>
      <c r="U574" s="195"/>
      <c r="V574" s="191"/>
      <c r="W574" s="192"/>
      <c r="X574" s="192"/>
      <c r="Y574" s="192"/>
      <c r="Z574" s="191"/>
      <c r="AA574" s="191"/>
      <c r="AB574" s="193"/>
      <c r="AC574" s="193"/>
      <c r="AD574" s="191"/>
      <c r="AE574" s="194"/>
      <c r="AF574" s="194"/>
      <c r="AG574" s="194"/>
      <c r="AH574" s="194"/>
      <c r="AI574" s="190"/>
    </row>
    <row r="575" ht="16.5" customHeight="1">
      <c r="A575" s="190"/>
      <c r="B575" s="191"/>
      <c r="C575" s="191"/>
      <c r="D575" s="191"/>
      <c r="E575" s="192"/>
      <c r="F575" s="192"/>
      <c r="G575" s="192"/>
      <c r="H575" s="192"/>
      <c r="I575" s="192"/>
      <c r="J575" s="193"/>
      <c r="K575" s="192"/>
      <c r="L575" s="190"/>
      <c r="M575" s="194"/>
      <c r="N575" s="194"/>
      <c r="O575" s="194"/>
      <c r="P575" s="194"/>
      <c r="Q575" s="194"/>
      <c r="R575" s="194"/>
      <c r="S575" s="195"/>
      <c r="T575" s="195"/>
      <c r="U575" s="195"/>
      <c r="V575" s="191"/>
      <c r="W575" s="192"/>
      <c r="X575" s="192"/>
      <c r="Y575" s="192"/>
      <c r="Z575" s="191"/>
      <c r="AA575" s="191"/>
      <c r="AB575" s="193"/>
      <c r="AC575" s="193"/>
      <c r="AD575" s="191"/>
      <c r="AE575" s="194"/>
      <c r="AF575" s="194"/>
      <c r="AG575" s="194"/>
      <c r="AH575" s="194"/>
      <c r="AI575" s="190"/>
    </row>
    <row r="576" ht="16.5" customHeight="1">
      <c r="A576" s="190"/>
      <c r="B576" s="191"/>
      <c r="C576" s="191"/>
      <c r="D576" s="191"/>
      <c r="E576" s="192"/>
      <c r="F576" s="192"/>
      <c r="G576" s="192"/>
      <c r="H576" s="192"/>
      <c r="I576" s="192"/>
      <c r="J576" s="193"/>
      <c r="K576" s="192"/>
      <c r="L576" s="190"/>
      <c r="M576" s="194"/>
      <c r="N576" s="194"/>
      <c r="O576" s="194"/>
      <c r="P576" s="194"/>
      <c r="Q576" s="194"/>
      <c r="R576" s="194"/>
      <c r="S576" s="195"/>
      <c r="T576" s="195"/>
      <c r="U576" s="195"/>
      <c r="V576" s="191"/>
      <c r="W576" s="192"/>
      <c r="X576" s="192"/>
      <c r="Y576" s="192"/>
      <c r="Z576" s="191"/>
      <c r="AA576" s="191"/>
      <c r="AB576" s="193"/>
      <c r="AC576" s="193"/>
      <c r="AD576" s="191"/>
      <c r="AE576" s="194"/>
      <c r="AF576" s="194"/>
      <c r="AG576" s="194"/>
      <c r="AH576" s="194"/>
      <c r="AI576" s="190"/>
    </row>
    <row r="577" ht="16.5" customHeight="1">
      <c r="A577" s="190"/>
      <c r="B577" s="191"/>
      <c r="C577" s="191"/>
      <c r="D577" s="191"/>
      <c r="E577" s="192"/>
      <c r="F577" s="192"/>
      <c r="G577" s="192"/>
      <c r="H577" s="192"/>
      <c r="I577" s="192"/>
      <c r="J577" s="193"/>
      <c r="K577" s="192"/>
      <c r="L577" s="190"/>
      <c r="M577" s="194"/>
      <c r="N577" s="194"/>
      <c r="O577" s="194"/>
      <c r="P577" s="194"/>
      <c r="Q577" s="194"/>
      <c r="R577" s="194"/>
      <c r="S577" s="195"/>
      <c r="T577" s="195"/>
      <c r="U577" s="195"/>
      <c r="V577" s="191"/>
      <c r="W577" s="192"/>
      <c r="X577" s="192"/>
      <c r="Y577" s="192"/>
      <c r="Z577" s="191"/>
      <c r="AA577" s="191"/>
      <c r="AB577" s="193"/>
      <c r="AC577" s="193"/>
      <c r="AD577" s="191"/>
      <c r="AE577" s="194"/>
      <c r="AF577" s="194"/>
      <c r="AG577" s="194"/>
      <c r="AH577" s="194"/>
      <c r="AI577" s="190"/>
    </row>
    <row r="578" ht="16.5" customHeight="1">
      <c r="A578" s="190"/>
      <c r="B578" s="191"/>
      <c r="C578" s="191"/>
      <c r="D578" s="191"/>
      <c r="E578" s="192"/>
      <c r="F578" s="192"/>
      <c r="G578" s="192"/>
      <c r="H578" s="192"/>
      <c r="I578" s="192"/>
      <c r="J578" s="193"/>
      <c r="K578" s="192"/>
      <c r="L578" s="190"/>
      <c r="M578" s="194"/>
      <c r="N578" s="194"/>
      <c r="O578" s="194"/>
      <c r="P578" s="194"/>
      <c r="Q578" s="194"/>
      <c r="R578" s="194"/>
      <c r="S578" s="195"/>
      <c r="T578" s="195"/>
      <c r="U578" s="195"/>
      <c r="V578" s="191"/>
      <c r="W578" s="192"/>
      <c r="X578" s="192"/>
      <c r="Y578" s="192"/>
      <c r="Z578" s="191"/>
      <c r="AA578" s="191"/>
      <c r="AB578" s="193"/>
      <c r="AC578" s="193"/>
      <c r="AD578" s="191"/>
      <c r="AE578" s="194"/>
      <c r="AF578" s="194"/>
      <c r="AG578" s="194"/>
      <c r="AH578" s="194"/>
      <c r="AI578" s="190"/>
    </row>
    <row r="579" ht="16.5" customHeight="1">
      <c r="A579" s="190"/>
      <c r="B579" s="191"/>
      <c r="C579" s="191"/>
      <c r="D579" s="191"/>
      <c r="E579" s="192"/>
      <c r="F579" s="192"/>
      <c r="G579" s="192"/>
      <c r="H579" s="192"/>
      <c r="I579" s="192"/>
      <c r="J579" s="193"/>
      <c r="K579" s="192"/>
      <c r="L579" s="190"/>
      <c r="M579" s="194"/>
      <c r="N579" s="194"/>
      <c r="O579" s="194"/>
      <c r="P579" s="194"/>
      <c r="Q579" s="194"/>
      <c r="R579" s="194"/>
      <c r="S579" s="195"/>
      <c r="T579" s="195"/>
      <c r="U579" s="195"/>
      <c r="V579" s="191"/>
      <c r="W579" s="192"/>
      <c r="X579" s="192"/>
      <c r="Y579" s="192"/>
      <c r="Z579" s="191"/>
      <c r="AA579" s="191"/>
      <c r="AB579" s="193"/>
      <c r="AC579" s="193"/>
      <c r="AD579" s="191"/>
      <c r="AE579" s="194"/>
      <c r="AF579" s="194"/>
      <c r="AG579" s="194"/>
      <c r="AH579" s="194"/>
      <c r="AI579" s="190"/>
    </row>
    <row r="580" ht="16.5" customHeight="1">
      <c r="A580" s="190"/>
      <c r="B580" s="191"/>
      <c r="C580" s="191"/>
      <c r="D580" s="191"/>
      <c r="E580" s="192"/>
      <c r="F580" s="192"/>
      <c r="G580" s="192"/>
      <c r="H580" s="192"/>
      <c r="I580" s="192"/>
      <c r="J580" s="193"/>
      <c r="K580" s="192"/>
      <c r="L580" s="190"/>
      <c r="M580" s="194"/>
      <c r="N580" s="194"/>
      <c r="O580" s="194"/>
      <c r="P580" s="194"/>
      <c r="Q580" s="194"/>
      <c r="R580" s="194"/>
      <c r="S580" s="195"/>
      <c r="T580" s="195"/>
      <c r="U580" s="195"/>
      <c r="V580" s="191"/>
      <c r="W580" s="192"/>
      <c r="X580" s="192"/>
      <c r="Y580" s="192"/>
      <c r="Z580" s="191"/>
      <c r="AA580" s="191"/>
      <c r="AB580" s="193"/>
      <c r="AC580" s="193"/>
      <c r="AD580" s="191"/>
      <c r="AE580" s="194"/>
      <c r="AF580" s="194"/>
      <c r="AG580" s="194"/>
      <c r="AH580" s="194"/>
      <c r="AI580" s="190"/>
    </row>
    <row r="581" ht="16.5" customHeight="1">
      <c r="A581" s="190"/>
      <c r="B581" s="191"/>
      <c r="C581" s="191"/>
      <c r="D581" s="191"/>
      <c r="E581" s="192"/>
      <c r="F581" s="192"/>
      <c r="G581" s="192"/>
      <c r="H581" s="192"/>
      <c r="I581" s="192"/>
      <c r="J581" s="193"/>
      <c r="K581" s="192"/>
      <c r="L581" s="190"/>
      <c r="M581" s="194"/>
      <c r="N581" s="194"/>
      <c r="O581" s="194"/>
      <c r="P581" s="194"/>
      <c r="Q581" s="194"/>
      <c r="R581" s="194"/>
      <c r="S581" s="195"/>
      <c r="T581" s="195"/>
      <c r="U581" s="195"/>
      <c r="V581" s="191"/>
      <c r="W581" s="192"/>
      <c r="X581" s="192"/>
      <c r="Y581" s="192"/>
      <c r="Z581" s="191"/>
      <c r="AA581" s="191"/>
      <c r="AB581" s="193"/>
      <c r="AC581" s="193"/>
      <c r="AD581" s="191"/>
      <c r="AE581" s="194"/>
      <c r="AF581" s="194"/>
      <c r="AG581" s="194"/>
      <c r="AH581" s="194"/>
      <c r="AI581" s="190"/>
    </row>
    <row r="582" ht="16.5" customHeight="1">
      <c r="A582" s="190"/>
      <c r="B582" s="191"/>
      <c r="C582" s="191"/>
      <c r="D582" s="191"/>
      <c r="E582" s="192"/>
      <c r="F582" s="192"/>
      <c r="G582" s="192"/>
      <c r="H582" s="192"/>
      <c r="I582" s="192"/>
      <c r="J582" s="193"/>
      <c r="K582" s="192"/>
      <c r="L582" s="190"/>
      <c r="M582" s="194"/>
      <c r="N582" s="194"/>
      <c r="O582" s="194"/>
      <c r="P582" s="194"/>
      <c r="Q582" s="194"/>
      <c r="R582" s="194"/>
      <c r="S582" s="195"/>
      <c r="T582" s="195"/>
      <c r="U582" s="195"/>
      <c r="V582" s="191"/>
      <c r="W582" s="192"/>
      <c r="X582" s="192"/>
      <c r="Y582" s="192"/>
      <c r="Z582" s="191"/>
      <c r="AA582" s="191"/>
      <c r="AB582" s="193"/>
      <c r="AC582" s="193"/>
      <c r="AD582" s="191"/>
      <c r="AE582" s="194"/>
      <c r="AF582" s="194"/>
      <c r="AG582" s="194"/>
      <c r="AH582" s="194"/>
      <c r="AI582" s="190"/>
    </row>
    <row r="583" ht="16.5" customHeight="1">
      <c r="A583" s="190"/>
      <c r="B583" s="191"/>
      <c r="C583" s="191"/>
      <c r="D583" s="191"/>
      <c r="E583" s="192"/>
      <c r="F583" s="192"/>
      <c r="G583" s="192"/>
      <c r="H583" s="192"/>
      <c r="I583" s="192"/>
      <c r="J583" s="193"/>
      <c r="K583" s="192"/>
      <c r="L583" s="190"/>
      <c r="M583" s="194"/>
      <c r="N583" s="194"/>
      <c r="O583" s="194"/>
      <c r="P583" s="194"/>
      <c r="Q583" s="194"/>
      <c r="R583" s="194"/>
      <c r="S583" s="195"/>
      <c r="T583" s="195"/>
      <c r="U583" s="195"/>
      <c r="V583" s="191"/>
      <c r="W583" s="192"/>
      <c r="X583" s="192"/>
      <c r="Y583" s="192"/>
      <c r="Z583" s="191"/>
      <c r="AA583" s="191"/>
      <c r="AB583" s="193"/>
      <c r="AC583" s="193"/>
      <c r="AD583" s="191"/>
      <c r="AE583" s="194"/>
      <c r="AF583" s="194"/>
      <c r="AG583" s="194"/>
      <c r="AH583" s="194"/>
      <c r="AI583" s="190"/>
    </row>
    <row r="584" ht="16.5" customHeight="1">
      <c r="A584" s="190"/>
      <c r="B584" s="191"/>
      <c r="C584" s="191"/>
      <c r="D584" s="191"/>
      <c r="E584" s="192"/>
      <c r="F584" s="192"/>
      <c r="G584" s="192"/>
      <c r="H584" s="192"/>
      <c r="I584" s="192"/>
      <c r="J584" s="193"/>
      <c r="K584" s="192"/>
      <c r="L584" s="190"/>
      <c r="M584" s="194"/>
      <c r="N584" s="194"/>
      <c r="O584" s="194"/>
      <c r="P584" s="194"/>
      <c r="Q584" s="194"/>
      <c r="R584" s="194"/>
      <c r="S584" s="195"/>
      <c r="T584" s="195"/>
      <c r="U584" s="195"/>
      <c r="V584" s="191"/>
      <c r="W584" s="192"/>
      <c r="X584" s="192"/>
      <c r="Y584" s="192"/>
      <c r="Z584" s="191"/>
      <c r="AA584" s="191"/>
      <c r="AB584" s="193"/>
      <c r="AC584" s="193"/>
      <c r="AD584" s="191"/>
      <c r="AE584" s="194"/>
      <c r="AF584" s="194"/>
      <c r="AG584" s="194"/>
      <c r="AH584" s="194"/>
      <c r="AI584" s="190"/>
    </row>
    <row r="585" ht="16.5" customHeight="1">
      <c r="A585" s="190"/>
      <c r="B585" s="191"/>
      <c r="C585" s="191"/>
      <c r="D585" s="191"/>
      <c r="E585" s="192"/>
      <c r="F585" s="192"/>
      <c r="G585" s="192"/>
      <c r="H585" s="192"/>
      <c r="I585" s="192"/>
      <c r="J585" s="193"/>
      <c r="K585" s="192"/>
      <c r="L585" s="190"/>
      <c r="M585" s="194"/>
      <c r="N585" s="194"/>
      <c r="O585" s="194"/>
      <c r="P585" s="194"/>
      <c r="Q585" s="194"/>
      <c r="R585" s="194"/>
      <c r="S585" s="195"/>
      <c r="T585" s="195"/>
      <c r="U585" s="195"/>
      <c r="V585" s="191"/>
      <c r="W585" s="192"/>
      <c r="X585" s="192"/>
      <c r="Y585" s="192"/>
      <c r="Z585" s="191"/>
      <c r="AA585" s="191"/>
      <c r="AB585" s="193"/>
      <c r="AC585" s="193"/>
      <c r="AD585" s="191"/>
      <c r="AE585" s="194"/>
      <c r="AF585" s="194"/>
      <c r="AG585" s="194"/>
      <c r="AH585" s="194"/>
      <c r="AI585" s="190"/>
    </row>
    <row r="586" ht="16.5" customHeight="1">
      <c r="A586" s="190"/>
      <c r="B586" s="191"/>
      <c r="C586" s="191"/>
      <c r="D586" s="191"/>
      <c r="E586" s="192"/>
      <c r="F586" s="192"/>
      <c r="G586" s="192"/>
      <c r="H586" s="192"/>
      <c r="I586" s="192"/>
      <c r="J586" s="193"/>
      <c r="K586" s="192"/>
      <c r="L586" s="190"/>
      <c r="M586" s="194"/>
      <c r="N586" s="194"/>
      <c r="O586" s="194"/>
      <c r="P586" s="194"/>
      <c r="Q586" s="194"/>
      <c r="R586" s="194"/>
      <c r="S586" s="195"/>
      <c r="T586" s="195"/>
      <c r="U586" s="195"/>
      <c r="V586" s="191"/>
      <c r="W586" s="192"/>
      <c r="X586" s="192"/>
      <c r="Y586" s="192"/>
      <c r="Z586" s="191"/>
      <c r="AA586" s="191"/>
      <c r="AB586" s="193"/>
      <c r="AC586" s="193"/>
      <c r="AD586" s="191"/>
      <c r="AE586" s="194"/>
      <c r="AF586" s="194"/>
      <c r="AG586" s="194"/>
      <c r="AH586" s="194"/>
      <c r="AI586" s="190"/>
    </row>
    <row r="587" ht="16.5" customHeight="1">
      <c r="A587" s="190"/>
      <c r="B587" s="191"/>
      <c r="C587" s="191"/>
      <c r="D587" s="191"/>
      <c r="E587" s="192"/>
      <c r="F587" s="192"/>
      <c r="G587" s="192"/>
      <c r="H587" s="192"/>
      <c r="I587" s="192"/>
      <c r="J587" s="193"/>
      <c r="K587" s="192"/>
      <c r="L587" s="190"/>
      <c r="M587" s="194"/>
      <c r="N587" s="194"/>
      <c r="O587" s="194"/>
      <c r="P587" s="194"/>
      <c r="Q587" s="194"/>
      <c r="R587" s="194"/>
      <c r="S587" s="195"/>
      <c r="T587" s="195"/>
      <c r="U587" s="195"/>
      <c r="V587" s="191"/>
      <c r="W587" s="192"/>
      <c r="X587" s="192"/>
      <c r="Y587" s="192"/>
      <c r="Z587" s="191"/>
      <c r="AA587" s="191"/>
      <c r="AB587" s="193"/>
      <c r="AC587" s="193"/>
      <c r="AD587" s="191"/>
      <c r="AE587" s="194"/>
      <c r="AF587" s="194"/>
      <c r="AG587" s="194"/>
      <c r="AH587" s="194"/>
      <c r="AI587" s="190"/>
    </row>
    <row r="588" ht="16.5" customHeight="1">
      <c r="A588" s="190"/>
      <c r="B588" s="191"/>
      <c r="C588" s="191"/>
      <c r="D588" s="191"/>
      <c r="E588" s="192"/>
      <c r="F588" s="192"/>
      <c r="G588" s="192"/>
      <c r="H588" s="192"/>
      <c r="I588" s="192"/>
      <c r="J588" s="193"/>
      <c r="K588" s="192"/>
      <c r="L588" s="190"/>
      <c r="M588" s="194"/>
      <c r="N588" s="194"/>
      <c r="O588" s="194"/>
      <c r="P588" s="194"/>
      <c r="Q588" s="194"/>
      <c r="R588" s="194"/>
      <c r="S588" s="195"/>
      <c r="T588" s="195"/>
      <c r="U588" s="195"/>
      <c r="V588" s="191"/>
      <c r="W588" s="192"/>
      <c r="X588" s="192"/>
      <c r="Y588" s="192"/>
      <c r="Z588" s="191"/>
      <c r="AA588" s="191"/>
      <c r="AB588" s="193"/>
      <c r="AC588" s="193"/>
      <c r="AD588" s="191"/>
      <c r="AE588" s="194"/>
      <c r="AF588" s="194"/>
      <c r="AG588" s="194"/>
      <c r="AH588" s="194"/>
      <c r="AI588" s="190"/>
    </row>
    <row r="589" ht="16.5" customHeight="1">
      <c r="A589" s="190"/>
      <c r="B589" s="191"/>
      <c r="C589" s="191"/>
      <c r="D589" s="191"/>
      <c r="E589" s="192"/>
      <c r="F589" s="192"/>
      <c r="G589" s="192"/>
      <c r="H589" s="192"/>
      <c r="I589" s="192"/>
      <c r="J589" s="193"/>
      <c r="K589" s="192"/>
      <c r="L589" s="190"/>
      <c r="M589" s="194"/>
      <c r="N589" s="194"/>
      <c r="O589" s="194"/>
      <c r="P589" s="194"/>
      <c r="Q589" s="194"/>
      <c r="R589" s="194"/>
      <c r="S589" s="195"/>
      <c r="T589" s="195"/>
      <c r="U589" s="195"/>
      <c r="V589" s="191"/>
      <c r="W589" s="192"/>
      <c r="X589" s="192"/>
      <c r="Y589" s="192"/>
      <c r="Z589" s="191"/>
      <c r="AA589" s="191"/>
      <c r="AB589" s="193"/>
      <c r="AC589" s="193"/>
      <c r="AD589" s="191"/>
      <c r="AE589" s="194"/>
      <c r="AF589" s="194"/>
      <c r="AG589" s="194"/>
      <c r="AH589" s="194"/>
      <c r="AI589" s="190"/>
    </row>
    <row r="590" ht="16.5" customHeight="1">
      <c r="A590" s="190"/>
      <c r="B590" s="191"/>
      <c r="C590" s="191"/>
      <c r="D590" s="191"/>
      <c r="E590" s="192"/>
      <c r="F590" s="192"/>
      <c r="G590" s="192"/>
      <c r="H590" s="192"/>
      <c r="I590" s="192"/>
      <c r="J590" s="193"/>
      <c r="K590" s="192"/>
      <c r="L590" s="190"/>
      <c r="M590" s="194"/>
      <c r="N590" s="194"/>
      <c r="O590" s="194"/>
      <c r="P590" s="194"/>
      <c r="Q590" s="194"/>
      <c r="R590" s="194"/>
      <c r="S590" s="195"/>
      <c r="T590" s="195"/>
      <c r="U590" s="195"/>
      <c r="V590" s="191"/>
      <c r="W590" s="192"/>
      <c r="X590" s="192"/>
      <c r="Y590" s="192"/>
      <c r="Z590" s="191"/>
      <c r="AA590" s="191"/>
      <c r="AB590" s="193"/>
      <c r="AC590" s="193"/>
      <c r="AD590" s="191"/>
      <c r="AE590" s="194"/>
      <c r="AF590" s="194"/>
      <c r="AG590" s="194"/>
      <c r="AH590" s="194"/>
      <c r="AI590" s="190"/>
    </row>
    <row r="591" ht="16.5" customHeight="1">
      <c r="A591" s="190"/>
      <c r="B591" s="191"/>
      <c r="C591" s="191"/>
      <c r="D591" s="191"/>
      <c r="E591" s="192"/>
      <c r="F591" s="192"/>
      <c r="G591" s="192"/>
      <c r="H591" s="192"/>
      <c r="I591" s="192"/>
      <c r="J591" s="193"/>
      <c r="K591" s="192"/>
      <c r="L591" s="190"/>
      <c r="M591" s="194"/>
      <c r="N591" s="194"/>
      <c r="O591" s="194"/>
      <c r="P591" s="194"/>
      <c r="Q591" s="194"/>
      <c r="R591" s="194"/>
      <c r="S591" s="195"/>
      <c r="T591" s="195"/>
      <c r="U591" s="195"/>
      <c r="V591" s="191"/>
      <c r="W591" s="192"/>
      <c r="X591" s="192"/>
      <c r="Y591" s="192"/>
      <c r="Z591" s="191"/>
      <c r="AA591" s="191"/>
      <c r="AB591" s="193"/>
      <c r="AC591" s="193"/>
      <c r="AD591" s="191"/>
      <c r="AE591" s="194"/>
      <c r="AF591" s="194"/>
      <c r="AG591" s="194"/>
      <c r="AH591" s="194"/>
      <c r="AI591" s="190"/>
    </row>
    <row r="592" ht="16.5" customHeight="1">
      <c r="A592" s="190"/>
      <c r="B592" s="191"/>
      <c r="C592" s="191"/>
      <c r="D592" s="191"/>
      <c r="E592" s="192"/>
      <c r="F592" s="192"/>
      <c r="G592" s="192"/>
      <c r="H592" s="192"/>
      <c r="I592" s="192"/>
      <c r="J592" s="193"/>
      <c r="K592" s="192"/>
      <c r="L592" s="190"/>
      <c r="M592" s="194"/>
      <c r="N592" s="194"/>
      <c r="O592" s="194"/>
      <c r="P592" s="194"/>
      <c r="Q592" s="194"/>
      <c r="R592" s="194"/>
      <c r="S592" s="195"/>
      <c r="T592" s="195"/>
      <c r="U592" s="195"/>
      <c r="V592" s="191"/>
      <c r="W592" s="192"/>
      <c r="X592" s="192"/>
      <c r="Y592" s="192"/>
      <c r="Z592" s="191"/>
      <c r="AA592" s="191"/>
      <c r="AB592" s="193"/>
      <c r="AC592" s="193"/>
      <c r="AD592" s="191"/>
      <c r="AE592" s="194"/>
      <c r="AF592" s="194"/>
      <c r="AG592" s="194"/>
      <c r="AH592" s="194"/>
      <c r="AI592" s="190"/>
    </row>
    <row r="593" ht="16.5" customHeight="1">
      <c r="A593" s="190"/>
      <c r="B593" s="191"/>
      <c r="C593" s="191"/>
      <c r="D593" s="191"/>
      <c r="E593" s="192"/>
      <c r="F593" s="192"/>
      <c r="G593" s="192"/>
      <c r="H593" s="192"/>
      <c r="I593" s="192"/>
      <c r="J593" s="193"/>
      <c r="K593" s="192"/>
      <c r="L593" s="190"/>
      <c r="M593" s="194"/>
      <c r="N593" s="194"/>
      <c r="O593" s="194"/>
      <c r="P593" s="194"/>
      <c r="Q593" s="194"/>
      <c r="R593" s="194"/>
      <c r="S593" s="195"/>
      <c r="T593" s="195"/>
      <c r="U593" s="195"/>
      <c r="V593" s="191"/>
      <c r="W593" s="192"/>
      <c r="X593" s="192"/>
      <c r="Y593" s="192"/>
      <c r="Z593" s="191"/>
      <c r="AA593" s="191"/>
      <c r="AB593" s="193"/>
      <c r="AC593" s="193"/>
      <c r="AD593" s="191"/>
      <c r="AE593" s="194"/>
      <c r="AF593" s="194"/>
      <c r="AG593" s="194"/>
      <c r="AH593" s="194"/>
      <c r="AI593" s="190"/>
    </row>
    <row r="594" ht="16.5" customHeight="1">
      <c r="A594" s="190"/>
      <c r="B594" s="191"/>
      <c r="C594" s="191"/>
      <c r="D594" s="191"/>
      <c r="E594" s="192"/>
      <c r="F594" s="192"/>
      <c r="G594" s="192"/>
      <c r="H594" s="192"/>
      <c r="I594" s="192"/>
      <c r="J594" s="193"/>
      <c r="K594" s="192"/>
      <c r="L594" s="190"/>
      <c r="M594" s="194"/>
      <c r="N594" s="194"/>
      <c r="O594" s="194"/>
      <c r="P594" s="194"/>
      <c r="Q594" s="194"/>
      <c r="R594" s="194"/>
      <c r="S594" s="195"/>
      <c r="T594" s="195"/>
      <c r="U594" s="195"/>
      <c r="V594" s="191"/>
      <c r="W594" s="192"/>
      <c r="X594" s="192"/>
      <c r="Y594" s="192"/>
      <c r="Z594" s="191"/>
      <c r="AA594" s="191"/>
      <c r="AB594" s="193"/>
      <c r="AC594" s="193"/>
      <c r="AD594" s="191"/>
      <c r="AE594" s="194"/>
      <c r="AF594" s="194"/>
      <c r="AG594" s="194"/>
      <c r="AH594" s="194"/>
      <c r="AI594" s="190"/>
    </row>
    <row r="595" ht="16.5" customHeight="1">
      <c r="A595" s="190"/>
      <c r="B595" s="191"/>
      <c r="C595" s="191"/>
      <c r="D595" s="191"/>
      <c r="E595" s="192"/>
      <c r="F595" s="192"/>
      <c r="G595" s="192"/>
      <c r="H595" s="192"/>
      <c r="I595" s="192"/>
      <c r="J595" s="193"/>
      <c r="K595" s="192"/>
      <c r="L595" s="190"/>
      <c r="M595" s="194"/>
      <c r="N595" s="194"/>
      <c r="O595" s="194"/>
      <c r="P595" s="194"/>
      <c r="Q595" s="194"/>
      <c r="R595" s="194"/>
      <c r="S595" s="195"/>
      <c r="T595" s="195"/>
      <c r="U595" s="195"/>
      <c r="V595" s="191"/>
      <c r="W595" s="192"/>
      <c r="X595" s="192"/>
      <c r="Y595" s="192"/>
      <c r="Z595" s="191"/>
      <c r="AA595" s="191"/>
      <c r="AB595" s="193"/>
      <c r="AC595" s="193"/>
      <c r="AD595" s="191"/>
      <c r="AE595" s="194"/>
      <c r="AF595" s="194"/>
      <c r="AG595" s="194"/>
      <c r="AH595" s="194"/>
      <c r="AI595" s="190"/>
    </row>
    <row r="596" ht="16.5" customHeight="1">
      <c r="A596" s="190"/>
      <c r="B596" s="191"/>
      <c r="C596" s="191"/>
      <c r="D596" s="191"/>
      <c r="E596" s="192"/>
      <c r="F596" s="192"/>
      <c r="G596" s="192"/>
      <c r="H596" s="192"/>
      <c r="I596" s="192"/>
      <c r="J596" s="193"/>
      <c r="K596" s="192"/>
      <c r="L596" s="190"/>
      <c r="M596" s="194"/>
      <c r="N596" s="194"/>
      <c r="O596" s="194"/>
      <c r="P596" s="194"/>
      <c r="Q596" s="194"/>
      <c r="R596" s="194"/>
      <c r="S596" s="195"/>
      <c r="T596" s="195"/>
      <c r="U596" s="195"/>
      <c r="V596" s="191"/>
      <c r="W596" s="192"/>
      <c r="X596" s="192"/>
      <c r="Y596" s="192"/>
      <c r="Z596" s="191"/>
      <c r="AA596" s="191"/>
      <c r="AB596" s="193"/>
      <c r="AC596" s="193"/>
      <c r="AD596" s="191"/>
      <c r="AE596" s="194"/>
      <c r="AF596" s="194"/>
      <c r="AG596" s="194"/>
      <c r="AH596" s="194"/>
      <c r="AI596" s="190"/>
    </row>
    <row r="597" ht="16.5" customHeight="1">
      <c r="A597" s="190"/>
      <c r="B597" s="191"/>
      <c r="C597" s="191"/>
      <c r="D597" s="191"/>
      <c r="E597" s="192"/>
      <c r="F597" s="192"/>
      <c r="G597" s="192"/>
      <c r="H597" s="192"/>
      <c r="I597" s="192"/>
      <c r="J597" s="193"/>
      <c r="K597" s="192"/>
      <c r="L597" s="190"/>
      <c r="M597" s="194"/>
      <c r="N597" s="194"/>
      <c r="O597" s="194"/>
      <c r="P597" s="194"/>
      <c r="Q597" s="194"/>
      <c r="R597" s="194"/>
      <c r="S597" s="195"/>
      <c r="T597" s="195"/>
      <c r="U597" s="195"/>
      <c r="V597" s="191"/>
      <c r="W597" s="192"/>
      <c r="X597" s="192"/>
      <c r="Y597" s="192"/>
      <c r="Z597" s="191"/>
      <c r="AA597" s="191"/>
      <c r="AB597" s="193"/>
      <c r="AC597" s="193"/>
      <c r="AD597" s="191"/>
      <c r="AE597" s="194"/>
      <c r="AF597" s="194"/>
      <c r="AG597" s="194"/>
      <c r="AH597" s="194"/>
      <c r="AI597" s="190"/>
    </row>
    <row r="598" ht="16.5" customHeight="1">
      <c r="A598" s="190"/>
      <c r="B598" s="191"/>
      <c r="C598" s="191"/>
      <c r="D598" s="191"/>
      <c r="E598" s="192"/>
      <c r="F598" s="192"/>
      <c r="G598" s="192"/>
      <c r="H598" s="192"/>
      <c r="I598" s="192"/>
      <c r="J598" s="193"/>
      <c r="K598" s="192"/>
      <c r="L598" s="190"/>
      <c r="M598" s="194"/>
      <c r="N598" s="194"/>
      <c r="O598" s="194"/>
      <c r="P598" s="194"/>
      <c r="Q598" s="194"/>
      <c r="R598" s="194"/>
      <c r="S598" s="195"/>
      <c r="T598" s="195"/>
      <c r="U598" s="195"/>
      <c r="V598" s="191"/>
      <c r="W598" s="192"/>
      <c r="X598" s="192"/>
      <c r="Y598" s="192"/>
      <c r="Z598" s="191"/>
      <c r="AA598" s="191"/>
      <c r="AB598" s="193"/>
      <c r="AC598" s="193"/>
      <c r="AD598" s="191"/>
      <c r="AE598" s="194"/>
      <c r="AF598" s="194"/>
      <c r="AG598" s="194"/>
      <c r="AH598" s="194"/>
      <c r="AI598" s="190"/>
    </row>
    <row r="599" ht="16.5" customHeight="1">
      <c r="A599" s="190"/>
      <c r="B599" s="191"/>
      <c r="C599" s="191"/>
      <c r="D599" s="191"/>
      <c r="E599" s="192"/>
      <c r="F599" s="192"/>
      <c r="G599" s="192"/>
      <c r="H599" s="192"/>
      <c r="I599" s="192"/>
      <c r="J599" s="193"/>
      <c r="K599" s="192"/>
      <c r="L599" s="190"/>
      <c r="M599" s="194"/>
      <c r="N599" s="194"/>
      <c r="O599" s="194"/>
      <c r="P599" s="194"/>
      <c r="Q599" s="194"/>
      <c r="R599" s="194"/>
      <c r="S599" s="195"/>
      <c r="T599" s="195"/>
      <c r="U599" s="195"/>
      <c r="V599" s="191"/>
      <c r="W599" s="192"/>
      <c r="X599" s="192"/>
      <c r="Y599" s="192"/>
      <c r="Z599" s="191"/>
      <c r="AA599" s="191"/>
      <c r="AB599" s="193"/>
      <c r="AC599" s="193"/>
      <c r="AD599" s="191"/>
      <c r="AE599" s="194"/>
      <c r="AF599" s="194"/>
      <c r="AG599" s="194"/>
      <c r="AH599" s="194"/>
      <c r="AI599" s="190"/>
    </row>
    <row r="600" ht="16.5" customHeight="1">
      <c r="A600" s="190"/>
      <c r="B600" s="191"/>
      <c r="C600" s="191"/>
      <c r="D600" s="191"/>
      <c r="E600" s="192"/>
      <c r="F600" s="192"/>
      <c r="G600" s="192"/>
      <c r="H600" s="192"/>
      <c r="I600" s="192"/>
      <c r="J600" s="193"/>
      <c r="K600" s="192"/>
      <c r="L600" s="190"/>
      <c r="M600" s="194"/>
      <c r="N600" s="194"/>
      <c r="O600" s="194"/>
      <c r="P600" s="194"/>
      <c r="Q600" s="194"/>
      <c r="R600" s="194"/>
      <c r="S600" s="195"/>
      <c r="T600" s="195"/>
      <c r="U600" s="195"/>
      <c r="V600" s="191"/>
      <c r="W600" s="192"/>
      <c r="X600" s="192"/>
      <c r="Y600" s="192"/>
      <c r="Z600" s="191"/>
      <c r="AA600" s="191"/>
      <c r="AB600" s="193"/>
      <c r="AC600" s="193"/>
      <c r="AD600" s="191"/>
      <c r="AE600" s="194"/>
      <c r="AF600" s="194"/>
      <c r="AG600" s="194"/>
      <c r="AH600" s="194"/>
      <c r="AI600" s="190"/>
    </row>
    <row r="601" ht="16.5" customHeight="1">
      <c r="A601" s="190"/>
      <c r="B601" s="191"/>
      <c r="C601" s="191"/>
      <c r="D601" s="191"/>
      <c r="E601" s="192"/>
      <c r="F601" s="192"/>
      <c r="G601" s="192"/>
      <c r="H601" s="192"/>
      <c r="I601" s="192"/>
      <c r="J601" s="193"/>
      <c r="K601" s="192"/>
      <c r="L601" s="190"/>
      <c r="M601" s="194"/>
      <c r="N601" s="194"/>
      <c r="O601" s="194"/>
      <c r="P601" s="194"/>
      <c r="Q601" s="194"/>
      <c r="R601" s="194"/>
      <c r="S601" s="195"/>
      <c r="T601" s="195"/>
      <c r="U601" s="195"/>
      <c r="V601" s="191"/>
      <c r="W601" s="192"/>
      <c r="X601" s="192"/>
      <c r="Y601" s="192"/>
      <c r="Z601" s="191"/>
      <c r="AA601" s="191"/>
      <c r="AB601" s="193"/>
      <c r="AC601" s="193"/>
      <c r="AD601" s="191"/>
      <c r="AE601" s="194"/>
      <c r="AF601" s="194"/>
      <c r="AG601" s="194"/>
      <c r="AH601" s="194"/>
      <c r="AI601" s="190"/>
    </row>
    <row r="602" ht="16.5" customHeight="1">
      <c r="A602" s="190"/>
      <c r="B602" s="191"/>
      <c r="C602" s="191"/>
      <c r="D602" s="191"/>
      <c r="E602" s="192"/>
      <c r="F602" s="192"/>
      <c r="G602" s="192"/>
      <c r="H602" s="192"/>
      <c r="I602" s="192"/>
      <c r="J602" s="193"/>
      <c r="K602" s="192"/>
      <c r="L602" s="190"/>
      <c r="M602" s="194"/>
      <c r="N602" s="194"/>
      <c r="O602" s="194"/>
      <c r="P602" s="194"/>
      <c r="Q602" s="194"/>
      <c r="R602" s="194"/>
      <c r="S602" s="195"/>
      <c r="T602" s="195"/>
      <c r="U602" s="195"/>
      <c r="V602" s="191"/>
      <c r="W602" s="192"/>
      <c r="X602" s="192"/>
      <c r="Y602" s="192"/>
      <c r="Z602" s="191"/>
      <c r="AA602" s="191"/>
      <c r="AB602" s="193"/>
      <c r="AC602" s="193"/>
      <c r="AD602" s="191"/>
      <c r="AE602" s="194"/>
      <c r="AF602" s="194"/>
      <c r="AG602" s="194"/>
      <c r="AH602" s="194"/>
      <c r="AI602" s="190"/>
    </row>
    <row r="603" ht="16.5" customHeight="1">
      <c r="A603" s="190"/>
      <c r="B603" s="191"/>
      <c r="C603" s="191"/>
      <c r="D603" s="191"/>
      <c r="E603" s="192"/>
      <c r="F603" s="192"/>
      <c r="G603" s="192"/>
      <c r="H603" s="192"/>
      <c r="I603" s="192"/>
      <c r="J603" s="193"/>
      <c r="K603" s="192"/>
      <c r="L603" s="190"/>
      <c r="M603" s="194"/>
      <c r="N603" s="194"/>
      <c r="O603" s="194"/>
      <c r="P603" s="194"/>
      <c r="Q603" s="194"/>
      <c r="R603" s="194"/>
      <c r="S603" s="195"/>
      <c r="T603" s="195"/>
      <c r="U603" s="195"/>
      <c r="V603" s="191"/>
      <c r="W603" s="192"/>
      <c r="X603" s="192"/>
      <c r="Y603" s="192"/>
      <c r="Z603" s="191"/>
      <c r="AA603" s="191"/>
      <c r="AB603" s="193"/>
      <c r="AC603" s="193"/>
      <c r="AD603" s="191"/>
      <c r="AE603" s="194"/>
      <c r="AF603" s="194"/>
      <c r="AG603" s="194"/>
      <c r="AH603" s="194"/>
      <c r="AI603" s="190"/>
    </row>
    <row r="604" ht="16.5" customHeight="1">
      <c r="A604" s="190"/>
      <c r="B604" s="191"/>
      <c r="C604" s="191"/>
      <c r="D604" s="191"/>
      <c r="E604" s="192"/>
      <c r="F604" s="192"/>
      <c r="G604" s="192"/>
      <c r="H604" s="192"/>
      <c r="I604" s="192"/>
      <c r="J604" s="193"/>
      <c r="K604" s="192"/>
      <c r="L604" s="190"/>
      <c r="M604" s="194"/>
      <c r="N604" s="194"/>
      <c r="O604" s="194"/>
      <c r="P604" s="194"/>
      <c r="Q604" s="194"/>
      <c r="R604" s="194"/>
      <c r="S604" s="195"/>
      <c r="T604" s="195"/>
      <c r="U604" s="195"/>
      <c r="V604" s="191"/>
      <c r="W604" s="192"/>
      <c r="X604" s="192"/>
      <c r="Y604" s="192"/>
      <c r="Z604" s="191"/>
      <c r="AA604" s="191"/>
      <c r="AB604" s="193"/>
      <c r="AC604" s="193"/>
      <c r="AD604" s="191"/>
      <c r="AE604" s="194"/>
      <c r="AF604" s="194"/>
      <c r="AG604" s="194"/>
      <c r="AH604" s="194"/>
      <c r="AI604" s="190"/>
    </row>
    <row r="605" ht="16.5" customHeight="1">
      <c r="A605" s="190"/>
      <c r="B605" s="191"/>
      <c r="C605" s="191"/>
      <c r="D605" s="191"/>
      <c r="E605" s="192"/>
      <c r="F605" s="192"/>
      <c r="G605" s="192"/>
      <c r="H605" s="192"/>
      <c r="I605" s="192"/>
      <c r="J605" s="193"/>
      <c r="K605" s="192"/>
      <c r="L605" s="190"/>
      <c r="M605" s="194"/>
      <c r="N605" s="194"/>
      <c r="O605" s="194"/>
      <c r="P605" s="194"/>
      <c r="Q605" s="194"/>
      <c r="R605" s="194"/>
      <c r="S605" s="195"/>
      <c r="T605" s="195"/>
      <c r="U605" s="195"/>
      <c r="V605" s="191"/>
      <c r="W605" s="192"/>
      <c r="X605" s="192"/>
      <c r="Y605" s="192"/>
      <c r="Z605" s="191"/>
      <c r="AA605" s="191"/>
      <c r="AB605" s="193"/>
      <c r="AC605" s="193"/>
      <c r="AD605" s="191"/>
      <c r="AE605" s="194"/>
      <c r="AF605" s="194"/>
      <c r="AG605" s="194"/>
      <c r="AH605" s="194"/>
      <c r="AI605" s="190"/>
    </row>
    <row r="606" ht="16.5" customHeight="1">
      <c r="A606" s="190"/>
      <c r="B606" s="191"/>
      <c r="C606" s="191"/>
      <c r="D606" s="191"/>
      <c r="E606" s="192"/>
      <c r="F606" s="192"/>
      <c r="G606" s="192"/>
      <c r="H606" s="192"/>
      <c r="I606" s="192"/>
      <c r="J606" s="193"/>
      <c r="K606" s="192"/>
      <c r="L606" s="190"/>
      <c r="M606" s="194"/>
      <c r="N606" s="194"/>
      <c r="O606" s="194"/>
      <c r="P606" s="194"/>
      <c r="Q606" s="194"/>
      <c r="R606" s="194"/>
      <c r="S606" s="195"/>
      <c r="T606" s="195"/>
      <c r="U606" s="195"/>
      <c r="V606" s="191"/>
      <c r="W606" s="192"/>
      <c r="X606" s="192"/>
      <c r="Y606" s="192"/>
      <c r="Z606" s="191"/>
      <c r="AA606" s="191"/>
      <c r="AB606" s="193"/>
      <c r="AC606" s="193"/>
      <c r="AD606" s="191"/>
      <c r="AE606" s="194"/>
      <c r="AF606" s="194"/>
      <c r="AG606" s="194"/>
      <c r="AH606" s="194"/>
      <c r="AI606" s="190"/>
    </row>
    <row r="607" ht="16.5" customHeight="1">
      <c r="A607" s="190"/>
      <c r="B607" s="191"/>
      <c r="C607" s="191"/>
      <c r="D607" s="191"/>
      <c r="E607" s="192"/>
      <c r="F607" s="192"/>
      <c r="G607" s="192"/>
      <c r="H607" s="192"/>
      <c r="I607" s="192"/>
      <c r="J607" s="193"/>
      <c r="K607" s="192"/>
      <c r="L607" s="190"/>
      <c r="M607" s="194"/>
      <c r="N607" s="194"/>
      <c r="O607" s="194"/>
      <c r="P607" s="194"/>
      <c r="Q607" s="194"/>
      <c r="R607" s="194"/>
      <c r="S607" s="195"/>
      <c r="T607" s="195"/>
      <c r="U607" s="195"/>
      <c r="V607" s="191"/>
      <c r="W607" s="192"/>
      <c r="X607" s="192"/>
      <c r="Y607" s="192"/>
      <c r="Z607" s="191"/>
      <c r="AA607" s="191"/>
      <c r="AB607" s="193"/>
      <c r="AC607" s="193"/>
      <c r="AD607" s="191"/>
      <c r="AE607" s="194"/>
      <c r="AF607" s="194"/>
      <c r="AG607" s="194"/>
      <c r="AH607" s="194"/>
      <c r="AI607" s="190"/>
    </row>
    <row r="608" ht="16.5" customHeight="1">
      <c r="A608" s="190"/>
      <c r="B608" s="191"/>
      <c r="C608" s="191"/>
      <c r="D608" s="191"/>
      <c r="E608" s="192"/>
      <c r="F608" s="192"/>
      <c r="G608" s="192"/>
      <c r="H608" s="192"/>
      <c r="I608" s="192"/>
      <c r="J608" s="193"/>
      <c r="K608" s="192"/>
      <c r="L608" s="190"/>
      <c r="M608" s="194"/>
      <c r="N608" s="194"/>
      <c r="O608" s="194"/>
      <c r="P608" s="194"/>
      <c r="Q608" s="194"/>
      <c r="R608" s="194"/>
      <c r="S608" s="195"/>
      <c r="T608" s="195"/>
      <c r="U608" s="195"/>
      <c r="V608" s="191"/>
      <c r="W608" s="192"/>
      <c r="X608" s="192"/>
      <c r="Y608" s="192"/>
      <c r="Z608" s="191"/>
      <c r="AA608" s="191"/>
      <c r="AB608" s="193"/>
      <c r="AC608" s="193"/>
      <c r="AD608" s="191"/>
      <c r="AE608" s="194"/>
      <c r="AF608" s="194"/>
      <c r="AG608" s="194"/>
      <c r="AH608" s="194"/>
      <c r="AI608" s="190"/>
    </row>
    <row r="609" ht="16.5" customHeight="1">
      <c r="A609" s="190"/>
      <c r="B609" s="191"/>
      <c r="C609" s="191"/>
      <c r="D609" s="191"/>
      <c r="E609" s="192"/>
      <c r="F609" s="192"/>
      <c r="G609" s="192"/>
      <c r="H609" s="192"/>
      <c r="I609" s="192"/>
      <c r="J609" s="193"/>
      <c r="K609" s="192"/>
      <c r="L609" s="190"/>
      <c r="M609" s="194"/>
      <c r="N609" s="194"/>
      <c r="O609" s="194"/>
      <c r="P609" s="194"/>
      <c r="Q609" s="194"/>
      <c r="R609" s="194"/>
      <c r="S609" s="195"/>
      <c r="T609" s="195"/>
      <c r="U609" s="195"/>
      <c r="V609" s="191"/>
      <c r="W609" s="192"/>
      <c r="X609" s="192"/>
      <c r="Y609" s="192"/>
      <c r="Z609" s="191"/>
      <c r="AA609" s="191"/>
      <c r="AB609" s="193"/>
      <c r="AC609" s="193"/>
      <c r="AD609" s="191"/>
      <c r="AE609" s="194"/>
      <c r="AF609" s="194"/>
      <c r="AG609" s="194"/>
      <c r="AH609" s="194"/>
      <c r="AI609" s="190"/>
    </row>
    <row r="610" ht="16.5" customHeight="1">
      <c r="A610" s="190"/>
      <c r="B610" s="191"/>
      <c r="C610" s="191"/>
      <c r="D610" s="191"/>
      <c r="E610" s="192"/>
      <c r="F610" s="192"/>
      <c r="G610" s="192"/>
      <c r="H610" s="192"/>
      <c r="I610" s="192"/>
      <c r="J610" s="193"/>
      <c r="K610" s="192"/>
      <c r="L610" s="190"/>
      <c r="M610" s="194"/>
      <c r="N610" s="194"/>
      <c r="O610" s="194"/>
      <c r="P610" s="194"/>
      <c r="Q610" s="194"/>
      <c r="R610" s="194"/>
      <c r="S610" s="195"/>
      <c r="T610" s="195"/>
      <c r="U610" s="195"/>
      <c r="V610" s="191"/>
      <c r="W610" s="192"/>
      <c r="X610" s="192"/>
      <c r="Y610" s="192"/>
      <c r="Z610" s="191"/>
      <c r="AA610" s="191"/>
      <c r="AB610" s="193"/>
      <c r="AC610" s="193"/>
      <c r="AD610" s="191"/>
      <c r="AE610" s="194"/>
      <c r="AF610" s="194"/>
      <c r="AG610" s="194"/>
      <c r="AH610" s="194"/>
      <c r="AI610" s="190"/>
    </row>
    <row r="611" ht="16.5" customHeight="1">
      <c r="A611" s="190"/>
      <c r="B611" s="191"/>
      <c r="C611" s="191"/>
      <c r="D611" s="191"/>
      <c r="E611" s="192"/>
      <c r="F611" s="192"/>
      <c r="G611" s="192"/>
      <c r="H611" s="192"/>
      <c r="I611" s="192"/>
      <c r="J611" s="193"/>
      <c r="K611" s="192"/>
      <c r="L611" s="190"/>
      <c r="M611" s="194"/>
      <c r="N611" s="194"/>
      <c r="O611" s="194"/>
      <c r="P611" s="194"/>
      <c r="Q611" s="194"/>
      <c r="R611" s="194"/>
      <c r="S611" s="195"/>
      <c r="T611" s="195"/>
      <c r="U611" s="195"/>
      <c r="V611" s="191"/>
      <c r="W611" s="192"/>
      <c r="X611" s="192"/>
      <c r="Y611" s="192"/>
      <c r="Z611" s="191"/>
      <c r="AA611" s="191"/>
      <c r="AB611" s="193"/>
      <c r="AC611" s="193"/>
      <c r="AD611" s="191"/>
      <c r="AE611" s="194"/>
      <c r="AF611" s="194"/>
      <c r="AG611" s="194"/>
      <c r="AH611" s="194"/>
      <c r="AI611" s="190"/>
    </row>
    <row r="612" ht="16.5" customHeight="1">
      <c r="A612" s="190"/>
      <c r="B612" s="191"/>
      <c r="C612" s="191"/>
      <c r="D612" s="191"/>
      <c r="E612" s="192"/>
      <c r="F612" s="192"/>
      <c r="G612" s="192"/>
      <c r="H612" s="192"/>
      <c r="I612" s="192"/>
      <c r="J612" s="193"/>
      <c r="K612" s="192"/>
      <c r="L612" s="190"/>
      <c r="M612" s="194"/>
      <c r="N612" s="194"/>
      <c r="O612" s="194"/>
      <c r="P612" s="194"/>
      <c r="Q612" s="194"/>
      <c r="R612" s="194"/>
      <c r="S612" s="195"/>
      <c r="T612" s="195"/>
      <c r="U612" s="195"/>
      <c r="V612" s="191"/>
      <c r="W612" s="192"/>
      <c r="X612" s="192"/>
      <c r="Y612" s="192"/>
      <c r="Z612" s="191"/>
      <c r="AA612" s="191"/>
      <c r="AB612" s="193"/>
      <c r="AC612" s="193"/>
      <c r="AD612" s="191"/>
      <c r="AE612" s="194"/>
      <c r="AF612" s="194"/>
      <c r="AG612" s="194"/>
      <c r="AH612" s="194"/>
      <c r="AI612" s="190"/>
    </row>
    <row r="613" ht="16.5" customHeight="1">
      <c r="A613" s="190"/>
      <c r="B613" s="191"/>
      <c r="C613" s="191"/>
      <c r="D613" s="191"/>
      <c r="E613" s="192"/>
      <c r="F613" s="192"/>
      <c r="G613" s="192"/>
      <c r="H613" s="192"/>
      <c r="I613" s="192"/>
      <c r="J613" s="193"/>
      <c r="K613" s="192"/>
      <c r="L613" s="190"/>
      <c r="M613" s="194"/>
      <c r="N613" s="194"/>
      <c r="O613" s="194"/>
      <c r="P613" s="194"/>
      <c r="Q613" s="194"/>
      <c r="R613" s="194"/>
      <c r="S613" s="195"/>
      <c r="T613" s="195"/>
      <c r="U613" s="195"/>
      <c r="V613" s="191"/>
      <c r="W613" s="192"/>
      <c r="X613" s="192"/>
      <c r="Y613" s="192"/>
      <c r="Z613" s="191"/>
      <c r="AA613" s="191"/>
      <c r="AB613" s="193"/>
      <c r="AC613" s="193"/>
      <c r="AD613" s="191"/>
      <c r="AE613" s="194"/>
      <c r="AF613" s="194"/>
      <c r="AG613" s="194"/>
      <c r="AH613" s="194"/>
      <c r="AI613" s="190"/>
    </row>
    <row r="614" ht="16.5" customHeight="1">
      <c r="A614" s="190"/>
      <c r="B614" s="191"/>
      <c r="C614" s="191"/>
      <c r="D614" s="191"/>
      <c r="E614" s="192"/>
      <c r="F614" s="192"/>
      <c r="G614" s="192"/>
      <c r="H614" s="192"/>
      <c r="I614" s="192"/>
      <c r="J614" s="193"/>
      <c r="K614" s="192"/>
      <c r="L614" s="190"/>
      <c r="M614" s="194"/>
      <c r="N614" s="194"/>
      <c r="O614" s="194"/>
      <c r="P614" s="194"/>
      <c r="Q614" s="194"/>
      <c r="R614" s="194"/>
      <c r="S614" s="195"/>
      <c r="T614" s="195"/>
      <c r="U614" s="195"/>
      <c r="V614" s="191"/>
      <c r="W614" s="192"/>
      <c r="X614" s="192"/>
      <c r="Y614" s="192"/>
      <c r="Z614" s="191"/>
      <c r="AA614" s="191"/>
      <c r="AB614" s="193"/>
      <c r="AC614" s="193"/>
      <c r="AD614" s="191"/>
      <c r="AE614" s="194"/>
      <c r="AF614" s="194"/>
      <c r="AG614" s="194"/>
      <c r="AH614" s="194"/>
      <c r="AI614" s="190"/>
    </row>
    <row r="615" ht="16.5" customHeight="1">
      <c r="A615" s="190"/>
      <c r="B615" s="191"/>
      <c r="C615" s="191"/>
      <c r="D615" s="191"/>
      <c r="E615" s="192"/>
      <c r="F615" s="192"/>
      <c r="G615" s="192"/>
      <c r="H615" s="192"/>
      <c r="I615" s="192"/>
      <c r="J615" s="193"/>
      <c r="K615" s="192"/>
      <c r="L615" s="190"/>
      <c r="M615" s="194"/>
      <c r="N615" s="194"/>
      <c r="O615" s="194"/>
      <c r="P615" s="194"/>
      <c r="Q615" s="194"/>
      <c r="R615" s="194"/>
      <c r="S615" s="195"/>
      <c r="T615" s="195"/>
      <c r="U615" s="195"/>
      <c r="V615" s="191"/>
      <c r="W615" s="192"/>
      <c r="X615" s="192"/>
      <c r="Y615" s="192"/>
      <c r="Z615" s="191"/>
      <c r="AA615" s="191"/>
      <c r="AB615" s="193"/>
      <c r="AC615" s="193"/>
      <c r="AD615" s="191"/>
      <c r="AE615" s="194"/>
      <c r="AF615" s="194"/>
      <c r="AG615" s="194"/>
      <c r="AH615" s="194"/>
      <c r="AI615" s="190"/>
    </row>
    <row r="616" ht="16.5" customHeight="1">
      <c r="A616" s="190"/>
      <c r="B616" s="191"/>
      <c r="C616" s="191"/>
      <c r="D616" s="191"/>
      <c r="E616" s="192"/>
      <c r="F616" s="192"/>
      <c r="G616" s="192"/>
      <c r="H616" s="192"/>
      <c r="I616" s="192"/>
      <c r="J616" s="193"/>
      <c r="K616" s="192"/>
      <c r="L616" s="190"/>
      <c r="M616" s="194"/>
      <c r="N616" s="194"/>
      <c r="O616" s="194"/>
      <c r="P616" s="194"/>
      <c r="Q616" s="194"/>
      <c r="R616" s="194"/>
      <c r="S616" s="195"/>
      <c r="T616" s="195"/>
      <c r="U616" s="195"/>
      <c r="V616" s="191"/>
      <c r="W616" s="192"/>
      <c r="X616" s="192"/>
      <c r="Y616" s="192"/>
      <c r="Z616" s="191"/>
      <c r="AA616" s="191"/>
      <c r="AB616" s="193"/>
      <c r="AC616" s="193"/>
      <c r="AD616" s="191"/>
      <c r="AE616" s="194"/>
      <c r="AF616" s="194"/>
      <c r="AG616" s="194"/>
      <c r="AH616" s="194"/>
      <c r="AI616" s="190"/>
    </row>
    <row r="617" ht="16.5" customHeight="1">
      <c r="A617" s="190"/>
      <c r="B617" s="191"/>
      <c r="C617" s="191"/>
      <c r="D617" s="191"/>
      <c r="E617" s="192"/>
      <c r="F617" s="192"/>
      <c r="G617" s="192"/>
      <c r="H617" s="192"/>
      <c r="I617" s="192"/>
      <c r="J617" s="193"/>
      <c r="K617" s="192"/>
      <c r="L617" s="190"/>
      <c r="M617" s="194"/>
      <c r="N617" s="194"/>
      <c r="O617" s="194"/>
      <c r="P617" s="194"/>
      <c r="Q617" s="194"/>
      <c r="R617" s="194"/>
      <c r="S617" s="195"/>
      <c r="T617" s="195"/>
      <c r="U617" s="195"/>
      <c r="V617" s="191"/>
      <c r="W617" s="192"/>
      <c r="X617" s="192"/>
      <c r="Y617" s="192"/>
      <c r="Z617" s="191"/>
      <c r="AA617" s="191"/>
      <c r="AB617" s="193"/>
      <c r="AC617" s="193"/>
      <c r="AD617" s="191"/>
      <c r="AE617" s="194"/>
      <c r="AF617" s="194"/>
      <c r="AG617" s="194"/>
      <c r="AH617" s="194"/>
      <c r="AI617" s="190"/>
    </row>
    <row r="618" ht="16.5" customHeight="1">
      <c r="A618" s="190"/>
      <c r="B618" s="191"/>
      <c r="C618" s="191"/>
      <c r="D618" s="191"/>
      <c r="E618" s="192"/>
      <c r="F618" s="192"/>
      <c r="G618" s="192"/>
      <c r="H618" s="192"/>
      <c r="I618" s="192"/>
      <c r="J618" s="193"/>
      <c r="K618" s="192"/>
      <c r="L618" s="190"/>
      <c r="M618" s="194"/>
      <c r="N618" s="194"/>
      <c r="O618" s="194"/>
      <c r="P618" s="194"/>
      <c r="Q618" s="194"/>
      <c r="R618" s="194"/>
      <c r="S618" s="195"/>
      <c r="T618" s="195"/>
      <c r="U618" s="195"/>
      <c r="V618" s="191"/>
      <c r="W618" s="192"/>
      <c r="X618" s="192"/>
      <c r="Y618" s="192"/>
      <c r="Z618" s="191"/>
      <c r="AA618" s="191"/>
      <c r="AB618" s="193"/>
      <c r="AC618" s="193"/>
      <c r="AD618" s="191"/>
      <c r="AE618" s="194"/>
      <c r="AF618" s="194"/>
      <c r="AG618" s="194"/>
      <c r="AH618" s="194"/>
      <c r="AI618" s="190"/>
    </row>
    <row r="619" ht="16.5" customHeight="1">
      <c r="A619" s="190"/>
      <c r="B619" s="191"/>
      <c r="C619" s="191"/>
      <c r="D619" s="191"/>
      <c r="E619" s="192"/>
      <c r="F619" s="192"/>
      <c r="G619" s="192"/>
      <c r="H619" s="192"/>
      <c r="I619" s="192"/>
      <c r="J619" s="193"/>
      <c r="K619" s="192"/>
      <c r="L619" s="190"/>
      <c r="M619" s="194"/>
      <c r="N619" s="194"/>
      <c r="O619" s="194"/>
      <c r="P619" s="194"/>
      <c r="Q619" s="194"/>
      <c r="R619" s="194"/>
      <c r="S619" s="195"/>
      <c r="T619" s="195"/>
      <c r="U619" s="195"/>
      <c r="V619" s="191"/>
      <c r="W619" s="192"/>
      <c r="X619" s="192"/>
      <c r="Y619" s="192"/>
      <c r="Z619" s="191"/>
      <c r="AA619" s="191"/>
      <c r="AB619" s="193"/>
      <c r="AC619" s="193"/>
      <c r="AD619" s="191"/>
      <c r="AE619" s="194"/>
      <c r="AF619" s="194"/>
      <c r="AG619" s="194"/>
      <c r="AH619" s="194"/>
      <c r="AI619" s="190"/>
    </row>
    <row r="620" ht="16.5" customHeight="1">
      <c r="A620" s="190"/>
      <c r="B620" s="191"/>
      <c r="C620" s="191"/>
      <c r="D620" s="191"/>
      <c r="E620" s="192"/>
      <c r="F620" s="192"/>
      <c r="G620" s="192"/>
      <c r="H620" s="192"/>
      <c r="I620" s="192"/>
      <c r="J620" s="193"/>
      <c r="K620" s="192"/>
      <c r="L620" s="190"/>
      <c r="M620" s="194"/>
      <c r="N620" s="194"/>
      <c r="O620" s="194"/>
      <c r="P620" s="194"/>
      <c r="Q620" s="194"/>
      <c r="R620" s="194"/>
      <c r="S620" s="195"/>
      <c r="T620" s="195"/>
      <c r="U620" s="195"/>
      <c r="V620" s="191"/>
      <c r="W620" s="192"/>
      <c r="X620" s="192"/>
      <c r="Y620" s="192"/>
      <c r="Z620" s="191"/>
      <c r="AA620" s="191"/>
      <c r="AB620" s="193"/>
      <c r="AC620" s="193"/>
      <c r="AD620" s="191"/>
      <c r="AE620" s="194"/>
      <c r="AF620" s="194"/>
      <c r="AG620" s="194"/>
      <c r="AH620" s="194"/>
      <c r="AI620" s="190"/>
    </row>
    <row r="621" ht="16.5" customHeight="1">
      <c r="A621" s="190"/>
      <c r="B621" s="191"/>
      <c r="C621" s="191"/>
      <c r="D621" s="191"/>
      <c r="E621" s="192"/>
      <c r="F621" s="192"/>
      <c r="G621" s="192"/>
      <c r="H621" s="192"/>
      <c r="I621" s="192"/>
      <c r="J621" s="193"/>
      <c r="K621" s="192"/>
      <c r="L621" s="190"/>
      <c r="M621" s="194"/>
      <c r="N621" s="194"/>
      <c r="O621" s="194"/>
      <c r="P621" s="194"/>
      <c r="Q621" s="194"/>
      <c r="R621" s="194"/>
      <c r="S621" s="195"/>
      <c r="T621" s="195"/>
      <c r="U621" s="195"/>
      <c r="V621" s="191"/>
      <c r="W621" s="192"/>
      <c r="X621" s="192"/>
      <c r="Y621" s="192"/>
      <c r="Z621" s="191"/>
      <c r="AA621" s="191"/>
      <c r="AB621" s="193"/>
      <c r="AC621" s="193"/>
      <c r="AD621" s="191"/>
      <c r="AE621" s="194"/>
      <c r="AF621" s="194"/>
      <c r="AG621" s="194"/>
      <c r="AH621" s="194"/>
      <c r="AI621" s="190"/>
    </row>
    <row r="622" ht="16.5" customHeight="1">
      <c r="A622" s="190"/>
      <c r="B622" s="191"/>
      <c r="C622" s="191"/>
      <c r="D622" s="191"/>
      <c r="E622" s="192"/>
      <c r="F622" s="192"/>
      <c r="G622" s="192"/>
      <c r="H622" s="192"/>
      <c r="I622" s="192"/>
      <c r="J622" s="193"/>
      <c r="K622" s="192"/>
      <c r="L622" s="190"/>
      <c r="M622" s="194"/>
      <c r="N622" s="194"/>
      <c r="O622" s="194"/>
      <c r="P622" s="194"/>
      <c r="Q622" s="194"/>
      <c r="R622" s="194"/>
      <c r="S622" s="195"/>
      <c r="T622" s="195"/>
      <c r="U622" s="195"/>
      <c r="V622" s="191"/>
      <c r="W622" s="192"/>
      <c r="X622" s="192"/>
      <c r="Y622" s="192"/>
      <c r="Z622" s="191"/>
      <c r="AA622" s="191"/>
      <c r="AB622" s="193"/>
      <c r="AC622" s="193"/>
      <c r="AD622" s="191"/>
      <c r="AE622" s="194"/>
      <c r="AF622" s="194"/>
      <c r="AG622" s="194"/>
      <c r="AH622" s="194"/>
      <c r="AI622" s="190"/>
    </row>
    <row r="623" ht="16.5" customHeight="1">
      <c r="A623" s="190"/>
      <c r="B623" s="191"/>
      <c r="C623" s="191"/>
      <c r="D623" s="191"/>
      <c r="E623" s="192"/>
      <c r="F623" s="192"/>
      <c r="G623" s="192"/>
      <c r="H623" s="192"/>
      <c r="I623" s="192"/>
      <c r="J623" s="193"/>
      <c r="K623" s="192"/>
      <c r="L623" s="190"/>
      <c r="M623" s="194"/>
      <c r="N623" s="194"/>
      <c r="O623" s="194"/>
      <c r="P623" s="194"/>
      <c r="Q623" s="194"/>
      <c r="R623" s="194"/>
      <c r="S623" s="195"/>
      <c r="T623" s="195"/>
      <c r="U623" s="195"/>
      <c r="V623" s="191"/>
      <c r="W623" s="192"/>
      <c r="X623" s="192"/>
      <c r="Y623" s="192"/>
      <c r="Z623" s="191"/>
      <c r="AA623" s="191"/>
      <c r="AB623" s="193"/>
      <c r="AC623" s="193"/>
      <c r="AD623" s="191"/>
      <c r="AE623" s="194"/>
      <c r="AF623" s="194"/>
      <c r="AG623" s="194"/>
      <c r="AH623" s="194"/>
      <c r="AI623" s="190"/>
    </row>
    <row r="624" ht="16.5" customHeight="1">
      <c r="A624" s="190"/>
      <c r="B624" s="191"/>
      <c r="C624" s="191"/>
      <c r="D624" s="191"/>
      <c r="E624" s="192"/>
      <c r="F624" s="192"/>
      <c r="G624" s="192"/>
      <c r="H624" s="192"/>
      <c r="I624" s="192"/>
      <c r="J624" s="193"/>
      <c r="K624" s="192"/>
      <c r="L624" s="190"/>
      <c r="M624" s="194"/>
      <c r="N624" s="194"/>
      <c r="O624" s="194"/>
      <c r="P624" s="194"/>
      <c r="Q624" s="194"/>
      <c r="R624" s="194"/>
      <c r="S624" s="195"/>
      <c r="T624" s="195"/>
      <c r="U624" s="195"/>
      <c r="V624" s="191"/>
      <c r="W624" s="192"/>
      <c r="X624" s="192"/>
      <c r="Y624" s="192"/>
      <c r="Z624" s="191"/>
      <c r="AA624" s="191"/>
      <c r="AB624" s="193"/>
      <c r="AC624" s="193"/>
      <c r="AD624" s="191"/>
      <c r="AE624" s="194"/>
      <c r="AF624" s="194"/>
      <c r="AG624" s="194"/>
      <c r="AH624" s="194"/>
      <c r="AI624" s="190"/>
    </row>
    <row r="625" ht="16.5" customHeight="1">
      <c r="A625" s="190"/>
      <c r="B625" s="191"/>
      <c r="C625" s="191"/>
      <c r="D625" s="191"/>
      <c r="E625" s="192"/>
      <c r="F625" s="192"/>
      <c r="G625" s="192"/>
      <c r="H625" s="192"/>
      <c r="I625" s="192"/>
      <c r="J625" s="193"/>
      <c r="K625" s="192"/>
      <c r="L625" s="190"/>
      <c r="M625" s="194"/>
      <c r="N625" s="194"/>
      <c r="O625" s="194"/>
      <c r="P625" s="194"/>
      <c r="Q625" s="194"/>
      <c r="R625" s="194"/>
      <c r="S625" s="195"/>
      <c r="T625" s="195"/>
      <c r="U625" s="195"/>
      <c r="V625" s="191"/>
      <c r="W625" s="192"/>
      <c r="X625" s="192"/>
      <c r="Y625" s="192"/>
      <c r="Z625" s="191"/>
      <c r="AA625" s="191"/>
      <c r="AB625" s="193"/>
      <c r="AC625" s="193"/>
      <c r="AD625" s="191"/>
      <c r="AE625" s="194"/>
      <c r="AF625" s="194"/>
      <c r="AG625" s="194"/>
      <c r="AH625" s="194"/>
      <c r="AI625" s="190"/>
    </row>
    <row r="626" ht="16.5" customHeight="1">
      <c r="A626" s="190"/>
      <c r="B626" s="191"/>
      <c r="C626" s="191"/>
      <c r="D626" s="191"/>
      <c r="E626" s="192"/>
      <c r="F626" s="192"/>
      <c r="G626" s="192"/>
      <c r="H626" s="192"/>
      <c r="I626" s="192"/>
      <c r="J626" s="193"/>
      <c r="K626" s="192"/>
      <c r="L626" s="190"/>
      <c r="M626" s="194"/>
      <c r="N626" s="194"/>
      <c r="O626" s="194"/>
      <c r="P626" s="194"/>
      <c r="Q626" s="194"/>
      <c r="R626" s="194"/>
      <c r="S626" s="195"/>
      <c r="T626" s="195"/>
      <c r="U626" s="195"/>
      <c r="V626" s="191"/>
      <c r="W626" s="192"/>
      <c r="X626" s="192"/>
      <c r="Y626" s="192"/>
      <c r="Z626" s="191"/>
      <c r="AA626" s="191"/>
      <c r="AB626" s="193"/>
      <c r="AC626" s="193"/>
      <c r="AD626" s="191"/>
      <c r="AE626" s="194"/>
      <c r="AF626" s="194"/>
      <c r="AG626" s="194"/>
      <c r="AH626" s="194"/>
      <c r="AI626" s="190"/>
    </row>
    <row r="627" ht="16.5" customHeight="1">
      <c r="A627" s="190"/>
      <c r="B627" s="191"/>
      <c r="C627" s="191"/>
      <c r="D627" s="191"/>
      <c r="E627" s="192"/>
      <c r="F627" s="192"/>
      <c r="G627" s="192"/>
      <c r="H627" s="192"/>
      <c r="I627" s="192"/>
      <c r="J627" s="193"/>
      <c r="K627" s="192"/>
      <c r="L627" s="190"/>
      <c r="M627" s="194"/>
      <c r="N627" s="194"/>
      <c r="O627" s="194"/>
      <c r="P627" s="194"/>
      <c r="Q627" s="194"/>
      <c r="R627" s="194"/>
      <c r="S627" s="195"/>
      <c r="T627" s="195"/>
      <c r="U627" s="195"/>
      <c r="V627" s="191"/>
      <c r="W627" s="192"/>
      <c r="X627" s="192"/>
      <c r="Y627" s="192"/>
      <c r="Z627" s="191"/>
      <c r="AA627" s="191"/>
      <c r="AB627" s="193"/>
      <c r="AC627" s="193"/>
      <c r="AD627" s="191"/>
      <c r="AE627" s="194"/>
      <c r="AF627" s="194"/>
      <c r="AG627" s="194"/>
      <c r="AH627" s="194"/>
      <c r="AI627" s="190"/>
    </row>
    <row r="628" ht="16.5" customHeight="1">
      <c r="A628" s="190"/>
      <c r="B628" s="191"/>
      <c r="C628" s="191"/>
      <c r="D628" s="191"/>
      <c r="E628" s="192"/>
      <c r="F628" s="192"/>
      <c r="G628" s="192"/>
      <c r="H628" s="192"/>
      <c r="I628" s="192"/>
      <c r="J628" s="193"/>
      <c r="K628" s="192"/>
      <c r="L628" s="190"/>
      <c r="M628" s="194"/>
      <c r="N628" s="194"/>
      <c r="O628" s="194"/>
      <c r="P628" s="194"/>
      <c r="Q628" s="194"/>
      <c r="R628" s="194"/>
      <c r="S628" s="195"/>
      <c r="T628" s="195"/>
      <c r="U628" s="195"/>
      <c r="V628" s="191"/>
      <c r="W628" s="192"/>
      <c r="X628" s="192"/>
      <c r="Y628" s="192"/>
      <c r="Z628" s="191"/>
      <c r="AA628" s="191"/>
      <c r="AB628" s="193"/>
      <c r="AC628" s="193"/>
      <c r="AD628" s="191"/>
      <c r="AE628" s="194"/>
      <c r="AF628" s="194"/>
      <c r="AG628" s="194"/>
      <c r="AH628" s="194"/>
      <c r="AI628" s="190"/>
    </row>
    <row r="629" ht="16.5" customHeight="1">
      <c r="A629" s="190"/>
      <c r="B629" s="191"/>
      <c r="C629" s="191"/>
      <c r="D629" s="191"/>
      <c r="E629" s="192"/>
      <c r="F629" s="192"/>
      <c r="G629" s="192"/>
      <c r="H629" s="192"/>
      <c r="I629" s="192"/>
      <c r="J629" s="193"/>
      <c r="K629" s="192"/>
      <c r="L629" s="190"/>
      <c r="M629" s="194"/>
      <c r="N629" s="194"/>
      <c r="O629" s="194"/>
      <c r="P629" s="194"/>
      <c r="Q629" s="194"/>
      <c r="R629" s="194"/>
      <c r="S629" s="195"/>
      <c r="T629" s="195"/>
      <c r="U629" s="195"/>
      <c r="V629" s="191"/>
      <c r="W629" s="192"/>
      <c r="X629" s="192"/>
      <c r="Y629" s="192"/>
      <c r="Z629" s="191"/>
      <c r="AA629" s="191"/>
      <c r="AB629" s="193"/>
      <c r="AC629" s="193"/>
      <c r="AD629" s="191"/>
      <c r="AE629" s="194"/>
      <c r="AF629" s="194"/>
      <c r="AG629" s="194"/>
      <c r="AH629" s="194"/>
      <c r="AI629" s="190"/>
    </row>
    <row r="630" ht="16.5" customHeight="1">
      <c r="A630" s="190"/>
      <c r="B630" s="191"/>
      <c r="C630" s="191"/>
      <c r="D630" s="191"/>
      <c r="E630" s="192"/>
      <c r="F630" s="192"/>
      <c r="G630" s="192"/>
      <c r="H630" s="192"/>
      <c r="I630" s="192"/>
      <c r="J630" s="193"/>
      <c r="K630" s="192"/>
      <c r="L630" s="190"/>
      <c r="M630" s="194"/>
      <c r="N630" s="194"/>
      <c r="O630" s="194"/>
      <c r="P630" s="194"/>
      <c r="Q630" s="194"/>
      <c r="R630" s="194"/>
      <c r="S630" s="195"/>
      <c r="T630" s="195"/>
      <c r="U630" s="195"/>
      <c r="V630" s="191"/>
      <c r="W630" s="192"/>
      <c r="X630" s="192"/>
      <c r="Y630" s="192"/>
      <c r="Z630" s="191"/>
      <c r="AA630" s="191"/>
      <c r="AB630" s="193"/>
      <c r="AC630" s="193"/>
      <c r="AD630" s="191"/>
      <c r="AE630" s="194"/>
      <c r="AF630" s="194"/>
      <c r="AG630" s="194"/>
      <c r="AH630" s="194"/>
      <c r="AI630" s="190"/>
    </row>
    <row r="631" ht="16.5" customHeight="1">
      <c r="A631" s="190"/>
      <c r="B631" s="191"/>
      <c r="C631" s="191"/>
      <c r="D631" s="191"/>
      <c r="E631" s="192"/>
      <c r="F631" s="192"/>
      <c r="G631" s="192"/>
      <c r="H631" s="192"/>
      <c r="I631" s="192"/>
      <c r="J631" s="193"/>
      <c r="K631" s="192"/>
      <c r="L631" s="190"/>
      <c r="M631" s="194"/>
      <c r="N631" s="194"/>
      <c r="O631" s="194"/>
      <c r="P631" s="194"/>
      <c r="Q631" s="194"/>
      <c r="R631" s="194"/>
      <c r="S631" s="195"/>
      <c r="T631" s="195"/>
      <c r="U631" s="195"/>
      <c r="V631" s="191"/>
      <c r="W631" s="192"/>
      <c r="X631" s="192"/>
      <c r="Y631" s="192"/>
      <c r="Z631" s="191"/>
      <c r="AA631" s="191"/>
      <c r="AB631" s="193"/>
      <c r="AC631" s="193"/>
      <c r="AD631" s="191"/>
      <c r="AE631" s="194"/>
      <c r="AF631" s="194"/>
      <c r="AG631" s="194"/>
      <c r="AH631" s="194"/>
      <c r="AI631" s="190"/>
    </row>
    <row r="632" ht="16.5" customHeight="1">
      <c r="A632" s="190"/>
      <c r="B632" s="191"/>
      <c r="C632" s="191"/>
      <c r="D632" s="191"/>
      <c r="E632" s="192"/>
      <c r="F632" s="192"/>
      <c r="G632" s="192"/>
      <c r="H632" s="192"/>
      <c r="I632" s="192"/>
      <c r="J632" s="193"/>
      <c r="K632" s="192"/>
      <c r="L632" s="190"/>
      <c r="M632" s="194"/>
      <c r="N632" s="194"/>
      <c r="O632" s="194"/>
      <c r="P632" s="194"/>
      <c r="Q632" s="194"/>
      <c r="R632" s="194"/>
      <c r="S632" s="195"/>
      <c r="T632" s="195"/>
      <c r="U632" s="195"/>
      <c r="V632" s="191"/>
      <c r="W632" s="192"/>
      <c r="X632" s="192"/>
      <c r="Y632" s="192"/>
      <c r="Z632" s="191"/>
      <c r="AA632" s="191"/>
      <c r="AB632" s="193"/>
      <c r="AC632" s="193"/>
      <c r="AD632" s="191"/>
      <c r="AE632" s="194"/>
      <c r="AF632" s="194"/>
      <c r="AG632" s="194"/>
      <c r="AH632" s="194"/>
      <c r="AI632" s="190"/>
    </row>
    <row r="633" ht="16.5" customHeight="1">
      <c r="A633" s="190"/>
      <c r="B633" s="191"/>
      <c r="C633" s="191"/>
      <c r="D633" s="191"/>
      <c r="E633" s="192"/>
      <c r="F633" s="192"/>
      <c r="G633" s="192"/>
      <c r="H633" s="192"/>
      <c r="I633" s="192"/>
      <c r="J633" s="193"/>
      <c r="K633" s="192"/>
      <c r="L633" s="190"/>
      <c r="M633" s="194"/>
      <c r="N633" s="194"/>
      <c r="O633" s="194"/>
      <c r="P633" s="194"/>
      <c r="Q633" s="194"/>
      <c r="R633" s="194"/>
      <c r="S633" s="195"/>
      <c r="T633" s="195"/>
      <c r="U633" s="195"/>
      <c r="V633" s="191"/>
      <c r="W633" s="192"/>
      <c r="X633" s="192"/>
      <c r="Y633" s="192"/>
      <c r="Z633" s="191"/>
      <c r="AA633" s="191"/>
      <c r="AB633" s="193"/>
      <c r="AC633" s="193"/>
      <c r="AD633" s="191"/>
      <c r="AE633" s="194"/>
      <c r="AF633" s="194"/>
      <c r="AG633" s="194"/>
      <c r="AH633" s="194"/>
      <c r="AI633" s="190"/>
    </row>
    <row r="634" ht="16.5" customHeight="1">
      <c r="A634" s="190"/>
      <c r="B634" s="191"/>
      <c r="C634" s="191"/>
      <c r="D634" s="191"/>
      <c r="E634" s="192"/>
      <c r="F634" s="192"/>
      <c r="G634" s="192"/>
      <c r="H634" s="192"/>
      <c r="I634" s="192"/>
      <c r="J634" s="193"/>
      <c r="K634" s="192"/>
      <c r="L634" s="190"/>
      <c r="M634" s="194"/>
      <c r="N634" s="194"/>
      <c r="O634" s="194"/>
      <c r="P634" s="194"/>
      <c r="Q634" s="194"/>
      <c r="R634" s="194"/>
      <c r="S634" s="195"/>
      <c r="T634" s="195"/>
      <c r="U634" s="195"/>
      <c r="V634" s="191"/>
      <c r="W634" s="192"/>
      <c r="X634" s="192"/>
      <c r="Y634" s="192"/>
      <c r="Z634" s="191"/>
      <c r="AA634" s="191"/>
      <c r="AB634" s="193"/>
      <c r="AC634" s="193"/>
      <c r="AD634" s="191"/>
      <c r="AE634" s="194"/>
      <c r="AF634" s="194"/>
      <c r="AG634" s="194"/>
      <c r="AH634" s="194"/>
      <c r="AI634" s="190"/>
    </row>
    <row r="635" ht="16.5" customHeight="1">
      <c r="A635" s="190"/>
      <c r="B635" s="191"/>
      <c r="C635" s="191"/>
      <c r="D635" s="191"/>
      <c r="E635" s="192"/>
      <c r="F635" s="192"/>
      <c r="G635" s="192"/>
      <c r="H635" s="192"/>
      <c r="I635" s="192"/>
      <c r="J635" s="193"/>
      <c r="K635" s="192"/>
      <c r="L635" s="190"/>
      <c r="M635" s="194"/>
      <c r="N635" s="194"/>
      <c r="O635" s="194"/>
      <c r="P635" s="194"/>
      <c r="Q635" s="194"/>
      <c r="R635" s="194"/>
      <c r="S635" s="195"/>
      <c r="T635" s="195"/>
      <c r="U635" s="195"/>
      <c r="V635" s="191"/>
      <c r="W635" s="192"/>
      <c r="X635" s="192"/>
      <c r="Y635" s="192"/>
      <c r="Z635" s="191"/>
      <c r="AA635" s="191"/>
      <c r="AB635" s="193"/>
      <c r="AC635" s="193"/>
      <c r="AD635" s="191"/>
      <c r="AE635" s="194"/>
      <c r="AF635" s="194"/>
      <c r="AG635" s="194"/>
      <c r="AH635" s="194"/>
      <c r="AI635" s="190"/>
    </row>
    <row r="636" ht="16.5" customHeight="1">
      <c r="A636" s="190"/>
      <c r="B636" s="191"/>
      <c r="C636" s="191"/>
      <c r="D636" s="191"/>
      <c r="E636" s="192"/>
      <c r="F636" s="192"/>
      <c r="G636" s="192"/>
      <c r="H636" s="192"/>
      <c r="I636" s="192"/>
      <c r="J636" s="193"/>
      <c r="K636" s="192"/>
      <c r="L636" s="190"/>
      <c r="M636" s="194"/>
      <c r="N636" s="194"/>
      <c r="O636" s="194"/>
      <c r="P636" s="194"/>
      <c r="Q636" s="194"/>
      <c r="R636" s="194"/>
      <c r="S636" s="195"/>
      <c r="T636" s="195"/>
      <c r="U636" s="195"/>
      <c r="V636" s="191"/>
      <c r="W636" s="192"/>
      <c r="X636" s="192"/>
      <c r="Y636" s="192"/>
      <c r="Z636" s="191"/>
      <c r="AA636" s="191"/>
      <c r="AB636" s="193"/>
      <c r="AC636" s="193"/>
      <c r="AD636" s="191"/>
      <c r="AE636" s="194"/>
      <c r="AF636" s="194"/>
      <c r="AG636" s="194"/>
      <c r="AH636" s="194"/>
      <c r="AI636" s="190"/>
    </row>
    <row r="637" ht="16.5" customHeight="1">
      <c r="A637" s="190"/>
      <c r="B637" s="191"/>
      <c r="C637" s="191"/>
      <c r="D637" s="191"/>
      <c r="E637" s="192"/>
      <c r="F637" s="192"/>
      <c r="G637" s="192"/>
      <c r="H637" s="192"/>
      <c r="I637" s="192"/>
      <c r="J637" s="193"/>
      <c r="K637" s="192"/>
      <c r="L637" s="190"/>
      <c r="M637" s="194"/>
      <c r="N637" s="194"/>
      <c r="O637" s="194"/>
      <c r="P637" s="194"/>
      <c r="Q637" s="194"/>
      <c r="R637" s="194"/>
      <c r="S637" s="195"/>
      <c r="T637" s="195"/>
      <c r="U637" s="195"/>
      <c r="V637" s="191"/>
      <c r="W637" s="192"/>
      <c r="X637" s="192"/>
      <c r="Y637" s="192"/>
      <c r="Z637" s="191"/>
      <c r="AA637" s="191"/>
      <c r="AB637" s="193"/>
      <c r="AC637" s="193"/>
      <c r="AD637" s="191"/>
      <c r="AE637" s="194"/>
      <c r="AF637" s="194"/>
      <c r="AG637" s="194"/>
      <c r="AH637" s="194"/>
      <c r="AI637" s="190"/>
    </row>
    <row r="638" ht="16.5" customHeight="1">
      <c r="A638" s="190"/>
      <c r="B638" s="191"/>
      <c r="C638" s="191"/>
      <c r="D638" s="191"/>
      <c r="E638" s="192"/>
      <c r="F638" s="192"/>
      <c r="G638" s="192"/>
      <c r="H638" s="192"/>
      <c r="I638" s="192"/>
      <c r="J638" s="193"/>
      <c r="K638" s="192"/>
      <c r="L638" s="190"/>
      <c r="M638" s="194"/>
      <c r="N638" s="194"/>
      <c r="O638" s="194"/>
      <c r="P638" s="194"/>
      <c r="Q638" s="194"/>
      <c r="R638" s="194"/>
      <c r="S638" s="195"/>
      <c r="T638" s="195"/>
      <c r="U638" s="195"/>
      <c r="V638" s="191"/>
      <c r="W638" s="192"/>
      <c r="X638" s="192"/>
      <c r="Y638" s="192"/>
      <c r="Z638" s="191"/>
      <c r="AA638" s="191"/>
      <c r="AB638" s="193"/>
      <c r="AC638" s="193"/>
      <c r="AD638" s="191"/>
      <c r="AE638" s="194"/>
      <c r="AF638" s="194"/>
      <c r="AG638" s="194"/>
      <c r="AH638" s="194"/>
      <c r="AI638" s="190"/>
    </row>
    <row r="639" ht="16.5" customHeight="1">
      <c r="A639" s="190"/>
      <c r="B639" s="191"/>
      <c r="C639" s="191"/>
      <c r="D639" s="191"/>
      <c r="E639" s="192"/>
      <c r="F639" s="192"/>
      <c r="G639" s="192"/>
      <c r="H639" s="192"/>
      <c r="I639" s="192"/>
      <c r="J639" s="193"/>
      <c r="K639" s="192"/>
      <c r="L639" s="190"/>
      <c r="M639" s="194"/>
      <c r="N639" s="194"/>
      <c r="O639" s="194"/>
      <c r="P639" s="194"/>
      <c r="Q639" s="194"/>
      <c r="R639" s="194"/>
      <c r="S639" s="195"/>
      <c r="T639" s="195"/>
      <c r="U639" s="195"/>
      <c r="V639" s="191"/>
      <c r="W639" s="192"/>
      <c r="X639" s="192"/>
      <c r="Y639" s="192"/>
      <c r="Z639" s="191"/>
      <c r="AA639" s="191"/>
      <c r="AB639" s="193"/>
      <c r="AC639" s="193"/>
      <c r="AD639" s="191"/>
      <c r="AE639" s="194"/>
      <c r="AF639" s="194"/>
      <c r="AG639" s="194"/>
      <c r="AH639" s="194"/>
      <c r="AI639" s="190"/>
    </row>
    <row r="640" ht="16.5" customHeight="1">
      <c r="A640" s="190"/>
      <c r="B640" s="191"/>
      <c r="C640" s="191"/>
      <c r="D640" s="191"/>
      <c r="E640" s="192"/>
      <c r="F640" s="192"/>
      <c r="G640" s="192"/>
      <c r="H640" s="192"/>
      <c r="I640" s="192"/>
      <c r="J640" s="193"/>
      <c r="K640" s="192"/>
      <c r="L640" s="190"/>
      <c r="M640" s="194"/>
      <c r="N640" s="194"/>
      <c r="O640" s="194"/>
      <c r="P640" s="194"/>
      <c r="Q640" s="194"/>
      <c r="R640" s="194"/>
      <c r="S640" s="195"/>
      <c r="T640" s="195"/>
      <c r="U640" s="195"/>
      <c r="V640" s="191"/>
      <c r="W640" s="192"/>
      <c r="X640" s="192"/>
      <c r="Y640" s="192"/>
      <c r="Z640" s="191"/>
      <c r="AA640" s="191"/>
      <c r="AB640" s="193"/>
      <c r="AC640" s="193"/>
      <c r="AD640" s="191"/>
      <c r="AE640" s="194"/>
      <c r="AF640" s="194"/>
      <c r="AG640" s="194"/>
      <c r="AH640" s="194"/>
      <c r="AI640" s="190"/>
    </row>
    <row r="641" ht="16.5" customHeight="1">
      <c r="A641" s="190"/>
      <c r="B641" s="191"/>
      <c r="C641" s="191"/>
      <c r="D641" s="191"/>
      <c r="E641" s="192"/>
      <c r="F641" s="192"/>
      <c r="G641" s="192"/>
      <c r="H641" s="192"/>
      <c r="I641" s="192"/>
      <c r="J641" s="193"/>
      <c r="K641" s="192"/>
      <c r="L641" s="190"/>
      <c r="M641" s="194"/>
      <c r="N641" s="194"/>
      <c r="O641" s="194"/>
      <c r="P641" s="194"/>
      <c r="Q641" s="194"/>
      <c r="R641" s="194"/>
      <c r="S641" s="195"/>
      <c r="T641" s="195"/>
      <c r="U641" s="195"/>
      <c r="V641" s="191"/>
      <c r="W641" s="192"/>
      <c r="X641" s="192"/>
      <c r="Y641" s="192"/>
      <c r="Z641" s="191"/>
      <c r="AA641" s="191"/>
      <c r="AB641" s="193"/>
      <c r="AC641" s="193"/>
      <c r="AD641" s="191"/>
      <c r="AE641" s="194"/>
      <c r="AF641" s="194"/>
      <c r="AG641" s="194"/>
      <c r="AH641" s="194"/>
      <c r="AI641" s="190"/>
    </row>
    <row r="642" ht="16.5" customHeight="1">
      <c r="A642" s="190"/>
      <c r="B642" s="191"/>
      <c r="C642" s="191"/>
      <c r="D642" s="191"/>
      <c r="E642" s="192"/>
      <c r="F642" s="192"/>
      <c r="G642" s="192"/>
      <c r="H642" s="192"/>
      <c r="I642" s="192"/>
      <c r="J642" s="193"/>
      <c r="K642" s="192"/>
      <c r="L642" s="190"/>
      <c r="M642" s="194"/>
      <c r="N642" s="194"/>
      <c r="O642" s="194"/>
      <c r="P642" s="194"/>
      <c r="Q642" s="194"/>
      <c r="R642" s="194"/>
      <c r="S642" s="195"/>
      <c r="T642" s="195"/>
      <c r="U642" s="195"/>
      <c r="V642" s="191"/>
      <c r="W642" s="192"/>
      <c r="X642" s="192"/>
      <c r="Y642" s="192"/>
      <c r="Z642" s="191"/>
      <c r="AA642" s="191"/>
      <c r="AB642" s="193"/>
      <c r="AC642" s="193"/>
      <c r="AD642" s="191"/>
      <c r="AE642" s="194"/>
      <c r="AF642" s="194"/>
      <c r="AG642" s="194"/>
      <c r="AH642" s="194"/>
      <c r="AI642" s="190"/>
    </row>
    <row r="643" ht="16.5" customHeight="1">
      <c r="A643" s="190"/>
      <c r="B643" s="191"/>
      <c r="C643" s="191"/>
      <c r="D643" s="191"/>
      <c r="E643" s="192"/>
      <c r="F643" s="192"/>
      <c r="G643" s="192"/>
      <c r="H643" s="192"/>
      <c r="I643" s="192"/>
      <c r="J643" s="193"/>
      <c r="K643" s="192"/>
      <c r="L643" s="190"/>
      <c r="M643" s="194"/>
      <c r="N643" s="194"/>
      <c r="O643" s="194"/>
      <c r="P643" s="194"/>
      <c r="Q643" s="194"/>
      <c r="R643" s="194"/>
      <c r="S643" s="195"/>
      <c r="T643" s="195"/>
      <c r="U643" s="195"/>
      <c r="V643" s="191"/>
      <c r="W643" s="192"/>
      <c r="X643" s="192"/>
      <c r="Y643" s="192"/>
      <c r="Z643" s="191"/>
      <c r="AA643" s="191"/>
      <c r="AB643" s="193"/>
      <c r="AC643" s="193"/>
      <c r="AD643" s="191"/>
      <c r="AE643" s="194"/>
      <c r="AF643" s="194"/>
      <c r="AG643" s="194"/>
      <c r="AH643" s="194"/>
      <c r="AI643" s="190"/>
    </row>
    <row r="644" ht="16.5" customHeight="1">
      <c r="A644" s="190"/>
      <c r="B644" s="191"/>
      <c r="C644" s="191"/>
      <c r="D644" s="191"/>
      <c r="E644" s="192"/>
      <c r="F644" s="192"/>
      <c r="G644" s="192"/>
      <c r="H644" s="192"/>
      <c r="I644" s="192"/>
      <c r="J644" s="193"/>
      <c r="K644" s="192"/>
      <c r="L644" s="190"/>
      <c r="M644" s="194"/>
      <c r="N644" s="194"/>
      <c r="O644" s="194"/>
      <c r="P644" s="194"/>
      <c r="Q644" s="194"/>
      <c r="R644" s="194"/>
      <c r="S644" s="195"/>
      <c r="T644" s="195"/>
      <c r="U644" s="195"/>
      <c r="V644" s="191"/>
      <c r="W644" s="192"/>
      <c r="X644" s="192"/>
      <c r="Y644" s="192"/>
      <c r="Z644" s="191"/>
      <c r="AA644" s="191"/>
      <c r="AB644" s="193"/>
      <c r="AC644" s="193"/>
      <c r="AD644" s="191"/>
      <c r="AE644" s="194"/>
      <c r="AF644" s="194"/>
      <c r="AG644" s="194"/>
      <c r="AH644" s="194"/>
      <c r="AI644" s="190"/>
    </row>
    <row r="645" ht="16.5" customHeight="1">
      <c r="A645" s="190"/>
      <c r="B645" s="191"/>
      <c r="C645" s="191"/>
      <c r="D645" s="191"/>
      <c r="E645" s="192"/>
      <c r="F645" s="192"/>
      <c r="G645" s="192"/>
      <c r="H645" s="192"/>
      <c r="I645" s="192"/>
      <c r="J645" s="193"/>
      <c r="K645" s="192"/>
      <c r="L645" s="190"/>
      <c r="M645" s="194"/>
      <c r="N645" s="194"/>
      <c r="O645" s="194"/>
      <c r="P645" s="194"/>
      <c r="Q645" s="194"/>
      <c r="R645" s="194"/>
      <c r="S645" s="195"/>
      <c r="T645" s="195"/>
      <c r="U645" s="195"/>
      <c r="V645" s="191"/>
      <c r="W645" s="192"/>
      <c r="X645" s="192"/>
      <c r="Y645" s="192"/>
      <c r="Z645" s="191"/>
      <c r="AA645" s="191"/>
      <c r="AB645" s="193"/>
      <c r="AC645" s="193"/>
      <c r="AD645" s="191"/>
      <c r="AE645" s="194"/>
      <c r="AF645" s="194"/>
      <c r="AG645" s="194"/>
      <c r="AH645" s="194"/>
      <c r="AI645" s="190"/>
    </row>
    <row r="646" ht="16.5" customHeight="1">
      <c r="A646" s="190"/>
      <c r="B646" s="191"/>
      <c r="C646" s="191"/>
      <c r="D646" s="191"/>
      <c r="E646" s="192"/>
      <c r="F646" s="192"/>
      <c r="G646" s="192"/>
      <c r="H646" s="192"/>
      <c r="I646" s="192"/>
      <c r="J646" s="193"/>
      <c r="K646" s="192"/>
      <c r="L646" s="190"/>
      <c r="M646" s="194"/>
      <c r="N646" s="194"/>
      <c r="O646" s="194"/>
      <c r="P646" s="194"/>
      <c r="Q646" s="194"/>
      <c r="R646" s="194"/>
      <c r="S646" s="195"/>
      <c r="T646" s="195"/>
      <c r="U646" s="195"/>
      <c r="V646" s="191"/>
      <c r="W646" s="192"/>
      <c r="X646" s="192"/>
      <c r="Y646" s="192"/>
      <c r="Z646" s="191"/>
      <c r="AA646" s="191"/>
      <c r="AB646" s="193"/>
      <c r="AC646" s="193"/>
      <c r="AD646" s="191"/>
      <c r="AE646" s="194"/>
      <c r="AF646" s="194"/>
      <c r="AG646" s="194"/>
      <c r="AH646" s="194"/>
      <c r="AI646" s="190"/>
    </row>
    <row r="647" ht="16.5" customHeight="1">
      <c r="A647" s="190"/>
      <c r="B647" s="191"/>
      <c r="C647" s="191"/>
      <c r="D647" s="191"/>
      <c r="E647" s="192"/>
      <c r="F647" s="192"/>
      <c r="G647" s="192"/>
      <c r="H647" s="192"/>
      <c r="I647" s="192"/>
      <c r="J647" s="193"/>
      <c r="K647" s="192"/>
      <c r="L647" s="190"/>
      <c r="M647" s="194"/>
      <c r="N647" s="194"/>
      <c r="O647" s="194"/>
      <c r="P647" s="194"/>
      <c r="Q647" s="194"/>
      <c r="R647" s="194"/>
      <c r="S647" s="195"/>
      <c r="T647" s="195"/>
      <c r="U647" s="195"/>
      <c r="V647" s="191"/>
      <c r="W647" s="192"/>
      <c r="X647" s="192"/>
      <c r="Y647" s="192"/>
      <c r="Z647" s="191"/>
      <c r="AA647" s="191"/>
      <c r="AB647" s="193"/>
      <c r="AC647" s="193"/>
      <c r="AD647" s="191"/>
      <c r="AE647" s="194"/>
      <c r="AF647" s="194"/>
      <c r="AG647" s="194"/>
      <c r="AH647" s="194"/>
      <c r="AI647" s="190"/>
    </row>
    <row r="648" ht="16.5" customHeight="1">
      <c r="A648" s="190"/>
      <c r="B648" s="191"/>
      <c r="C648" s="191"/>
      <c r="D648" s="191"/>
      <c r="E648" s="192"/>
      <c r="F648" s="192"/>
      <c r="G648" s="192"/>
      <c r="H648" s="192"/>
      <c r="I648" s="192"/>
      <c r="J648" s="193"/>
      <c r="K648" s="192"/>
      <c r="L648" s="190"/>
      <c r="M648" s="194"/>
      <c r="N648" s="194"/>
      <c r="O648" s="194"/>
      <c r="P648" s="194"/>
      <c r="Q648" s="194"/>
      <c r="R648" s="194"/>
      <c r="S648" s="195"/>
      <c r="T648" s="195"/>
      <c r="U648" s="195"/>
      <c r="V648" s="191"/>
      <c r="W648" s="192"/>
      <c r="X648" s="192"/>
      <c r="Y648" s="192"/>
      <c r="Z648" s="191"/>
      <c r="AA648" s="191"/>
      <c r="AB648" s="193"/>
      <c r="AC648" s="193"/>
      <c r="AD648" s="191"/>
      <c r="AE648" s="194"/>
      <c r="AF648" s="194"/>
      <c r="AG648" s="194"/>
      <c r="AH648" s="194"/>
      <c r="AI648" s="190"/>
    </row>
    <row r="649" ht="16.5" customHeight="1">
      <c r="A649" s="190"/>
      <c r="B649" s="191"/>
      <c r="C649" s="191"/>
      <c r="D649" s="191"/>
      <c r="E649" s="192"/>
      <c r="F649" s="192"/>
      <c r="G649" s="192"/>
      <c r="H649" s="192"/>
      <c r="I649" s="192"/>
      <c r="J649" s="193"/>
      <c r="K649" s="192"/>
      <c r="L649" s="190"/>
      <c r="M649" s="194"/>
      <c r="N649" s="194"/>
      <c r="O649" s="194"/>
      <c r="P649" s="194"/>
      <c r="Q649" s="194"/>
      <c r="R649" s="194"/>
      <c r="S649" s="195"/>
      <c r="T649" s="195"/>
      <c r="U649" s="195"/>
      <c r="V649" s="191"/>
      <c r="W649" s="192"/>
      <c r="X649" s="192"/>
      <c r="Y649" s="192"/>
      <c r="Z649" s="191"/>
      <c r="AA649" s="191"/>
      <c r="AB649" s="193"/>
      <c r="AC649" s="193"/>
      <c r="AD649" s="191"/>
      <c r="AE649" s="194"/>
      <c r="AF649" s="194"/>
      <c r="AG649" s="194"/>
      <c r="AH649" s="194"/>
      <c r="AI649" s="190"/>
    </row>
    <row r="650" ht="16.5" customHeight="1">
      <c r="A650" s="190"/>
      <c r="B650" s="191"/>
      <c r="C650" s="191"/>
      <c r="D650" s="191"/>
      <c r="E650" s="192"/>
      <c r="F650" s="192"/>
      <c r="G650" s="192"/>
      <c r="H650" s="192"/>
      <c r="I650" s="192"/>
      <c r="J650" s="193"/>
      <c r="K650" s="192"/>
      <c r="L650" s="190"/>
      <c r="M650" s="194"/>
      <c r="N650" s="194"/>
      <c r="O650" s="194"/>
      <c r="P650" s="194"/>
      <c r="Q650" s="194"/>
      <c r="R650" s="194"/>
      <c r="S650" s="195"/>
      <c r="T650" s="195"/>
      <c r="U650" s="195"/>
      <c r="V650" s="191"/>
      <c r="W650" s="192"/>
      <c r="X650" s="192"/>
      <c r="Y650" s="192"/>
      <c r="Z650" s="191"/>
      <c r="AA650" s="191"/>
      <c r="AB650" s="193"/>
      <c r="AC650" s="193"/>
      <c r="AD650" s="191"/>
      <c r="AE650" s="194"/>
      <c r="AF650" s="194"/>
      <c r="AG650" s="194"/>
      <c r="AH650" s="194"/>
      <c r="AI650" s="190"/>
    </row>
    <row r="651" ht="16.5" customHeight="1">
      <c r="A651" s="190"/>
      <c r="B651" s="191"/>
      <c r="C651" s="191"/>
      <c r="D651" s="191"/>
      <c r="E651" s="192"/>
      <c r="F651" s="192"/>
      <c r="G651" s="192"/>
      <c r="H651" s="192"/>
      <c r="I651" s="192"/>
      <c r="J651" s="193"/>
      <c r="K651" s="192"/>
      <c r="L651" s="190"/>
      <c r="M651" s="194"/>
      <c r="N651" s="194"/>
      <c r="O651" s="194"/>
      <c r="P651" s="194"/>
      <c r="Q651" s="194"/>
      <c r="R651" s="194"/>
      <c r="S651" s="195"/>
      <c r="T651" s="195"/>
      <c r="U651" s="195"/>
      <c r="V651" s="191"/>
      <c r="W651" s="192"/>
      <c r="X651" s="192"/>
      <c r="Y651" s="192"/>
      <c r="Z651" s="191"/>
      <c r="AA651" s="191"/>
      <c r="AB651" s="193"/>
      <c r="AC651" s="193"/>
      <c r="AD651" s="191"/>
      <c r="AE651" s="194"/>
      <c r="AF651" s="194"/>
      <c r="AG651" s="194"/>
      <c r="AH651" s="194"/>
      <c r="AI651" s="190"/>
    </row>
    <row r="652" ht="16.5" customHeight="1">
      <c r="A652" s="190"/>
      <c r="B652" s="191"/>
      <c r="C652" s="191"/>
      <c r="D652" s="191"/>
      <c r="E652" s="192"/>
      <c r="F652" s="192"/>
      <c r="G652" s="192"/>
      <c r="H652" s="192"/>
      <c r="I652" s="192"/>
      <c r="J652" s="193"/>
      <c r="K652" s="192"/>
      <c r="L652" s="190"/>
      <c r="M652" s="194"/>
      <c r="N652" s="194"/>
      <c r="O652" s="194"/>
      <c r="P652" s="194"/>
      <c r="Q652" s="194"/>
      <c r="R652" s="194"/>
      <c r="S652" s="195"/>
      <c r="T652" s="195"/>
      <c r="U652" s="195"/>
      <c r="V652" s="191"/>
      <c r="W652" s="192"/>
      <c r="X652" s="192"/>
      <c r="Y652" s="192"/>
      <c r="Z652" s="191"/>
      <c r="AA652" s="191"/>
      <c r="AB652" s="193"/>
      <c r="AC652" s="193"/>
      <c r="AD652" s="191"/>
      <c r="AE652" s="194"/>
      <c r="AF652" s="194"/>
      <c r="AG652" s="194"/>
      <c r="AH652" s="194"/>
      <c r="AI652" s="190"/>
    </row>
    <row r="653" ht="16.5" customHeight="1">
      <c r="A653" s="190"/>
      <c r="B653" s="191"/>
      <c r="C653" s="191"/>
      <c r="D653" s="191"/>
      <c r="E653" s="192"/>
      <c r="F653" s="192"/>
      <c r="G653" s="192"/>
      <c r="H653" s="192"/>
      <c r="I653" s="192"/>
      <c r="J653" s="193"/>
      <c r="K653" s="192"/>
      <c r="L653" s="190"/>
      <c r="M653" s="194"/>
      <c r="N653" s="194"/>
      <c r="O653" s="194"/>
      <c r="P653" s="194"/>
      <c r="Q653" s="194"/>
      <c r="R653" s="194"/>
      <c r="S653" s="195"/>
      <c r="T653" s="195"/>
      <c r="U653" s="195"/>
      <c r="V653" s="191"/>
      <c r="W653" s="192"/>
      <c r="X653" s="192"/>
      <c r="Y653" s="192"/>
      <c r="Z653" s="191"/>
      <c r="AA653" s="191"/>
      <c r="AB653" s="193"/>
      <c r="AC653" s="193"/>
      <c r="AD653" s="191"/>
      <c r="AE653" s="194"/>
      <c r="AF653" s="194"/>
      <c r="AG653" s="194"/>
      <c r="AH653" s="194"/>
      <c r="AI653" s="190"/>
    </row>
    <row r="654" ht="16.5" customHeight="1">
      <c r="A654" s="190"/>
      <c r="B654" s="191"/>
      <c r="C654" s="191"/>
      <c r="D654" s="191"/>
      <c r="E654" s="192"/>
      <c r="F654" s="192"/>
      <c r="G654" s="192"/>
      <c r="H654" s="192"/>
      <c r="I654" s="192"/>
      <c r="J654" s="193"/>
      <c r="K654" s="192"/>
      <c r="L654" s="190"/>
      <c r="M654" s="194"/>
      <c r="N654" s="194"/>
      <c r="O654" s="194"/>
      <c r="P654" s="194"/>
      <c r="Q654" s="194"/>
      <c r="R654" s="194"/>
      <c r="S654" s="195"/>
      <c r="T654" s="195"/>
      <c r="U654" s="195"/>
      <c r="V654" s="191"/>
      <c r="W654" s="192"/>
      <c r="X654" s="192"/>
      <c r="Y654" s="192"/>
      <c r="Z654" s="191"/>
      <c r="AA654" s="191"/>
      <c r="AB654" s="193"/>
      <c r="AC654" s="193"/>
      <c r="AD654" s="191"/>
      <c r="AE654" s="194"/>
      <c r="AF654" s="194"/>
      <c r="AG654" s="194"/>
      <c r="AH654" s="194"/>
      <c r="AI654" s="190"/>
    </row>
    <row r="655" ht="16.5" customHeight="1">
      <c r="A655" s="190"/>
      <c r="B655" s="191"/>
      <c r="C655" s="191"/>
      <c r="D655" s="191"/>
      <c r="E655" s="192"/>
      <c r="F655" s="192"/>
      <c r="G655" s="192"/>
      <c r="H655" s="192"/>
      <c r="I655" s="192"/>
      <c r="J655" s="193"/>
      <c r="K655" s="192"/>
      <c r="L655" s="190"/>
      <c r="M655" s="194"/>
      <c r="N655" s="194"/>
      <c r="O655" s="194"/>
      <c r="P655" s="194"/>
      <c r="Q655" s="194"/>
      <c r="R655" s="194"/>
      <c r="S655" s="195"/>
      <c r="T655" s="195"/>
      <c r="U655" s="195"/>
      <c r="V655" s="191"/>
      <c r="W655" s="192"/>
      <c r="X655" s="192"/>
      <c r="Y655" s="192"/>
      <c r="Z655" s="191"/>
      <c r="AA655" s="191"/>
      <c r="AB655" s="193"/>
      <c r="AC655" s="193"/>
      <c r="AD655" s="191"/>
      <c r="AE655" s="194"/>
      <c r="AF655" s="194"/>
      <c r="AG655" s="194"/>
      <c r="AH655" s="194"/>
      <c r="AI655" s="190"/>
    </row>
    <row r="656" ht="16.5" customHeight="1">
      <c r="A656" s="190"/>
      <c r="B656" s="191"/>
      <c r="C656" s="191"/>
      <c r="D656" s="191"/>
      <c r="E656" s="192"/>
      <c r="F656" s="192"/>
      <c r="G656" s="192"/>
      <c r="H656" s="192"/>
      <c r="I656" s="192"/>
      <c r="J656" s="193"/>
      <c r="K656" s="192"/>
      <c r="L656" s="190"/>
      <c r="M656" s="194"/>
      <c r="N656" s="194"/>
      <c r="O656" s="194"/>
      <c r="P656" s="194"/>
      <c r="Q656" s="194"/>
      <c r="R656" s="194"/>
      <c r="S656" s="195"/>
      <c r="T656" s="195"/>
      <c r="U656" s="195"/>
      <c r="V656" s="191"/>
      <c r="W656" s="192"/>
      <c r="X656" s="192"/>
      <c r="Y656" s="192"/>
      <c r="Z656" s="191"/>
      <c r="AA656" s="191"/>
      <c r="AB656" s="193"/>
      <c r="AC656" s="193"/>
      <c r="AD656" s="191"/>
      <c r="AE656" s="194"/>
      <c r="AF656" s="194"/>
      <c r="AG656" s="194"/>
      <c r="AH656" s="194"/>
      <c r="AI656" s="190"/>
    </row>
    <row r="657" ht="16.5" customHeight="1">
      <c r="A657" s="190"/>
      <c r="B657" s="191"/>
      <c r="C657" s="191"/>
      <c r="D657" s="191"/>
      <c r="E657" s="192"/>
      <c r="F657" s="192"/>
      <c r="G657" s="192"/>
      <c r="H657" s="192"/>
      <c r="I657" s="192"/>
      <c r="J657" s="193"/>
      <c r="K657" s="192"/>
      <c r="L657" s="190"/>
      <c r="M657" s="194"/>
      <c r="N657" s="194"/>
      <c r="O657" s="194"/>
      <c r="P657" s="194"/>
      <c r="Q657" s="194"/>
      <c r="R657" s="194"/>
      <c r="S657" s="195"/>
      <c r="T657" s="195"/>
      <c r="U657" s="195"/>
      <c r="V657" s="191"/>
      <c r="W657" s="192"/>
      <c r="X657" s="192"/>
      <c r="Y657" s="192"/>
      <c r="Z657" s="191"/>
      <c r="AA657" s="191"/>
      <c r="AB657" s="193"/>
      <c r="AC657" s="193"/>
      <c r="AD657" s="191"/>
      <c r="AE657" s="194"/>
      <c r="AF657" s="194"/>
      <c r="AG657" s="194"/>
      <c r="AH657" s="194"/>
      <c r="AI657" s="190"/>
    </row>
    <row r="658" ht="16.5" customHeight="1">
      <c r="A658" s="190"/>
      <c r="B658" s="191"/>
      <c r="C658" s="191"/>
      <c r="D658" s="191"/>
      <c r="E658" s="192"/>
      <c r="F658" s="192"/>
      <c r="G658" s="192"/>
      <c r="H658" s="192"/>
      <c r="I658" s="192"/>
      <c r="J658" s="193"/>
      <c r="K658" s="192"/>
      <c r="L658" s="190"/>
      <c r="M658" s="194"/>
      <c r="N658" s="194"/>
      <c r="O658" s="194"/>
      <c r="P658" s="194"/>
      <c r="Q658" s="194"/>
      <c r="R658" s="194"/>
      <c r="S658" s="195"/>
      <c r="T658" s="195"/>
      <c r="U658" s="195"/>
      <c r="V658" s="191"/>
      <c r="W658" s="192"/>
      <c r="X658" s="192"/>
      <c r="Y658" s="192"/>
      <c r="Z658" s="191"/>
      <c r="AA658" s="191"/>
      <c r="AB658" s="193"/>
      <c r="AC658" s="193"/>
      <c r="AD658" s="191"/>
      <c r="AE658" s="194"/>
      <c r="AF658" s="194"/>
      <c r="AG658" s="194"/>
      <c r="AH658" s="194"/>
      <c r="AI658" s="190"/>
    </row>
    <row r="659" ht="16.5" customHeight="1">
      <c r="A659" s="190"/>
      <c r="B659" s="191"/>
      <c r="C659" s="191"/>
      <c r="D659" s="191"/>
      <c r="E659" s="192"/>
      <c r="F659" s="192"/>
      <c r="G659" s="192"/>
      <c r="H659" s="192"/>
      <c r="I659" s="192"/>
      <c r="J659" s="193"/>
      <c r="K659" s="192"/>
      <c r="L659" s="190"/>
      <c r="M659" s="194"/>
      <c r="N659" s="194"/>
      <c r="O659" s="194"/>
      <c r="P659" s="194"/>
      <c r="Q659" s="194"/>
      <c r="R659" s="194"/>
      <c r="S659" s="195"/>
      <c r="T659" s="195"/>
      <c r="U659" s="195"/>
      <c r="V659" s="191"/>
      <c r="W659" s="192"/>
      <c r="X659" s="192"/>
      <c r="Y659" s="192"/>
      <c r="Z659" s="191"/>
      <c r="AA659" s="191"/>
      <c r="AB659" s="193"/>
      <c r="AC659" s="193"/>
      <c r="AD659" s="191"/>
      <c r="AE659" s="194"/>
      <c r="AF659" s="194"/>
      <c r="AG659" s="194"/>
      <c r="AH659" s="194"/>
      <c r="AI659" s="190"/>
    </row>
    <row r="660" ht="16.5" customHeight="1">
      <c r="A660" s="190"/>
      <c r="B660" s="191"/>
      <c r="C660" s="191"/>
      <c r="D660" s="191"/>
      <c r="E660" s="192"/>
      <c r="F660" s="192"/>
      <c r="G660" s="192"/>
      <c r="H660" s="192"/>
      <c r="I660" s="192"/>
      <c r="J660" s="193"/>
      <c r="K660" s="192"/>
      <c r="L660" s="190"/>
      <c r="M660" s="194"/>
      <c r="N660" s="194"/>
      <c r="O660" s="194"/>
      <c r="P660" s="194"/>
      <c r="Q660" s="194"/>
      <c r="R660" s="194"/>
      <c r="S660" s="195"/>
      <c r="T660" s="195"/>
      <c r="U660" s="195"/>
      <c r="V660" s="191"/>
      <c r="W660" s="192"/>
      <c r="X660" s="192"/>
      <c r="Y660" s="192"/>
      <c r="Z660" s="191"/>
      <c r="AA660" s="191"/>
      <c r="AB660" s="193"/>
      <c r="AC660" s="193"/>
      <c r="AD660" s="191"/>
      <c r="AE660" s="194"/>
      <c r="AF660" s="194"/>
      <c r="AG660" s="194"/>
      <c r="AH660" s="194"/>
      <c r="AI660" s="190"/>
    </row>
    <row r="661" ht="16.5" customHeight="1">
      <c r="A661" s="190"/>
      <c r="B661" s="191"/>
      <c r="C661" s="191"/>
      <c r="D661" s="191"/>
      <c r="E661" s="192"/>
      <c r="F661" s="192"/>
      <c r="G661" s="192"/>
      <c r="H661" s="192"/>
      <c r="I661" s="192"/>
      <c r="J661" s="193"/>
      <c r="K661" s="192"/>
      <c r="L661" s="190"/>
      <c r="M661" s="194"/>
      <c r="N661" s="194"/>
      <c r="O661" s="194"/>
      <c r="P661" s="194"/>
      <c r="Q661" s="194"/>
      <c r="R661" s="194"/>
      <c r="S661" s="195"/>
      <c r="T661" s="195"/>
      <c r="U661" s="195"/>
      <c r="V661" s="191"/>
      <c r="W661" s="192"/>
      <c r="X661" s="192"/>
      <c r="Y661" s="192"/>
      <c r="Z661" s="191"/>
      <c r="AA661" s="191"/>
      <c r="AB661" s="193"/>
      <c r="AC661" s="193"/>
      <c r="AD661" s="191"/>
      <c r="AE661" s="194"/>
      <c r="AF661" s="194"/>
      <c r="AG661" s="194"/>
      <c r="AH661" s="194"/>
      <c r="AI661" s="190"/>
    </row>
    <row r="662" ht="16.5" customHeight="1">
      <c r="A662" s="190"/>
      <c r="B662" s="191"/>
      <c r="C662" s="191"/>
      <c r="D662" s="191"/>
      <c r="E662" s="192"/>
      <c r="F662" s="192"/>
      <c r="G662" s="192"/>
      <c r="H662" s="192"/>
      <c r="I662" s="192"/>
      <c r="J662" s="193"/>
      <c r="K662" s="192"/>
      <c r="L662" s="190"/>
      <c r="M662" s="194"/>
      <c r="N662" s="194"/>
      <c r="O662" s="194"/>
      <c r="P662" s="194"/>
      <c r="Q662" s="194"/>
      <c r="R662" s="194"/>
      <c r="S662" s="195"/>
      <c r="T662" s="195"/>
      <c r="U662" s="195"/>
      <c r="V662" s="191"/>
      <c r="W662" s="192"/>
      <c r="X662" s="192"/>
      <c r="Y662" s="192"/>
      <c r="Z662" s="191"/>
      <c r="AA662" s="191"/>
      <c r="AB662" s="193"/>
      <c r="AC662" s="193"/>
      <c r="AD662" s="191"/>
      <c r="AE662" s="194"/>
      <c r="AF662" s="194"/>
      <c r="AG662" s="194"/>
      <c r="AH662" s="194"/>
      <c r="AI662" s="190"/>
    </row>
    <row r="663" ht="16.5" customHeight="1">
      <c r="A663" s="190"/>
      <c r="B663" s="191"/>
      <c r="C663" s="191"/>
      <c r="D663" s="191"/>
      <c r="E663" s="192"/>
      <c r="F663" s="192"/>
      <c r="G663" s="192"/>
      <c r="H663" s="192"/>
      <c r="I663" s="192"/>
      <c r="J663" s="193"/>
      <c r="K663" s="192"/>
      <c r="L663" s="190"/>
      <c r="M663" s="194"/>
      <c r="N663" s="194"/>
      <c r="O663" s="194"/>
      <c r="P663" s="194"/>
      <c r="Q663" s="194"/>
      <c r="R663" s="194"/>
      <c r="S663" s="195"/>
      <c r="T663" s="195"/>
      <c r="U663" s="195"/>
      <c r="V663" s="191"/>
      <c r="W663" s="192"/>
      <c r="X663" s="192"/>
      <c r="Y663" s="192"/>
      <c r="Z663" s="191"/>
      <c r="AA663" s="191"/>
      <c r="AB663" s="193"/>
      <c r="AC663" s="193"/>
      <c r="AD663" s="191"/>
      <c r="AE663" s="194"/>
      <c r="AF663" s="194"/>
      <c r="AG663" s="194"/>
      <c r="AH663" s="194"/>
      <c r="AI663" s="190"/>
    </row>
    <row r="664" ht="16.5" customHeight="1">
      <c r="A664" s="190"/>
      <c r="B664" s="191"/>
      <c r="C664" s="191"/>
      <c r="D664" s="191"/>
      <c r="E664" s="192"/>
      <c r="F664" s="192"/>
      <c r="G664" s="192"/>
      <c r="H664" s="192"/>
      <c r="I664" s="192"/>
      <c r="J664" s="193"/>
      <c r="K664" s="192"/>
      <c r="L664" s="190"/>
      <c r="M664" s="194"/>
      <c r="N664" s="194"/>
      <c r="O664" s="194"/>
      <c r="P664" s="194"/>
      <c r="Q664" s="194"/>
      <c r="R664" s="194"/>
      <c r="S664" s="195"/>
      <c r="T664" s="195"/>
      <c r="U664" s="195"/>
      <c r="V664" s="191"/>
      <c r="W664" s="192"/>
      <c r="X664" s="192"/>
      <c r="Y664" s="192"/>
      <c r="Z664" s="191"/>
      <c r="AA664" s="191"/>
      <c r="AB664" s="193"/>
      <c r="AC664" s="193"/>
      <c r="AD664" s="191"/>
      <c r="AE664" s="194"/>
      <c r="AF664" s="194"/>
      <c r="AG664" s="194"/>
      <c r="AH664" s="194"/>
      <c r="AI664" s="190"/>
    </row>
    <row r="665" ht="16.5" customHeight="1">
      <c r="A665" s="190"/>
      <c r="B665" s="191"/>
      <c r="C665" s="191"/>
      <c r="D665" s="191"/>
      <c r="E665" s="192"/>
      <c r="F665" s="192"/>
      <c r="G665" s="192"/>
      <c r="H665" s="192"/>
      <c r="I665" s="192"/>
      <c r="J665" s="193"/>
      <c r="K665" s="192"/>
      <c r="L665" s="190"/>
      <c r="M665" s="194"/>
      <c r="N665" s="194"/>
      <c r="O665" s="194"/>
      <c r="P665" s="194"/>
      <c r="Q665" s="194"/>
      <c r="R665" s="194"/>
      <c r="S665" s="195"/>
      <c r="T665" s="195"/>
      <c r="U665" s="195"/>
      <c r="V665" s="191"/>
      <c r="W665" s="192"/>
      <c r="X665" s="192"/>
      <c r="Y665" s="192"/>
      <c r="Z665" s="191"/>
      <c r="AA665" s="191"/>
      <c r="AB665" s="193"/>
      <c r="AC665" s="193"/>
      <c r="AD665" s="191"/>
      <c r="AE665" s="194"/>
      <c r="AF665" s="194"/>
      <c r="AG665" s="194"/>
      <c r="AH665" s="194"/>
      <c r="AI665" s="190"/>
    </row>
    <row r="666" ht="16.5" customHeight="1">
      <c r="A666" s="190"/>
      <c r="B666" s="191"/>
      <c r="C666" s="191"/>
      <c r="D666" s="191"/>
      <c r="E666" s="192"/>
      <c r="F666" s="192"/>
      <c r="G666" s="192"/>
      <c r="H666" s="192"/>
      <c r="I666" s="192"/>
      <c r="J666" s="193"/>
      <c r="K666" s="192"/>
      <c r="L666" s="190"/>
      <c r="M666" s="194"/>
      <c r="N666" s="194"/>
      <c r="O666" s="194"/>
      <c r="P666" s="194"/>
      <c r="Q666" s="194"/>
      <c r="R666" s="194"/>
      <c r="S666" s="195"/>
      <c r="T666" s="195"/>
      <c r="U666" s="195"/>
      <c r="V666" s="191"/>
      <c r="W666" s="192"/>
      <c r="X666" s="192"/>
      <c r="Y666" s="192"/>
      <c r="Z666" s="191"/>
      <c r="AA666" s="191"/>
      <c r="AB666" s="193"/>
      <c r="AC666" s="193"/>
      <c r="AD666" s="191"/>
      <c r="AE666" s="194"/>
      <c r="AF666" s="194"/>
      <c r="AG666" s="194"/>
      <c r="AH666" s="194"/>
      <c r="AI666" s="190"/>
    </row>
    <row r="667" ht="16.5" customHeight="1">
      <c r="A667" s="190"/>
      <c r="B667" s="191"/>
      <c r="C667" s="191"/>
      <c r="D667" s="191"/>
      <c r="E667" s="192"/>
      <c r="F667" s="192"/>
      <c r="G667" s="192"/>
      <c r="H667" s="192"/>
      <c r="I667" s="192"/>
      <c r="J667" s="193"/>
      <c r="K667" s="192"/>
      <c r="L667" s="190"/>
      <c r="M667" s="194"/>
      <c r="N667" s="194"/>
      <c r="O667" s="194"/>
      <c r="P667" s="194"/>
      <c r="Q667" s="194"/>
      <c r="R667" s="194"/>
      <c r="S667" s="195"/>
      <c r="T667" s="195"/>
      <c r="U667" s="195"/>
      <c r="V667" s="191"/>
      <c r="W667" s="192"/>
      <c r="X667" s="192"/>
      <c r="Y667" s="192"/>
      <c r="Z667" s="191"/>
      <c r="AA667" s="191"/>
      <c r="AB667" s="193"/>
      <c r="AC667" s="193"/>
      <c r="AD667" s="191"/>
      <c r="AE667" s="194"/>
      <c r="AF667" s="194"/>
      <c r="AG667" s="194"/>
      <c r="AH667" s="194"/>
      <c r="AI667" s="190"/>
    </row>
    <row r="668" ht="16.5" customHeight="1">
      <c r="A668" s="190"/>
      <c r="B668" s="191"/>
      <c r="C668" s="191"/>
      <c r="D668" s="191"/>
      <c r="E668" s="192"/>
      <c r="F668" s="192"/>
      <c r="G668" s="192"/>
      <c r="H668" s="192"/>
      <c r="I668" s="192"/>
      <c r="J668" s="193"/>
      <c r="K668" s="192"/>
      <c r="L668" s="190"/>
      <c r="M668" s="194"/>
      <c r="N668" s="194"/>
      <c r="O668" s="194"/>
      <c r="P668" s="194"/>
      <c r="Q668" s="194"/>
      <c r="R668" s="194"/>
      <c r="S668" s="195"/>
      <c r="T668" s="195"/>
      <c r="U668" s="195"/>
      <c r="V668" s="191"/>
      <c r="W668" s="192"/>
      <c r="X668" s="192"/>
      <c r="Y668" s="192"/>
      <c r="Z668" s="191"/>
      <c r="AA668" s="191"/>
      <c r="AB668" s="193"/>
      <c r="AC668" s="193"/>
      <c r="AD668" s="191"/>
      <c r="AE668" s="194"/>
      <c r="AF668" s="194"/>
      <c r="AG668" s="194"/>
      <c r="AH668" s="194"/>
      <c r="AI668" s="190"/>
    </row>
    <row r="669" ht="16.5" customHeight="1">
      <c r="A669" s="190"/>
      <c r="B669" s="191"/>
      <c r="C669" s="191"/>
      <c r="D669" s="191"/>
      <c r="E669" s="192"/>
      <c r="F669" s="192"/>
      <c r="G669" s="192"/>
      <c r="H669" s="192"/>
      <c r="I669" s="192"/>
      <c r="J669" s="193"/>
      <c r="K669" s="192"/>
      <c r="L669" s="190"/>
      <c r="M669" s="194"/>
      <c r="N669" s="194"/>
      <c r="O669" s="194"/>
      <c r="P669" s="194"/>
      <c r="Q669" s="194"/>
      <c r="R669" s="194"/>
      <c r="S669" s="195"/>
      <c r="T669" s="195"/>
      <c r="U669" s="195"/>
      <c r="V669" s="191"/>
      <c r="W669" s="192"/>
      <c r="X669" s="192"/>
      <c r="Y669" s="192"/>
      <c r="Z669" s="191"/>
      <c r="AA669" s="191"/>
      <c r="AB669" s="193"/>
      <c r="AC669" s="193"/>
      <c r="AD669" s="191"/>
      <c r="AE669" s="194"/>
      <c r="AF669" s="194"/>
      <c r="AG669" s="194"/>
      <c r="AH669" s="194"/>
      <c r="AI669" s="190"/>
    </row>
    <row r="670" ht="16.5" customHeight="1">
      <c r="A670" s="190"/>
      <c r="B670" s="191"/>
      <c r="C670" s="191"/>
      <c r="D670" s="191"/>
      <c r="E670" s="192"/>
      <c r="F670" s="192"/>
      <c r="G670" s="192"/>
      <c r="H670" s="192"/>
      <c r="I670" s="192"/>
      <c r="J670" s="193"/>
      <c r="K670" s="192"/>
      <c r="L670" s="190"/>
      <c r="M670" s="194"/>
      <c r="N670" s="194"/>
      <c r="O670" s="194"/>
      <c r="P670" s="194"/>
      <c r="Q670" s="194"/>
      <c r="R670" s="194"/>
      <c r="S670" s="195"/>
      <c r="T670" s="195"/>
      <c r="U670" s="195"/>
      <c r="V670" s="191"/>
      <c r="W670" s="192"/>
      <c r="X670" s="192"/>
      <c r="Y670" s="192"/>
      <c r="Z670" s="191"/>
      <c r="AA670" s="191"/>
      <c r="AB670" s="193"/>
      <c r="AC670" s="193"/>
      <c r="AD670" s="191"/>
      <c r="AE670" s="194"/>
      <c r="AF670" s="194"/>
      <c r="AG670" s="194"/>
      <c r="AH670" s="194"/>
      <c r="AI670" s="190"/>
    </row>
    <row r="671" ht="16.5" customHeight="1">
      <c r="A671" s="190"/>
      <c r="B671" s="191"/>
      <c r="C671" s="191"/>
      <c r="D671" s="191"/>
      <c r="E671" s="192"/>
      <c r="F671" s="192"/>
      <c r="G671" s="192"/>
      <c r="H671" s="192"/>
      <c r="I671" s="192"/>
      <c r="J671" s="193"/>
      <c r="K671" s="192"/>
      <c r="L671" s="190"/>
      <c r="M671" s="194"/>
      <c r="N671" s="194"/>
      <c r="O671" s="194"/>
      <c r="P671" s="194"/>
      <c r="Q671" s="194"/>
      <c r="R671" s="194"/>
      <c r="S671" s="195"/>
      <c r="T671" s="195"/>
      <c r="U671" s="195"/>
      <c r="V671" s="191"/>
      <c r="W671" s="192"/>
      <c r="X671" s="192"/>
      <c r="Y671" s="192"/>
      <c r="Z671" s="191"/>
      <c r="AA671" s="191"/>
      <c r="AB671" s="193"/>
      <c r="AC671" s="193"/>
      <c r="AD671" s="191"/>
      <c r="AE671" s="194"/>
      <c r="AF671" s="194"/>
      <c r="AG671" s="194"/>
      <c r="AH671" s="194"/>
      <c r="AI671" s="190"/>
    </row>
    <row r="672" ht="16.5" customHeight="1">
      <c r="A672" s="190"/>
      <c r="B672" s="191"/>
      <c r="C672" s="191"/>
      <c r="D672" s="191"/>
      <c r="E672" s="192"/>
      <c r="F672" s="192"/>
      <c r="G672" s="192"/>
      <c r="H672" s="192"/>
      <c r="I672" s="192"/>
      <c r="J672" s="193"/>
      <c r="K672" s="192"/>
      <c r="L672" s="190"/>
      <c r="M672" s="194"/>
      <c r="N672" s="194"/>
      <c r="O672" s="194"/>
      <c r="P672" s="194"/>
      <c r="Q672" s="194"/>
      <c r="R672" s="194"/>
      <c r="S672" s="195"/>
      <c r="T672" s="195"/>
      <c r="U672" s="195"/>
      <c r="V672" s="191"/>
      <c r="W672" s="192"/>
      <c r="X672" s="192"/>
      <c r="Y672" s="192"/>
      <c r="Z672" s="191"/>
      <c r="AA672" s="191"/>
      <c r="AB672" s="193"/>
      <c r="AC672" s="193"/>
      <c r="AD672" s="191"/>
      <c r="AE672" s="194"/>
      <c r="AF672" s="194"/>
      <c r="AG672" s="194"/>
      <c r="AH672" s="194"/>
      <c r="AI672" s="190"/>
    </row>
    <row r="673" ht="16.5" customHeight="1">
      <c r="A673" s="190"/>
      <c r="B673" s="191"/>
      <c r="C673" s="191"/>
      <c r="D673" s="191"/>
      <c r="E673" s="192"/>
      <c r="F673" s="192"/>
      <c r="G673" s="192"/>
      <c r="H673" s="192"/>
      <c r="I673" s="192"/>
      <c r="J673" s="193"/>
      <c r="K673" s="192"/>
      <c r="L673" s="190"/>
      <c r="M673" s="194"/>
      <c r="N673" s="194"/>
      <c r="O673" s="194"/>
      <c r="P673" s="194"/>
      <c r="Q673" s="194"/>
      <c r="R673" s="194"/>
      <c r="S673" s="195"/>
      <c r="T673" s="195"/>
      <c r="U673" s="195"/>
      <c r="V673" s="191"/>
      <c r="W673" s="192"/>
      <c r="X673" s="192"/>
      <c r="Y673" s="192"/>
      <c r="Z673" s="191"/>
      <c r="AA673" s="191"/>
      <c r="AB673" s="193"/>
      <c r="AC673" s="193"/>
      <c r="AD673" s="191"/>
      <c r="AE673" s="194"/>
      <c r="AF673" s="194"/>
      <c r="AG673" s="194"/>
      <c r="AH673" s="194"/>
      <c r="AI673" s="190"/>
    </row>
    <row r="674" ht="16.5" customHeight="1">
      <c r="A674" s="190"/>
      <c r="B674" s="191"/>
      <c r="C674" s="191"/>
      <c r="D674" s="191"/>
      <c r="E674" s="192"/>
      <c r="F674" s="192"/>
      <c r="G674" s="192"/>
      <c r="H674" s="192"/>
      <c r="I674" s="192"/>
      <c r="J674" s="193"/>
      <c r="K674" s="192"/>
      <c r="L674" s="190"/>
      <c r="M674" s="194"/>
      <c r="N674" s="194"/>
      <c r="O674" s="194"/>
      <c r="P674" s="194"/>
      <c r="Q674" s="194"/>
      <c r="R674" s="194"/>
      <c r="S674" s="195"/>
      <c r="T674" s="195"/>
      <c r="U674" s="195"/>
      <c r="V674" s="191"/>
      <c r="W674" s="192"/>
      <c r="X674" s="192"/>
      <c r="Y674" s="192"/>
      <c r="Z674" s="191"/>
      <c r="AA674" s="191"/>
      <c r="AB674" s="193"/>
      <c r="AC674" s="193"/>
      <c r="AD674" s="191"/>
      <c r="AE674" s="194"/>
      <c r="AF674" s="194"/>
      <c r="AG674" s="194"/>
      <c r="AH674" s="194"/>
      <c r="AI674" s="190"/>
    </row>
    <row r="675" ht="16.5" customHeight="1">
      <c r="A675" s="190"/>
      <c r="B675" s="191"/>
      <c r="C675" s="191"/>
      <c r="D675" s="191"/>
      <c r="E675" s="192"/>
      <c r="F675" s="192"/>
      <c r="G675" s="192"/>
      <c r="H675" s="192"/>
      <c r="I675" s="192"/>
      <c r="J675" s="193"/>
      <c r="K675" s="192"/>
      <c r="L675" s="190"/>
      <c r="M675" s="194"/>
      <c r="N675" s="194"/>
      <c r="O675" s="194"/>
      <c r="P675" s="194"/>
      <c r="Q675" s="194"/>
      <c r="R675" s="194"/>
      <c r="S675" s="195"/>
      <c r="T675" s="195"/>
      <c r="U675" s="195"/>
      <c r="V675" s="191"/>
      <c r="W675" s="192"/>
      <c r="X675" s="192"/>
      <c r="Y675" s="192"/>
      <c r="Z675" s="191"/>
      <c r="AA675" s="191"/>
      <c r="AB675" s="193"/>
      <c r="AC675" s="193"/>
      <c r="AD675" s="191"/>
      <c r="AE675" s="194"/>
      <c r="AF675" s="194"/>
      <c r="AG675" s="194"/>
      <c r="AH675" s="194"/>
      <c r="AI675" s="190"/>
    </row>
    <row r="676" ht="16.5" customHeight="1">
      <c r="A676" s="190"/>
      <c r="B676" s="191"/>
      <c r="C676" s="191"/>
      <c r="D676" s="191"/>
      <c r="E676" s="192"/>
      <c r="F676" s="192"/>
      <c r="G676" s="192"/>
      <c r="H676" s="192"/>
      <c r="I676" s="192"/>
      <c r="J676" s="193"/>
      <c r="K676" s="192"/>
      <c r="L676" s="190"/>
      <c r="M676" s="194"/>
      <c r="N676" s="194"/>
      <c r="O676" s="194"/>
      <c r="P676" s="194"/>
      <c r="Q676" s="194"/>
      <c r="R676" s="194"/>
      <c r="S676" s="195"/>
      <c r="T676" s="195"/>
      <c r="U676" s="195"/>
      <c r="V676" s="191"/>
      <c r="W676" s="192"/>
      <c r="X676" s="192"/>
      <c r="Y676" s="192"/>
      <c r="Z676" s="191"/>
      <c r="AA676" s="191"/>
      <c r="AB676" s="193"/>
      <c r="AC676" s="193"/>
      <c r="AD676" s="191"/>
      <c r="AE676" s="194"/>
      <c r="AF676" s="194"/>
      <c r="AG676" s="194"/>
      <c r="AH676" s="194"/>
      <c r="AI676" s="190"/>
    </row>
    <row r="677" ht="16.5" customHeight="1">
      <c r="A677" s="190"/>
      <c r="B677" s="191"/>
      <c r="C677" s="191"/>
      <c r="D677" s="191"/>
      <c r="E677" s="192"/>
      <c r="F677" s="192"/>
      <c r="G677" s="192"/>
      <c r="H677" s="192"/>
      <c r="I677" s="192"/>
      <c r="J677" s="193"/>
      <c r="K677" s="192"/>
      <c r="L677" s="190"/>
      <c r="M677" s="194"/>
      <c r="N677" s="194"/>
      <c r="O677" s="194"/>
      <c r="P677" s="194"/>
      <c r="Q677" s="194"/>
      <c r="R677" s="194"/>
      <c r="S677" s="195"/>
      <c r="T677" s="195"/>
      <c r="U677" s="195"/>
      <c r="V677" s="191"/>
      <c r="W677" s="192"/>
      <c r="X677" s="192"/>
      <c r="Y677" s="192"/>
      <c r="Z677" s="191"/>
      <c r="AA677" s="191"/>
      <c r="AB677" s="193"/>
      <c r="AC677" s="193"/>
      <c r="AD677" s="191"/>
      <c r="AE677" s="194"/>
      <c r="AF677" s="194"/>
      <c r="AG677" s="194"/>
      <c r="AH677" s="194"/>
      <c r="AI677" s="190"/>
    </row>
    <row r="678" ht="16.5" customHeight="1">
      <c r="A678" s="190"/>
      <c r="B678" s="191"/>
      <c r="C678" s="191"/>
      <c r="D678" s="191"/>
      <c r="E678" s="192"/>
      <c r="F678" s="192"/>
      <c r="G678" s="192"/>
      <c r="H678" s="192"/>
      <c r="I678" s="192"/>
      <c r="J678" s="193"/>
      <c r="K678" s="192"/>
      <c r="L678" s="190"/>
      <c r="M678" s="194"/>
      <c r="N678" s="194"/>
      <c r="O678" s="194"/>
      <c r="P678" s="194"/>
      <c r="Q678" s="194"/>
      <c r="R678" s="194"/>
      <c r="S678" s="195"/>
      <c r="T678" s="195"/>
      <c r="U678" s="195"/>
      <c r="V678" s="191"/>
      <c r="W678" s="192"/>
      <c r="X678" s="192"/>
      <c r="Y678" s="192"/>
      <c r="Z678" s="191"/>
      <c r="AA678" s="191"/>
      <c r="AB678" s="193"/>
      <c r="AC678" s="193"/>
      <c r="AD678" s="191"/>
      <c r="AE678" s="194"/>
      <c r="AF678" s="194"/>
      <c r="AG678" s="194"/>
      <c r="AH678" s="194"/>
      <c r="AI678" s="190"/>
    </row>
    <row r="679" ht="16.5" customHeight="1">
      <c r="A679" s="190"/>
      <c r="B679" s="191"/>
      <c r="C679" s="191"/>
      <c r="D679" s="191"/>
      <c r="E679" s="192"/>
      <c r="F679" s="192"/>
      <c r="G679" s="192"/>
      <c r="H679" s="192"/>
      <c r="I679" s="192"/>
      <c r="J679" s="193"/>
      <c r="K679" s="192"/>
      <c r="L679" s="190"/>
      <c r="M679" s="194"/>
      <c r="N679" s="194"/>
      <c r="O679" s="194"/>
      <c r="P679" s="194"/>
      <c r="Q679" s="194"/>
      <c r="R679" s="194"/>
      <c r="S679" s="195"/>
      <c r="T679" s="195"/>
      <c r="U679" s="195"/>
      <c r="V679" s="191"/>
      <c r="W679" s="192"/>
      <c r="X679" s="192"/>
      <c r="Y679" s="192"/>
      <c r="Z679" s="191"/>
      <c r="AA679" s="191"/>
      <c r="AB679" s="193"/>
      <c r="AC679" s="193"/>
      <c r="AD679" s="191"/>
      <c r="AE679" s="194"/>
      <c r="AF679" s="194"/>
      <c r="AG679" s="194"/>
      <c r="AH679" s="194"/>
      <c r="AI679" s="190"/>
    </row>
    <row r="680" ht="16.5" customHeight="1">
      <c r="A680" s="190"/>
      <c r="B680" s="191"/>
      <c r="C680" s="191"/>
      <c r="D680" s="191"/>
      <c r="E680" s="192"/>
      <c r="F680" s="192"/>
      <c r="G680" s="192"/>
      <c r="H680" s="192"/>
      <c r="I680" s="192"/>
      <c r="J680" s="193"/>
      <c r="K680" s="192"/>
      <c r="L680" s="190"/>
      <c r="M680" s="194"/>
      <c r="N680" s="194"/>
      <c r="O680" s="194"/>
      <c r="P680" s="194"/>
      <c r="Q680" s="194"/>
      <c r="R680" s="194"/>
      <c r="S680" s="195"/>
      <c r="T680" s="195"/>
      <c r="U680" s="195"/>
      <c r="V680" s="191"/>
      <c r="W680" s="192"/>
      <c r="X680" s="192"/>
      <c r="Y680" s="192"/>
      <c r="Z680" s="191"/>
      <c r="AA680" s="191"/>
      <c r="AB680" s="193"/>
      <c r="AC680" s="193"/>
      <c r="AD680" s="191"/>
      <c r="AE680" s="194"/>
      <c r="AF680" s="194"/>
      <c r="AG680" s="194"/>
      <c r="AH680" s="194"/>
      <c r="AI680" s="190"/>
    </row>
    <row r="681" ht="16.5" customHeight="1">
      <c r="A681" s="190"/>
      <c r="B681" s="191"/>
      <c r="C681" s="191"/>
      <c r="D681" s="191"/>
      <c r="E681" s="192"/>
      <c r="F681" s="192"/>
      <c r="G681" s="192"/>
      <c r="H681" s="192"/>
      <c r="I681" s="192"/>
      <c r="J681" s="193"/>
      <c r="K681" s="192"/>
      <c r="L681" s="190"/>
      <c r="M681" s="194"/>
      <c r="N681" s="194"/>
      <c r="O681" s="194"/>
      <c r="P681" s="194"/>
      <c r="Q681" s="194"/>
      <c r="R681" s="194"/>
      <c r="S681" s="195"/>
      <c r="T681" s="195"/>
      <c r="U681" s="195"/>
      <c r="V681" s="191"/>
      <c r="W681" s="192"/>
      <c r="X681" s="192"/>
      <c r="Y681" s="192"/>
      <c r="Z681" s="191"/>
      <c r="AA681" s="191"/>
      <c r="AB681" s="193"/>
      <c r="AC681" s="193"/>
      <c r="AD681" s="191"/>
      <c r="AE681" s="194"/>
      <c r="AF681" s="194"/>
      <c r="AG681" s="194"/>
      <c r="AH681" s="194"/>
      <c r="AI681" s="190"/>
    </row>
    <row r="682" ht="16.5" customHeight="1">
      <c r="A682" s="190"/>
      <c r="B682" s="191"/>
      <c r="C682" s="191"/>
      <c r="D682" s="191"/>
      <c r="E682" s="192"/>
      <c r="F682" s="192"/>
      <c r="G682" s="192"/>
      <c r="H682" s="192"/>
      <c r="I682" s="192"/>
      <c r="J682" s="193"/>
      <c r="K682" s="192"/>
      <c r="L682" s="190"/>
      <c r="M682" s="194"/>
      <c r="N682" s="194"/>
      <c r="O682" s="194"/>
      <c r="P682" s="194"/>
      <c r="Q682" s="194"/>
      <c r="R682" s="194"/>
      <c r="S682" s="195"/>
      <c r="T682" s="195"/>
      <c r="U682" s="195"/>
      <c r="V682" s="191"/>
      <c r="W682" s="192"/>
      <c r="X682" s="192"/>
      <c r="Y682" s="192"/>
      <c r="Z682" s="191"/>
      <c r="AA682" s="191"/>
      <c r="AB682" s="193"/>
      <c r="AC682" s="193"/>
      <c r="AD682" s="191"/>
      <c r="AE682" s="194"/>
      <c r="AF682" s="194"/>
      <c r="AG682" s="194"/>
      <c r="AH682" s="194"/>
      <c r="AI682" s="190"/>
    </row>
    <row r="683" ht="16.5" customHeight="1">
      <c r="A683" s="190"/>
      <c r="B683" s="191"/>
      <c r="C683" s="191"/>
      <c r="D683" s="191"/>
      <c r="E683" s="192"/>
      <c r="F683" s="192"/>
      <c r="G683" s="192"/>
      <c r="H683" s="192"/>
      <c r="I683" s="192"/>
      <c r="J683" s="193"/>
      <c r="K683" s="192"/>
      <c r="L683" s="190"/>
      <c r="M683" s="194"/>
      <c r="N683" s="194"/>
      <c r="O683" s="194"/>
      <c r="P683" s="194"/>
      <c r="Q683" s="194"/>
      <c r="R683" s="194"/>
      <c r="S683" s="195"/>
      <c r="T683" s="195"/>
      <c r="U683" s="195"/>
      <c r="V683" s="191"/>
      <c r="W683" s="192"/>
      <c r="X683" s="192"/>
      <c r="Y683" s="192"/>
      <c r="Z683" s="191"/>
      <c r="AA683" s="191"/>
      <c r="AB683" s="193"/>
      <c r="AC683" s="193"/>
      <c r="AD683" s="191"/>
      <c r="AE683" s="194"/>
      <c r="AF683" s="194"/>
      <c r="AG683" s="194"/>
      <c r="AH683" s="194"/>
      <c r="AI683" s="190"/>
    </row>
    <row r="684" ht="16.5" customHeight="1">
      <c r="A684" s="190"/>
      <c r="B684" s="191"/>
      <c r="C684" s="191"/>
      <c r="D684" s="191"/>
      <c r="E684" s="192"/>
      <c r="F684" s="192"/>
      <c r="G684" s="192"/>
      <c r="H684" s="192"/>
      <c r="I684" s="192"/>
      <c r="J684" s="193"/>
      <c r="K684" s="192"/>
      <c r="L684" s="190"/>
      <c r="M684" s="194"/>
      <c r="N684" s="194"/>
      <c r="O684" s="194"/>
      <c r="P684" s="194"/>
      <c r="Q684" s="194"/>
      <c r="R684" s="194"/>
      <c r="S684" s="195"/>
      <c r="T684" s="195"/>
      <c r="U684" s="195"/>
      <c r="V684" s="191"/>
      <c r="W684" s="192"/>
      <c r="X684" s="192"/>
      <c r="Y684" s="192"/>
      <c r="Z684" s="191"/>
      <c r="AA684" s="191"/>
      <c r="AB684" s="193"/>
      <c r="AC684" s="193"/>
      <c r="AD684" s="191"/>
      <c r="AE684" s="194"/>
      <c r="AF684" s="194"/>
      <c r="AG684" s="194"/>
      <c r="AH684" s="194"/>
      <c r="AI684" s="190"/>
    </row>
    <row r="685" ht="16.5" customHeight="1">
      <c r="A685" s="190"/>
      <c r="B685" s="191"/>
      <c r="C685" s="191"/>
      <c r="D685" s="191"/>
      <c r="E685" s="192"/>
      <c r="F685" s="192"/>
      <c r="G685" s="192"/>
      <c r="H685" s="192"/>
      <c r="I685" s="192"/>
      <c r="J685" s="193"/>
      <c r="K685" s="192"/>
      <c r="L685" s="190"/>
      <c r="M685" s="194"/>
      <c r="N685" s="194"/>
      <c r="O685" s="194"/>
      <c r="P685" s="194"/>
      <c r="Q685" s="194"/>
      <c r="R685" s="194"/>
      <c r="S685" s="195"/>
      <c r="T685" s="195"/>
      <c r="U685" s="195"/>
      <c r="V685" s="191"/>
      <c r="W685" s="192"/>
      <c r="X685" s="192"/>
      <c r="Y685" s="192"/>
      <c r="Z685" s="191"/>
      <c r="AA685" s="191"/>
      <c r="AB685" s="193"/>
      <c r="AC685" s="193"/>
      <c r="AD685" s="191"/>
      <c r="AE685" s="194"/>
      <c r="AF685" s="194"/>
      <c r="AG685" s="194"/>
      <c r="AH685" s="194"/>
      <c r="AI685" s="190"/>
    </row>
    <row r="686" ht="16.5" customHeight="1">
      <c r="A686" s="190"/>
      <c r="B686" s="191"/>
      <c r="C686" s="191"/>
      <c r="D686" s="191"/>
      <c r="E686" s="192"/>
      <c r="F686" s="192"/>
      <c r="G686" s="192"/>
      <c r="H686" s="192"/>
      <c r="I686" s="192"/>
      <c r="J686" s="193"/>
      <c r="K686" s="192"/>
      <c r="L686" s="190"/>
      <c r="M686" s="194"/>
      <c r="N686" s="194"/>
      <c r="O686" s="194"/>
      <c r="P686" s="194"/>
      <c r="Q686" s="194"/>
      <c r="R686" s="194"/>
      <c r="S686" s="195"/>
      <c r="T686" s="195"/>
      <c r="U686" s="195"/>
      <c r="V686" s="191"/>
      <c r="W686" s="192"/>
      <c r="X686" s="192"/>
      <c r="Y686" s="192"/>
      <c r="Z686" s="191"/>
      <c r="AA686" s="191"/>
      <c r="AB686" s="193"/>
      <c r="AC686" s="193"/>
      <c r="AD686" s="191"/>
      <c r="AE686" s="194"/>
      <c r="AF686" s="194"/>
      <c r="AG686" s="194"/>
      <c r="AH686" s="194"/>
      <c r="AI686" s="190"/>
    </row>
    <row r="687" ht="16.5" customHeight="1">
      <c r="A687" s="190"/>
      <c r="B687" s="191"/>
      <c r="C687" s="191"/>
      <c r="D687" s="191"/>
      <c r="E687" s="192"/>
      <c r="F687" s="192"/>
      <c r="G687" s="192"/>
      <c r="H687" s="192"/>
      <c r="I687" s="192"/>
      <c r="J687" s="193"/>
      <c r="K687" s="192"/>
      <c r="L687" s="190"/>
      <c r="M687" s="194"/>
      <c r="N687" s="194"/>
      <c r="O687" s="194"/>
      <c r="P687" s="194"/>
      <c r="Q687" s="194"/>
      <c r="R687" s="194"/>
      <c r="S687" s="195"/>
      <c r="T687" s="195"/>
      <c r="U687" s="195"/>
      <c r="V687" s="191"/>
      <c r="W687" s="192"/>
      <c r="X687" s="192"/>
      <c r="Y687" s="192"/>
      <c r="Z687" s="191"/>
      <c r="AA687" s="191"/>
      <c r="AB687" s="193"/>
      <c r="AC687" s="193"/>
      <c r="AD687" s="191"/>
      <c r="AE687" s="194"/>
      <c r="AF687" s="194"/>
      <c r="AG687" s="194"/>
      <c r="AH687" s="194"/>
      <c r="AI687" s="190"/>
    </row>
    <row r="688" ht="16.5" customHeight="1">
      <c r="A688" s="190"/>
      <c r="B688" s="191"/>
      <c r="C688" s="191"/>
      <c r="D688" s="191"/>
      <c r="E688" s="192"/>
      <c r="F688" s="192"/>
      <c r="G688" s="192"/>
      <c r="H688" s="192"/>
      <c r="I688" s="192"/>
      <c r="J688" s="193"/>
      <c r="K688" s="192"/>
      <c r="L688" s="190"/>
      <c r="M688" s="194"/>
      <c r="N688" s="194"/>
      <c r="O688" s="194"/>
      <c r="P688" s="194"/>
      <c r="Q688" s="194"/>
      <c r="R688" s="194"/>
      <c r="S688" s="195"/>
      <c r="T688" s="195"/>
      <c r="U688" s="195"/>
      <c r="V688" s="191"/>
      <c r="W688" s="192"/>
      <c r="X688" s="192"/>
      <c r="Y688" s="192"/>
      <c r="Z688" s="191"/>
      <c r="AA688" s="191"/>
      <c r="AB688" s="193"/>
      <c r="AC688" s="193"/>
      <c r="AD688" s="191"/>
      <c r="AE688" s="194"/>
      <c r="AF688" s="194"/>
      <c r="AG688" s="194"/>
      <c r="AH688" s="194"/>
      <c r="AI688" s="190"/>
    </row>
    <row r="689" ht="16.5" customHeight="1">
      <c r="A689" s="190"/>
      <c r="B689" s="191"/>
      <c r="C689" s="191"/>
      <c r="D689" s="191"/>
      <c r="E689" s="192"/>
      <c r="F689" s="192"/>
      <c r="G689" s="192"/>
      <c r="H689" s="192"/>
      <c r="I689" s="192"/>
      <c r="J689" s="193"/>
      <c r="K689" s="192"/>
      <c r="L689" s="190"/>
      <c r="M689" s="194"/>
      <c r="N689" s="194"/>
      <c r="O689" s="194"/>
      <c r="P689" s="194"/>
      <c r="Q689" s="194"/>
      <c r="R689" s="194"/>
      <c r="S689" s="195"/>
      <c r="T689" s="195"/>
      <c r="U689" s="195"/>
      <c r="V689" s="191"/>
      <c r="W689" s="192"/>
      <c r="X689" s="192"/>
      <c r="Y689" s="192"/>
      <c r="Z689" s="191"/>
      <c r="AA689" s="191"/>
      <c r="AB689" s="193"/>
      <c r="AC689" s="193"/>
      <c r="AD689" s="191"/>
      <c r="AE689" s="194"/>
      <c r="AF689" s="194"/>
      <c r="AG689" s="194"/>
      <c r="AH689" s="194"/>
      <c r="AI689" s="190"/>
    </row>
    <row r="690" ht="16.5" customHeight="1">
      <c r="A690" s="190"/>
      <c r="B690" s="191"/>
      <c r="C690" s="191"/>
      <c r="D690" s="191"/>
      <c r="E690" s="192"/>
      <c r="F690" s="192"/>
      <c r="G690" s="192"/>
      <c r="H690" s="192"/>
      <c r="I690" s="192"/>
      <c r="J690" s="193"/>
      <c r="K690" s="192"/>
      <c r="L690" s="190"/>
      <c r="M690" s="194"/>
      <c r="N690" s="194"/>
      <c r="O690" s="194"/>
      <c r="P690" s="194"/>
      <c r="Q690" s="194"/>
      <c r="R690" s="194"/>
      <c r="S690" s="195"/>
      <c r="T690" s="195"/>
      <c r="U690" s="195"/>
      <c r="V690" s="191"/>
      <c r="W690" s="192"/>
      <c r="X690" s="192"/>
      <c r="Y690" s="192"/>
      <c r="Z690" s="191"/>
      <c r="AA690" s="191"/>
      <c r="AB690" s="193"/>
      <c r="AC690" s="193"/>
      <c r="AD690" s="191"/>
      <c r="AE690" s="194"/>
      <c r="AF690" s="194"/>
      <c r="AG690" s="194"/>
      <c r="AH690" s="194"/>
      <c r="AI690" s="190"/>
    </row>
    <row r="691" ht="16.5" customHeight="1">
      <c r="A691" s="190"/>
      <c r="B691" s="191"/>
      <c r="C691" s="191"/>
      <c r="D691" s="191"/>
      <c r="E691" s="192"/>
      <c r="F691" s="192"/>
      <c r="G691" s="192"/>
      <c r="H691" s="192"/>
      <c r="I691" s="192"/>
      <c r="J691" s="193"/>
      <c r="K691" s="192"/>
      <c r="L691" s="190"/>
      <c r="M691" s="194"/>
      <c r="N691" s="194"/>
      <c r="O691" s="194"/>
      <c r="P691" s="194"/>
      <c r="Q691" s="194"/>
      <c r="R691" s="194"/>
      <c r="S691" s="195"/>
      <c r="T691" s="195"/>
      <c r="U691" s="195"/>
      <c r="V691" s="191"/>
      <c r="W691" s="192"/>
      <c r="X691" s="192"/>
      <c r="Y691" s="192"/>
      <c r="Z691" s="191"/>
      <c r="AA691" s="191"/>
      <c r="AB691" s="193"/>
      <c r="AC691" s="193"/>
      <c r="AD691" s="191"/>
      <c r="AE691" s="194"/>
      <c r="AF691" s="194"/>
      <c r="AG691" s="194"/>
      <c r="AH691" s="194"/>
      <c r="AI691" s="190"/>
    </row>
    <row r="692" ht="16.5" customHeight="1">
      <c r="A692" s="190"/>
      <c r="B692" s="191"/>
      <c r="C692" s="191"/>
      <c r="D692" s="191"/>
      <c r="E692" s="192"/>
      <c r="F692" s="192"/>
      <c r="G692" s="192"/>
      <c r="H692" s="192"/>
      <c r="I692" s="192"/>
      <c r="J692" s="193"/>
      <c r="K692" s="192"/>
      <c r="L692" s="190"/>
      <c r="M692" s="194"/>
      <c r="N692" s="194"/>
      <c r="O692" s="194"/>
      <c r="P692" s="194"/>
      <c r="Q692" s="194"/>
      <c r="R692" s="194"/>
      <c r="S692" s="195"/>
      <c r="T692" s="195"/>
      <c r="U692" s="195"/>
      <c r="V692" s="191"/>
      <c r="W692" s="192"/>
      <c r="X692" s="192"/>
      <c r="Y692" s="192"/>
      <c r="Z692" s="191"/>
      <c r="AA692" s="191"/>
      <c r="AB692" s="193"/>
      <c r="AC692" s="193"/>
      <c r="AD692" s="191"/>
      <c r="AE692" s="194"/>
      <c r="AF692" s="194"/>
      <c r="AG692" s="194"/>
      <c r="AH692" s="194"/>
      <c r="AI692" s="190"/>
    </row>
    <row r="693" ht="16.5" customHeight="1">
      <c r="A693" s="190"/>
      <c r="B693" s="191"/>
      <c r="C693" s="191"/>
      <c r="D693" s="191"/>
      <c r="E693" s="192"/>
      <c r="F693" s="192"/>
      <c r="G693" s="192"/>
      <c r="H693" s="192"/>
      <c r="I693" s="192"/>
      <c r="J693" s="193"/>
      <c r="K693" s="192"/>
      <c r="L693" s="190"/>
      <c r="M693" s="194"/>
      <c r="N693" s="194"/>
      <c r="O693" s="194"/>
      <c r="P693" s="194"/>
      <c r="Q693" s="194"/>
      <c r="R693" s="194"/>
      <c r="S693" s="195"/>
      <c r="T693" s="195"/>
      <c r="U693" s="195"/>
      <c r="V693" s="191"/>
      <c r="W693" s="192"/>
      <c r="X693" s="192"/>
      <c r="Y693" s="192"/>
      <c r="Z693" s="191"/>
      <c r="AA693" s="191"/>
      <c r="AB693" s="193"/>
      <c r="AC693" s="193"/>
      <c r="AD693" s="191"/>
      <c r="AE693" s="194"/>
      <c r="AF693" s="194"/>
      <c r="AG693" s="194"/>
      <c r="AH693" s="194"/>
      <c r="AI693" s="190"/>
    </row>
    <row r="694" ht="16.5" customHeight="1">
      <c r="A694" s="190"/>
      <c r="B694" s="191"/>
      <c r="C694" s="191"/>
      <c r="D694" s="191"/>
      <c r="E694" s="192"/>
      <c r="F694" s="192"/>
      <c r="G694" s="192"/>
      <c r="H694" s="192"/>
      <c r="I694" s="192"/>
      <c r="J694" s="193"/>
      <c r="K694" s="192"/>
      <c r="L694" s="190"/>
      <c r="M694" s="194"/>
      <c r="N694" s="194"/>
      <c r="O694" s="194"/>
      <c r="P694" s="194"/>
      <c r="Q694" s="194"/>
      <c r="R694" s="194"/>
      <c r="S694" s="195"/>
      <c r="T694" s="195"/>
      <c r="U694" s="195"/>
      <c r="V694" s="191"/>
      <c r="W694" s="192"/>
      <c r="X694" s="192"/>
      <c r="Y694" s="192"/>
      <c r="Z694" s="191"/>
      <c r="AA694" s="191"/>
      <c r="AB694" s="193"/>
      <c r="AC694" s="193"/>
      <c r="AD694" s="191"/>
      <c r="AE694" s="194"/>
      <c r="AF694" s="194"/>
      <c r="AG694" s="194"/>
      <c r="AH694" s="194"/>
      <c r="AI694" s="190"/>
    </row>
    <row r="695" ht="16.5" customHeight="1">
      <c r="A695" s="190"/>
      <c r="B695" s="191"/>
      <c r="C695" s="191"/>
      <c r="D695" s="191"/>
      <c r="E695" s="192"/>
      <c r="F695" s="192"/>
      <c r="G695" s="192"/>
      <c r="H695" s="192"/>
      <c r="I695" s="192"/>
      <c r="J695" s="193"/>
      <c r="K695" s="192"/>
      <c r="L695" s="190"/>
      <c r="M695" s="194"/>
      <c r="N695" s="194"/>
      <c r="O695" s="194"/>
      <c r="P695" s="194"/>
      <c r="Q695" s="194"/>
      <c r="R695" s="194"/>
      <c r="S695" s="195"/>
      <c r="T695" s="195"/>
      <c r="U695" s="195"/>
      <c r="V695" s="191"/>
      <c r="W695" s="192"/>
      <c r="X695" s="192"/>
      <c r="Y695" s="192"/>
      <c r="Z695" s="191"/>
      <c r="AA695" s="191"/>
      <c r="AB695" s="193"/>
      <c r="AC695" s="193"/>
      <c r="AD695" s="191"/>
      <c r="AE695" s="194"/>
      <c r="AF695" s="194"/>
      <c r="AG695" s="194"/>
      <c r="AH695" s="194"/>
      <c r="AI695" s="190"/>
    </row>
    <row r="696" ht="16.5" customHeight="1">
      <c r="A696" s="190"/>
      <c r="B696" s="191"/>
      <c r="C696" s="191"/>
      <c r="D696" s="191"/>
      <c r="E696" s="192"/>
      <c r="F696" s="192"/>
      <c r="G696" s="192"/>
      <c r="H696" s="192"/>
      <c r="I696" s="192"/>
      <c r="J696" s="193"/>
      <c r="K696" s="192"/>
      <c r="L696" s="190"/>
      <c r="M696" s="194"/>
      <c r="N696" s="194"/>
      <c r="O696" s="194"/>
      <c r="P696" s="194"/>
      <c r="Q696" s="194"/>
      <c r="R696" s="194"/>
      <c r="S696" s="195"/>
      <c r="T696" s="195"/>
      <c r="U696" s="195"/>
      <c r="V696" s="191"/>
      <c r="W696" s="192"/>
      <c r="X696" s="192"/>
      <c r="Y696" s="192"/>
      <c r="Z696" s="191"/>
      <c r="AA696" s="191"/>
      <c r="AB696" s="193"/>
      <c r="AC696" s="193"/>
      <c r="AD696" s="191"/>
      <c r="AE696" s="194"/>
      <c r="AF696" s="194"/>
      <c r="AG696" s="194"/>
      <c r="AH696" s="194"/>
      <c r="AI696" s="190"/>
    </row>
    <row r="697" ht="16.5" customHeight="1">
      <c r="A697" s="190"/>
      <c r="B697" s="191"/>
      <c r="C697" s="191"/>
      <c r="D697" s="191"/>
      <c r="E697" s="192"/>
      <c r="F697" s="192"/>
      <c r="G697" s="192"/>
      <c r="H697" s="192"/>
      <c r="I697" s="192"/>
      <c r="J697" s="193"/>
      <c r="K697" s="192"/>
      <c r="L697" s="190"/>
      <c r="M697" s="194"/>
      <c r="N697" s="194"/>
      <c r="O697" s="194"/>
      <c r="P697" s="194"/>
      <c r="Q697" s="194"/>
      <c r="R697" s="194"/>
      <c r="S697" s="195"/>
      <c r="T697" s="195"/>
      <c r="U697" s="195"/>
      <c r="V697" s="191"/>
      <c r="W697" s="192"/>
      <c r="X697" s="192"/>
      <c r="Y697" s="192"/>
      <c r="Z697" s="191"/>
      <c r="AA697" s="191"/>
      <c r="AB697" s="193"/>
      <c r="AC697" s="193"/>
      <c r="AD697" s="191"/>
      <c r="AE697" s="194"/>
      <c r="AF697" s="194"/>
      <c r="AG697" s="194"/>
      <c r="AH697" s="194"/>
      <c r="AI697" s="190"/>
    </row>
    <row r="698" ht="16.5" customHeight="1">
      <c r="A698" s="190"/>
      <c r="B698" s="191"/>
      <c r="C698" s="191"/>
      <c r="D698" s="191"/>
      <c r="E698" s="192"/>
      <c r="F698" s="192"/>
      <c r="G698" s="192"/>
      <c r="H698" s="192"/>
      <c r="I698" s="192"/>
      <c r="J698" s="193"/>
      <c r="K698" s="192"/>
      <c r="L698" s="190"/>
      <c r="M698" s="194"/>
      <c r="N698" s="194"/>
      <c r="O698" s="194"/>
      <c r="P698" s="194"/>
      <c r="Q698" s="194"/>
      <c r="R698" s="194"/>
      <c r="S698" s="195"/>
      <c r="T698" s="195"/>
      <c r="U698" s="195"/>
      <c r="V698" s="191"/>
      <c r="W698" s="192"/>
      <c r="X698" s="192"/>
      <c r="Y698" s="192"/>
      <c r="Z698" s="191"/>
      <c r="AA698" s="191"/>
      <c r="AB698" s="193"/>
      <c r="AC698" s="193"/>
      <c r="AD698" s="191"/>
      <c r="AE698" s="194"/>
      <c r="AF698" s="194"/>
      <c r="AG698" s="194"/>
      <c r="AH698" s="194"/>
      <c r="AI698" s="190"/>
    </row>
    <row r="699" ht="16.5" customHeight="1">
      <c r="A699" s="190"/>
      <c r="B699" s="191"/>
      <c r="C699" s="191"/>
      <c r="D699" s="191"/>
      <c r="E699" s="192"/>
      <c r="F699" s="192"/>
      <c r="G699" s="192"/>
      <c r="H699" s="192"/>
      <c r="I699" s="192"/>
      <c r="J699" s="193"/>
      <c r="K699" s="192"/>
      <c r="L699" s="190"/>
      <c r="M699" s="194"/>
      <c r="N699" s="194"/>
      <c r="O699" s="194"/>
      <c r="P699" s="194"/>
      <c r="Q699" s="194"/>
      <c r="R699" s="194"/>
      <c r="S699" s="195"/>
      <c r="T699" s="195"/>
      <c r="U699" s="195"/>
      <c r="V699" s="191"/>
      <c r="W699" s="192"/>
      <c r="X699" s="192"/>
      <c r="Y699" s="192"/>
      <c r="Z699" s="191"/>
      <c r="AA699" s="191"/>
      <c r="AB699" s="193"/>
      <c r="AC699" s="193"/>
      <c r="AD699" s="191"/>
      <c r="AE699" s="194"/>
      <c r="AF699" s="194"/>
      <c r="AG699" s="194"/>
      <c r="AH699" s="194"/>
      <c r="AI699" s="190"/>
    </row>
    <row r="700" ht="16.5" customHeight="1">
      <c r="A700" s="190"/>
      <c r="B700" s="191"/>
      <c r="C700" s="191"/>
      <c r="D700" s="191"/>
      <c r="E700" s="192"/>
      <c r="F700" s="192"/>
      <c r="G700" s="192"/>
      <c r="H700" s="192"/>
      <c r="I700" s="192"/>
      <c r="J700" s="193"/>
      <c r="K700" s="192"/>
      <c r="L700" s="190"/>
      <c r="M700" s="194"/>
      <c r="N700" s="194"/>
      <c r="O700" s="194"/>
      <c r="P700" s="194"/>
      <c r="Q700" s="194"/>
      <c r="R700" s="194"/>
      <c r="S700" s="195"/>
      <c r="T700" s="195"/>
      <c r="U700" s="195"/>
      <c r="V700" s="191"/>
      <c r="W700" s="192"/>
      <c r="X700" s="192"/>
      <c r="Y700" s="192"/>
      <c r="Z700" s="191"/>
      <c r="AA700" s="191"/>
      <c r="AB700" s="193"/>
      <c r="AC700" s="193"/>
      <c r="AD700" s="191"/>
      <c r="AE700" s="194"/>
      <c r="AF700" s="194"/>
      <c r="AG700" s="194"/>
      <c r="AH700" s="194"/>
      <c r="AI700" s="190"/>
    </row>
    <row r="701" ht="16.5" customHeight="1">
      <c r="A701" s="190"/>
      <c r="B701" s="191"/>
      <c r="C701" s="191"/>
      <c r="D701" s="191"/>
      <c r="E701" s="192"/>
      <c r="F701" s="192"/>
      <c r="G701" s="192"/>
      <c r="H701" s="192"/>
      <c r="I701" s="192"/>
      <c r="J701" s="193"/>
      <c r="K701" s="192"/>
      <c r="L701" s="190"/>
      <c r="M701" s="194"/>
      <c r="N701" s="194"/>
      <c r="O701" s="194"/>
      <c r="P701" s="194"/>
      <c r="Q701" s="194"/>
      <c r="R701" s="194"/>
      <c r="S701" s="195"/>
      <c r="T701" s="195"/>
      <c r="U701" s="195"/>
      <c r="V701" s="191"/>
      <c r="W701" s="192"/>
      <c r="X701" s="192"/>
      <c r="Y701" s="192"/>
      <c r="Z701" s="191"/>
      <c r="AA701" s="191"/>
      <c r="AB701" s="193"/>
      <c r="AC701" s="193"/>
      <c r="AD701" s="191"/>
      <c r="AE701" s="194"/>
      <c r="AF701" s="194"/>
      <c r="AG701" s="194"/>
      <c r="AH701" s="194"/>
      <c r="AI701" s="190"/>
    </row>
    <row r="702" ht="16.5" customHeight="1">
      <c r="A702" s="190"/>
      <c r="B702" s="191"/>
      <c r="C702" s="191"/>
      <c r="D702" s="191"/>
      <c r="E702" s="192"/>
      <c r="F702" s="192"/>
      <c r="G702" s="192"/>
      <c r="H702" s="192"/>
      <c r="I702" s="192"/>
      <c r="J702" s="193"/>
      <c r="K702" s="192"/>
      <c r="L702" s="190"/>
      <c r="M702" s="194"/>
      <c r="N702" s="194"/>
      <c r="O702" s="194"/>
      <c r="P702" s="194"/>
      <c r="Q702" s="194"/>
      <c r="R702" s="194"/>
      <c r="S702" s="195"/>
      <c r="T702" s="195"/>
      <c r="U702" s="195"/>
      <c r="V702" s="191"/>
      <c r="W702" s="192"/>
      <c r="X702" s="192"/>
      <c r="Y702" s="192"/>
      <c r="Z702" s="191"/>
      <c r="AA702" s="191"/>
      <c r="AB702" s="193"/>
      <c r="AC702" s="193"/>
      <c r="AD702" s="191"/>
      <c r="AE702" s="194"/>
      <c r="AF702" s="194"/>
      <c r="AG702" s="194"/>
      <c r="AH702" s="194"/>
      <c r="AI702" s="190"/>
    </row>
    <row r="703" ht="16.5" customHeight="1">
      <c r="A703" s="190"/>
      <c r="B703" s="191"/>
      <c r="C703" s="191"/>
      <c r="D703" s="191"/>
      <c r="E703" s="192"/>
      <c r="F703" s="192"/>
      <c r="G703" s="192"/>
      <c r="H703" s="192"/>
      <c r="I703" s="192"/>
      <c r="J703" s="193"/>
      <c r="K703" s="192"/>
      <c r="L703" s="190"/>
      <c r="M703" s="194"/>
      <c r="N703" s="194"/>
      <c r="O703" s="194"/>
      <c r="P703" s="194"/>
      <c r="Q703" s="194"/>
      <c r="R703" s="194"/>
      <c r="S703" s="195"/>
      <c r="T703" s="195"/>
      <c r="U703" s="195"/>
      <c r="V703" s="191"/>
      <c r="W703" s="192"/>
      <c r="X703" s="192"/>
      <c r="Y703" s="192"/>
      <c r="Z703" s="191"/>
      <c r="AA703" s="191"/>
      <c r="AB703" s="193"/>
      <c r="AC703" s="193"/>
      <c r="AD703" s="191"/>
      <c r="AE703" s="194"/>
      <c r="AF703" s="194"/>
      <c r="AG703" s="194"/>
      <c r="AH703" s="194"/>
      <c r="AI703" s="190"/>
    </row>
    <row r="704" ht="16.5" customHeight="1">
      <c r="A704" s="190"/>
      <c r="B704" s="191"/>
      <c r="C704" s="191"/>
      <c r="D704" s="191"/>
      <c r="E704" s="192"/>
      <c r="F704" s="192"/>
      <c r="G704" s="192"/>
      <c r="H704" s="192"/>
      <c r="I704" s="192"/>
      <c r="J704" s="193"/>
      <c r="K704" s="192"/>
      <c r="L704" s="190"/>
      <c r="M704" s="194"/>
      <c r="N704" s="194"/>
      <c r="O704" s="194"/>
      <c r="P704" s="194"/>
      <c r="Q704" s="194"/>
      <c r="R704" s="194"/>
      <c r="S704" s="195"/>
      <c r="T704" s="195"/>
      <c r="U704" s="195"/>
      <c r="V704" s="191"/>
      <c r="W704" s="192"/>
      <c r="X704" s="192"/>
      <c r="Y704" s="192"/>
      <c r="Z704" s="191"/>
      <c r="AA704" s="191"/>
      <c r="AB704" s="193"/>
      <c r="AC704" s="193"/>
      <c r="AD704" s="191"/>
      <c r="AE704" s="194"/>
      <c r="AF704" s="194"/>
      <c r="AG704" s="194"/>
      <c r="AH704" s="194"/>
      <c r="AI704" s="190"/>
    </row>
    <row r="705" ht="16.5" customHeight="1">
      <c r="A705" s="190"/>
      <c r="B705" s="191"/>
      <c r="C705" s="191"/>
      <c r="D705" s="191"/>
      <c r="E705" s="192"/>
      <c r="F705" s="192"/>
      <c r="G705" s="192"/>
      <c r="H705" s="192"/>
      <c r="I705" s="192"/>
      <c r="J705" s="193"/>
      <c r="K705" s="192"/>
      <c r="L705" s="190"/>
      <c r="M705" s="194"/>
      <c r="N705" s="194"/>
      <c r="O705" s="194"/>
      <c r="P705" s="194"/>
      <c r="Q705" s="194"/>
      <c r="R705" s="194"/>
      <c r="S705" s="195"/>
      <c r="T705" s="195"/>
      <c r="U705" s="195"/>
      <c r="V705" s="191"/>
      <c r="W705" s="192"/>
      <c r="X705" s="192"/>
      <c r="Y705" s="192"/>
      <c r="Z705" s="191"/>
      <c r="AA705" s="191"/>
      <c r="AB705" s="193"/>
      <c r="AC705" s="193"/>
      <c r="AD705" s="191"/>
      <c r="AE705" s="194"/>
      <c r="AF705" s="194"/>
      <c r="AG705" s="194"/>
      <c r="AH705" s="194"/>
      <c r="AI705" s="190"/>
    </row>
    <row r="706" ht="16.5" customHeight="1">
      <c r="A706" s="190"/>
      <c r="B706" s="191"/>
      <c r="C706" s="191"/>
      <c r="D706" s="191"/>
      <c r="E706" s="192"/>
      <c r="F706" s="192"/>
      <c r="G706" s="192"/>
      <c r="H706" s="192"/>
      <c r="I706" s="192"/>
      <c r="J706" s="193"/>
      <c r="K706" s="192"/>
      <c r="L706" s="190"/>
      <c r="M706" s="194"/>
      <c r="N706" s="194"/>
      <c r="O706" s="194"/>
      <c r="P706" s="194"/>
      <c r="Q706" s="194"/>
      <c r="R706" s="194"/>
      <c r="S706" s="195"/>
      <c r="T706" s="195"/>
      <c r="U706" s="195"/>
      <c r="V706" s="191"/>
      <c r="W706" s="192"/>
      <c r="X706" s="192"/>
      <c r="Y706" s="192"/>
      <c r="Z706" s="191"/>
      <c r="AA706" s="191"/>
      <c r="AB706" s="193"/>
      <c r="AC706" s="193"/>
      <c r="AD706" s="191"/>
      <c r="AE706" s="194"/>
      <c r="AF706" s="194"/>
      <c r="AG706" s="194"/>
      <c r="AH706" s="194"/>
      <c r="AI706" s="190"/>
    </row>
    <row r="707" ht="16.5" customHeight="1">
      <c r="A707" s="190"/>
      <c r="B707" s="191"/>
      <c r="C707" s="191"/>
      <c r="D707" s="191"/>
      <c r="E707" s="192"/>
      <c r="F707" s="192"/>
      <c r="G707" s="192"/>
      <c r="H707" s="192"/>
      <c r="I707" s="192"/>
      <c r="J707" s="193"/>
      <c r="K707" s="192"/>
      <c r="L707" s="190"/>
      <c r="M707" s="194"/>
      <c r="N707" s="194"/>
      <c r="O707" s="194"/>
      <c r="P707" s="194"/>
      <c r="Q707" s="194"/>
      <c r="R707" s="194"/>
      <c r="S707" s="195"/>
      <c r="T707" s="195"/>
      <c r="U707" s="195"/>
      <c r="V707" s="191"/>
      <c r="W707" s="192"/>
      <c r="X707" s="192"/>
      <c r="Y707" s="192"/>
      <c r="Z707" s="191"/>
      <c r="AA707" s="191"/>
      <c r="AB707" s="193"/>
      <c r="AC707" s="193"/>
      <c r="AD707" s="191"/>
      <c r="AE707" s="194"/>
      <c r="AF707" s="194"/>
      <c r="AG707" s="194"/>
      <c r="AH707" s="194"/>
      <c r="AI707" s="190"/>
    </row>
    <row r="708" ht="16.5" customHeight="1">
      <c r="A708" s="190"/>
      <c r="B708" s="191"/>
      <c r="C708" s="191"/>
      <c r="D708" s="191"/>
      <c r="E708" s="192"/>
      <c r="F708" s="192"/>
      <c r="G708" s="192"/>
      <c r="H708" s="192"/>
      <c r="I708" s="192"/>
      <c r="J708" s="193"/>
      <c r="K708" s="192"/>
      <c r="L708" s="190"/>
      <c r="M708" s="194"/>
      <c r="N708" s="194"/>
      <c r="O708" s="194"/>
      <c r="P708" s="194"/>
      <c r="Q708" s="194"/>
      <c r="R708" s="194"/>
      <c r="S708" s="195"/>
      <c r="T708" s="195"/>
      <c r="U708" s="195"/>
      <c r="V708" s="191"/>
      <c r="W708" s="192"/>
      <c r="X708" s="192"/>
      <c r="Y708" s="192"/>
      <c r="Z708" s="191"/>
      <c r="AA708" s="191"/>
      <c r="AB708" s="193"/>
      <c r="AC708" s="193"/>
      <c r="AD708" s="191"/>
      <c r="AE708" s="194"/>
      <c r="AF708" s="194"/>
      <c r="AG708" s="194"/>
      <c r="AH708" s="194"/>
      <c r="AI708" s="190"/>
    </row>
    <row r="709" ht="16.5" customHeight="1">
      <c r="A709" s="190"/>
      <c r="B709" s="191"/>
      <c r="C709" s="191"/>
      <c r="D709" s="191"/>
      <c r="E709" s="192"/>
      <c r="F709" s="192"/>
      <c r="G709" s="192"/>
      <c r="H709" s="192"/>
      <c r="I709" s="192"/>
      <c r="J709" s="193"/>
      <c r="K709" s="192"/>
      <c r="L709" s="190"/>
      <c r="M709" s="194"/>
      <c r="N709" s="194"/>
      <c r="O709" s="194"/>
      <c r="P709" s="194"/>
      <c r="Q709" s="194"/>
      <c r="R709" s="194"/>
      <c r="S709" s="195"/>
      <c r="T709" s="195"/>
      <c r="U709" s="195"/>
      <c r="V709" s="191"/>
      <c r="W709" s="192"/>
      <c r="X709" s="192"/>
      <c r="Y709" s="192"/>
      <c r="Z709" s="191"/>
      <c r="AA709" s="191"/>
      <c r="AB709" s="193"/>
      <c r="AC709" s="193"/>
      <c r="AD709" s="191"/>
      <c r="AE709" s="194"/>
      <c r="AF709" s="194"/>
      <c r="AG709" s="194"/>
      <c r="AH709" s="194"/>
      <c r="AI709" s="190"/>
    </row>
    <row r="710" ht="16.5" customHeight="1">
      <c r="A710" s="190"/>
      <c r="B710" s="191"/>
      <c r="C710" s="191"/>
      <c r="D710" s="191"/>
      <c r="E710" s="192"/>
      <c r="F710" s="192"/>
      <c r="G710" s="192"/>
      <c r="H710" s="192"/>
      <c r="I710" s="192"/>
      <c r="J710" s="193"/>
      <c r="K710" s="192"/>
      <c r="L710" s="190"/>
      <c r="M710" s="194"/>
      <c r="N710" s="194"/>
      <c r="O710" s="194"/>
      <c r="P710" s="194"/>
      <c r="Q710" s="194"/>
      <c r="R710" s="194"/>
      <c r="S710" s="195"/>
      <c r="T710" s="195"/>
      <c r="U710" s="195"/>
      <c r="V710" s="191"/>
      <c r="W710" s="192"/>
      <c r="X710" s="192"/>
      <c r="Y710" s="192"/>
      <c r="Z710" s="191"/>
      <c r="AA710" s="191"/>
      <c r="AB710" s="193"/>
      <c r="AC710" s="193"/>
      <c r="AD710" s="191"/>
      <c r="AE710" s="194"/>
      <c r="AF710" s="194"/>
      <c r="AG710" s="194"/>
      <c r="AH710" s="194"/>
      <c r="AI710" s="190"/>
    </row>
    <row r="711" ht="16.5" customHeight="1">
      <c r="A711" s="190"/>
      <c r="B711" s="191"/>
      <c r="C711" s="191"/>
      <c r="D711" s="191"/>
      <c r="E711" s="192"/>
      <c r="F711" s="192"/>
      <c r="G711" s="192"/>
      <c r="H711" s="192"/>
      <c r="I711" s="192"/>
      <c r="J711" s="193"/>
      <c r="K711" s="192"/>
      <c r="L711" s="190"/>
      <c r="M711" s="194"/>
      <c r="N711" s="194"/>
      <c r="O711" s="194"/>
      <c r="P711" s="194"/>
      <c r="Q711" s="194"/>
      <c r="R711" s="194"/>
      <c r="S711" s="195"/>
      <c r="T711" s="195"/>
      <c r="U711" s="195"/>
      <c r="V711" s="191"/>
      <c r="W711" s="192"/>
      <c r="X711" s="192"/>
      <c r="Y711" s="192"/>
      <c r="Z711" s="191"/>
      <c r="AA711" s="191"/>
      <c r="AB711" s="193"/>
      <c r="AC711" s="193"/>
      <c r="AD711" s="191"/>
      <c r="AE711" s="194"/>
      <c r="AF711" s="194"/>
      <c r="AG711" s="194"/>
      <c r="AH711" s="194"/>
      <c r="AI711" s="190"/>
    </row>
    <row r="712" ht="16.5" customHeight="1">
      <c r="A712" s="190"/>
      <c r="B712" s="191"/>
      <c r="C712" s="191"/>
      <c r="D712" s="191"/>
      <c r="E712" s="192"/>
      <c r="F712" s="192"/>
      <c r="G712" s="192"/>
      <c r="H712" s="192"/>
      <c r="I712" s="192"/>
      <c r="J712" s="193"/>
      <c r="K712" s="192"/>
      <c r="L712" s="190"/>
      <c r="M712" s="194"/>
      <c r="N712" s="194"/>
      <c r="O712" s="194"/>
      <c r="P712" s="194"/>
      <c r="Q712" s="194"/>
      <c r="R712" s="194"/>
      <c r="S712" s="195"/>
      <c r="T712" s="195"/>
      <c r="U712" s="195"/>
      <c r="V712" s="191"/>
      <c r="W712" s="192"/>
      <c r="X712" s="192"/>
      <c r="Y712" s="192"/>
      <c r="Z712" s="191"/>
      <c r="AA712" s="191"/>
      <c r="AB712" s="193"/>
      <c r="AC712" s="193"/>
      <c r="AD712" s="191"/>
      <c r="AE712" s="194"/>
      <c r="AF712" s="194"/>
      <c r="AG712" s="194"/>
      <c r="AH712" s="194"/>
      <c r="AI712" s="190"/>
    </row>
    <row r="713" ht="16.5" customHeight="1">
      <c r="A713" s="190"/>
      <c r="B713" s="191"/>
      <c r="C713" s="191"/>
      <c r="D713" s="191"/>
      <c r="E713" s="192"/>
      <c r="F713" s="192"/>
      <c r="G713" s="192"/>
      <c r="H713" s="192"/>
      <c r="I713" s="192"/>
      <c r="J713" s="193"/>
      <c r="K713" s="192"/>
      <c r="L713" s="190"/>
      <c r="M713" s="194"/>
      <c r="N713" s="194"/>
      <c r="O713" s="194"/>
      <c r="P713" s="194"/>
      <c r="Q713" s="194"/>
      <c r="R713" s="194"/>
      <c r="S713" s="195"/>
      <c r="T713" s="195"/>
      <c r="U713" s="195"/>
      <c r="V713" s="191"/>
      <c r="W713" s="192"/>
      <c r="X713" s="192"/>
      <c r="Y713" s="192"/>
      <c r="Z713" s="191"/>
      <c r="AA713" s="191"/>
      <c r="AB713" s="193"/>
      <c r="AC713" s="193"/>
      <c r="AD713" s="191"/>
      <c r="AE713" s="194"/>
      <c r="AF713" s="194"/>
      <c r="AG713" s="194"/>
      <c r="AH713" s="194"/>
      <c r="AI713" s="190"/>
    </row>
    <row r="714" ht="16.5" customHeight="1">
      <c r="A714" s="190"/>
      <c r="B714" s="191"/>
      <c r="C714" s="191"/>
      <c r="D714" s="191"/>
      <c r="E714" s="192"/>
      <c r="F714" s="192"/>
      <c r="G714" s="192"/>
      <c r="H714" s="192"/>
      <c r="I714" s="192"/>
      <c r="J714" s="193"/>
      <c r="K714" s="192"/>
      <c r="L714" s="190"/>
      <c r="M714" s="194"/>
      <c r="N714" s="194"/>
      <c r="O714" s="194"/>
      <c r="P714" s="194"/>
      <c r="Q714" s="194"/>
      <c r="R714" s="194"/>
      <c r="S714" s="195"/>
      <c r="T714" s="195"/>
      <c r="U714" s="195"/>
      <c r="V714" s="191"/>
      <c r="W714" s="192"/>
      <c r="X714" s="192"/>
      <c r="Y714" s="192"/>
      <c r="Z714" s="191"/>
      <c r="AA714" s="191"/>
      <c r="AB714" s="193"/>
      <c r="AC714" s="193"/>
      <c r="AD714" s="191"/>
      <c r="AE714" s="194"/>
      <c r="AF714" s="194"/>
      <c r="AG714" s="194"/>
      <c r="AH714" s="194"/>
      <c r="AI714" s="190"/>
    </row>
    <row r="715" ht="16.5" customHeight="1">
      <c r="A715" s="190"/>
      <c r="B715" s="191"/>
      <c r="C715" s="191"/>
      <c r="D715" s="191"/>
      <c r="E715" s="192"/>
      <c r="F715" s="192"/>
      <c r="G715" s="192"/>
      <c r="H715" s="192"/>
      <c r="I715" s="192"/>
      <c r="J715" s="193"/>
      <c r="K715" s="192"/>
      <c r="L715" s="190"/>
      <c r="M715" s="194"/>
      <c r="N715" s="194"/>
      <c r="O715" s="194"/>
      <c r="P715" s="194"/>
      <c r="Q715" s="194"/>
      <c r="R715" s="194"/>
      <c r="S715" s="195"/>
      <c r="T715" s="195"/>
      <c r="U715" s="195"/>
      <c r="V715" s="191"/>
      <c r="W715" s="192"/>
      <c r="X715" s="192"/>
      <c r="Y715" s="192"/>
      <c r="Z715" s="191"/>
      <c r="AA715" s="191"/>
      <c r="AB715" s="193"/>
      <c r="AC715" s="193"/>
      <c r="AD715" s="191"/>
      <c r="AE715" s="194"/>
      <c r="AF715" s="194"/>
      <c r="AG715" s="194"/>
      <c r="AH715" s="194"/>
      <c r="AI715" s="190"/>
    </row>
    <row r="716" ht="16.5" customHeight="1">
      <c r="A716" s="190"/>
      <c r="B716" s="191"/>
      <c r="C716" s="191"/>
      <c r="D716" s="191"/>
      <c r="E716" s="192"/>
      <c r="F716" s="192"/>
      <c r="G716" s="192"/>
      <c r="H716" s="192"/>
      <c r="I716" s="192"/>
      <c r="J716" s="193"/>
      <c r="K716" s="192"/>
      <c r="L716" s="190"/>
      <c r="M716" s="194"/>
      <c r="N716" s="194"/>
      <c r="O716" s="194"/>
      <c r="P716" s="194"/>
      <c r="Q716" s="194"/>
      <c r="R716" s="194"/>
      <c r="S716" s="195"/>
      <c r="T716" s="195"/>
      <c r="U716" s="195"/>
      <c r="V716" s="191"/>
      <c r="W716" s="192"/>
      <c r="X716" s="192"/>
      <c r="Y716" s="192"/>
      <c r="Z716" s="191"/>
      <c r="AA716" s="191"/>
      <c r="AB716" s="193"/>
      <c r="AC716" s="193"/>
      <c r="AD716" s="191"/>
      <c r="AE716" s="194"/>
      <c r="AF716" s="194"/>
      <c r="AG716" s="194"/>
      <c r="AH716" s="194"/>
      <c r="AI716" s="190"/>
    </row>
    <row r="717" ht="16.5" customHeight="1">
      <c r="A717" s="190"/>
      <c r="B717" s="191"/>
      <c r="C717" s="191"/>
      <c r="D717" s="191"/>
      <c r="E717" s="192"/>
      <c r="F717" s="192"/>
      <c r="G717" s="192"/>
      <c r="H717" s="192"/>
      <c r="I717" s="192"/>
      <c r="J717" s="193"/>
      <c r="K717" s="192"/>
      <c r="L717" s="190"/>
      <c r="M717" s="194"/>
      <c r="N717" s="194"/>
      <c r="O717" s="194"/>
      <c r="P717" s="194"/>
      <c r="Q717" s="194"/>
      <c r="R717" s="194"/>
      <c r="S717" s="195"/>
      <c r="T717" s="195"/>
      <c r="U717" s="195"/>
      <c r="V717" s="191"/>
      <c r="W717" s="192"/>
      <c r="X717" s="192"/>
      <c r="Y717" s="192"/>
      <c r="Z717" s="191"/>
      <c r="AA717" s="191"/>
      <c r="AB717" s="193"/>
      <c r="AC717" s="193"/>
      <c r="AD717" s="191"/>
      <c r="AE717" s="194"/>
      <c r="AF717" s="194"/>
      <c r="AG717" s="194"/>
      <c r="AH717" s="194"/>
      <c r="AI717" s="190"/>
    </row>
    <row r="718" ht="16.5" customHeight="1">
      <c r="A718" s="190"/>
      <c r="B718" s="191"/>
      <c r="C718" s="191"/>
      <c r="D718" s="191"/>
      <c r="E718" s="192"/>
      <c r="F718" s="192"/>
      <c r="G718" s="192"/>
      <c r="H718" s="192"/>
      <c r="I718" s="192"/>
      <c r="J718" s="193"/>
      <c r="K718" s="192"/>
      <c r="L718" s="190"/>
      <c r="M718" s="194"/>
      <c r="N718" s="194"/>
      <c r="O718" s="194"/>
      <c r="P718" s="194"/>
      <c r="Q718" s="194"/>
      <c r="R718" s="194"/>
      <c r="S718" s="195"/>
      <c r="T718" s="195"/>
      <c r="U718" s="195"/>
      <c r="V718" s="191"/>
      <c r="W718" s="192"/>
      <c r="X718" s="192"/>
      <c r="Y718" s="192"/>
      <c r="Z718" s="191"/>
      <c r="AA718" s="191"/>
      <c r="AB718" s="193"/>
      <c r="AC718" s="193"/>
      <c r="AD718" s="191"/>
      <c r="AE718" s="194"/>
      <c r="AF718" s="194"/>
      <c r="AG718" s="194"/>
      <c r="AH718" s="194"/>
      <c r="AI718" s="190"/>
    </row>
    <row r="719" ht="16.5" customHeight="1">
      <c r="A719" s="190"/>
      <c r="B719" s="191"/>
      <c r="C719" s="191"/>
      <c r="D719" s="191"/>
      <c r="E719" s="192"/>
      <c r="F719" s="192"/>
      <c r="G719" s="192"/>
      <c r="H719" s="192"/>
      <c r="I719" s="192"/>
      <c r="J719" s="193"/>
      <c r="K719" s="192"/>
      <c r="L719" s="190"/>
      <c r="M719" s="194"/>
      <c r="N719" s="194"/>
      <c r="O719" s="194"/>
      <c r="P719" s="194"/>
      <c r="Q719" s="194"/>
      <c r="R719" s="194"/>
      <c r="S719" s="195"/>
      <c r="T719" s="195"/>
      <c r="U719" s="195"/>
      <c r="V719" s="191"/>
      <c r="W719" s="192"/>
      <c r="X719" s="192"/>
      <c r="Y719" s="192"/>
      <c r="Z719" s="191"/>
      <c r="AA719" s="191"/>
      <c r="AB719" s="193"/>
      <c r="AC719" s="193"/>
      <c r="AD719" s="191"/>
      <c r="AE719" s="194"/>
      <c r="AF719" s="194"/>
      <c r="AG719" s="194"/>
      <c r="AH719" s="194"/>
      <c r="AI719" s="190"/>
    </row>
    <row r="720" ht="16.5" customHeight="1">
      <c r="A720" s="190"/>
      <c r="B720" s="191"/>
      <c r="C720" s="191"/>
      <c r="D720" s="191"/>
      <c r="E720" s="192"/>
      <c r="F720" s="192"/>
      <c r="G720" s="192"/>
      <c r="H720" s="192"/>
      <c r="I720" s="192"/>
      <c r="J720" s="193"/>
      <c r="K720" s="192"/>
      <c r="L720" s="190"/>
      <c r="M720" s="194"/>
      <c r="N720" s="194"/>
      <c r="O720" s="194"/>
      <c r="P720" s="194"/>
      <c r="Q720" s="194"/>
      <c r="R720" s="194"/>
      <c r="S720" s="195"/>
      <c r="T720" s="195"/>
      <c r="U720" s="195"/>
      <c r="V720" s="191"/>
      <c r="W720" s="192"/>
      <c r="X720" s="192"/>
      <c r="Y720" s="192"/>
      <c r="Z720" s="191"/>
      <c r="AA720" s="191"/>
      <c r="AB720" s="193"/>
      <c r="AC720" s="193"/>
      <c r="AD720" s="191"/>
      <c r="AE720" s="194"/>
      <c r="AF720" s="194"/>
      <c r="AG720" s="194"/>
      <c r="AH720" s="194"/>
      <c r="AI720" s="190"/>
    </row>
    <row r="721" ht="16.5" customHeight="1">
      <c r="A721" s="190"/>
      <c r="B721" s="191"/>
      <c r="C721" s="191"/>
      <c r="D721" s="191"/>
      <c r="E721" s="192"/>
      <c r="F721" s="192"/>
      <c r="G721" s="192"/>
      <c r="H721" s="192"/>
      <c r="I721" s="192"/>
      <c r="J721" s="193"/>
      <c r="K721" s="192"/>
      <c r="L721" s="190"/>
      <c r="M721" s="194"/>
      <c r="N721" s="194"/>
      <c r="O721" s="194"/>
      <c r="P721" s="194"/>
      <c r="Q721" s="194"/>
      <c r="R721" s="194"/>
      <c r="S721" s="195"/>
      <c r="T721" s="195"/>
      <c r="U721" s="195"/>
      <c r="V721" s="191"/>
      <c r="W721" s="192"/>
      <c r="X721" s="192"/>
      <c r="Y721" s="192"/>
      <c r="Z721" s="191"/>
      <c r="AA721" s="191"/>
      <c r="AB721" s="193"/>
      <c r="AC721" s="193"/>
      <c r="AD721" s="191"/>
      <c r="AE721" s="194"/>
      <c r="AF721" s="194"/>
      <c r="AG721" s="194"/>
      <c r="AH721" s="194"/>
      <c r="AI721" s="190"/>
    </row>
    <row r="722" ht="16.5" customHeight="1">
      <c r="A722" s="190"/>
      <c r="B722" s="191"/>
      <c r="C722" s="191"/>
      <c r="D722" s="191"/>
      <c r="E722" s="192"/>
      <c r="F722" s="192"/>
      <c r="G722" s="192"/>
      <c r="H722" s="192"/>
      <c r="I722" s="192"/>
      <c r="J722" s="193"/>
      <c r="K722" s="192"/>
      <c r="L722" s="190"/>
      <c r="M722" s="194"/>
      <c r="N722" s="194"/>
      <c r="O722" s="194"/>
      <c r="P722" s="194"/>
      <c r="Q722" s="194"/>
      <c r="R722" s="194"/>
      <c r="S722" s="195"/>
      <c r="T722" s="195"/>
      <c r="U722" s="195"/>
      <c r="V722" s="191"/>
      <c r="W722" s="192"/>
      <c r="X722" s="192"/>
      <c r="Y722" s="192"/>
      <c r="Z722" s="191"/>
      <c r="AA722" s="191"/>
      <c r="AB722" s="193"/>
      <c r="AC722" s="193"/>
      <c r="AD722" s="191"/>
      <c r="AE722" s="194"/>
      <c r="AF722" s="194"/>
      <c r="AG722" s="194"/>
      <c r="AH722" s="194"/>
      <c r="AI722" s="190"/>
    </row>
    <row r="723" ht="16.5" customHeight="1">
      <c r="A723" s="190"/>
      <c r="B723" s="191"/>
      <c r="C723" s="191"/>
      <c r="D723" s="191"/>
      <c r="E723" s="192"/>
      <c r="F723" s="192"/>
      <c r="G723" s="192"/>
      <c r="H723" s="192"/>
      <c r="I723" s="192"/>
      <c r="J723" s="193"/>
      <c r="K723" s="192"/>
      <c r="L723" s="190"/>
      <c r="M723" s="194"/>
      <c r="N723" s="194"/>
      <c r="O723" s="194"/>
      <c r="P723" s="194"/>
      <c r="Q723" s="194"/>
      <c r="R723" s="194"/>
      <c r="S723" s="195"/>
      <c r="T723" s="195"/>
      <c r="U723" s="195"/>
      <c r="V723" s="191"/>
      <c r="W723" s="192"/>
      <c r="X723" s="192"/>
      <c r="Y723" s="192"/>
      <c r="Z723" s="191"/>
      <c r="AA723" s="191"/>
      <c r="AB723" s="193"/>
      <c r="AC723" s="193"/>
      <c r="AD723" s="191"/>
      <c r="AE723" s="194"/>
      <c r="AF723" s="194"/>
      <c r="AG723" s="194"/>
      <c r="AH723" s="194"/>
      <c r="AI723" s="190"/>
    </row>
    <row r="724" ht="16.5" customHeight="1">
      <c r="A724" s="190"/>
      <c r="B724" s="191"/>
      <c r="C724" s="191"/>
      <c r="D724" s="191"/>
      <c r="E724" s="192"/>
      <c r="F724" s="192"/>
      <c r="G724" s="192"/>
      <c r="H724" s="192"/>
      <c r="I724" s="192"/>
      <c r="J724" s="193"/>
      <c r="K724" s="192"/>
      <c r="L724" s="190"/>
      <c r="M724" s="194"/>
      <c r="N724" s="194"/>
      <c r="O724" s="194"/>
      <c r="P724" s="194"/>
      <c r="Q724" s="194"/>
      <c r="R724" s="194"/>
      <c r="S724" s="195"/>
      <c r="T724" s="195"/>
      <c r="U724" s="195"/>
      <c r="V724" s="191"/>
      <c r="W724" s="192"/>
      <c r="X724" s="192"/>
      <c r="Y724" s="192"/>
      <c r="Z724" s="191"/>
      <c r="AA724" s="191"/>
      <c r="AB724" s="193"/>
      <c r="AC724" s="193"/>
      <c r="AD724" s="191"/>
      <c r="AE724" s="194"/>
      <c r="AF724" s="194"/>
      <c r="AG724" s="194"/>
      <c r="AH724" s="194"/>
      <c r="AI724" s="190"/>
    </row>
    <row r="725" ht="16.5" customHeight="1">
      <c r="A725" s="190"/>
      <c r="B725" s="191"/>
      <c r="C725" s="191"/>
      <c r="D725" s="191"/>
      <c r="E725" s="192"/>
      <c r="F725" s="192"/>
      <c r="G725" s="192"/>
      <c r="H725" s="192"/>
      <c r="I725" s="192"/>
      <c r="J725" s="193"/>
      <c r="K725" s="192"/>
      <c r="L725" s="190"/>
      <c r="M725" s="194"/>
      <c r="N725" s="194"/>
      <c r="O725" s="194"/>
      <c r="P725" s="194"/>
      <c r="Q725" s="194"/>
      <c r="R725" s="194"/>
      <c r="S725" s="195"/>
      <c r="T725" s="195"/>
      <c r="U725" s="195"/>
      <c r="V725" s="191"/>
      <c r="W725" s="192"/>
      <c r="X725" s="192"/>
      <c r="Y725" s="192"/>
      <c r="Z725" s="191"/>
      <c r="AA725" s="191"/>
      <c r="AB725" s="193"/>
      <c r="AC725" s="193"/>
      <c r="AD725" s="191"/>
      <c r="AE725" s="194"/>
      <c r="AF725" s="194"/>
      <c r="AG725" s="194"/>
      <c r="AH725" s="194"/>
      <c r="AI725" s="190"/>
    </row>
    <row r="726" ht="16.5" customHeight="1">
      <c r="A726" s="190"/>
      <c r="B726" s="191"/>
      <c r="C726" s="191"/>
      <c r="D726" s="191"/>
      <c r="E726" s="192"/>
      <c r="F726" s="192"/>
      <c r="G726" s="192"/>
      <c r="H726" s="192"/>
      <c r="I726" s="192"/>
      <c r="J726" s="193"/>
      <c r="K726" s="192"/>
      <c r="L726" s="190"/>
      <c r="M726" s="194"/>
      <c r="N726" s="194"/>
      <c r="O726" s="194"/>
      <c r="P726" s="194"/>
      <c r="Q726" s="194"/>
      <c r="R726" s="194"/>
      <c r="S726" s="195"/>
      <c r="T726" s="195"/>
      <c r="U726" s="195"/>
      <c r="V726" s="191"/>
      <c r="W726" s="192"/>
      <c r="X726" s="192"/>
      <c r="Y726" s="192"/>
      <c r="Z726" s="191"/>
      <c r="AA726" s="191"/>
      <c r="AB726" s="193"/>
      <c r="AC726" s="193"/>
      <c r="AD726" s="191"/>
      <c r="AE726" s="194"/>
      <c r="AF726" s="194"/>
      <c r="AG726" s="194"/>
      <c r="AH726" s="194"/>
      <c r="AI726" s="190"/>
    </row>
    <row r="727" ht="16.5" customHeight="1">
      <c r="A727" s="190"/>
      <c r="B727" s="191"/>
      <c r="C727" s="191"/>
      <c r="D727" s="191"/>
      <c r="E727" s="192"/>
      <c r="F727" s="192"/>
      <c r="G727" s="192"/>
      <c r="H727" s="192"/>
      <c r="I727" s="192"/>
      <c r="J727" s="193"/>
      <c r="K727" s="192"/>
      <c r="L727" s="190"/>
      <c r="M727" s="194"/>
      <c r="N727" s="194"/>
      <c r="O727" s="194"/>
      <c r="P727" s="194"/>
      <c r="Q727" s="194"/>
      <c r="R727" s="194"/>
      <c r="S727" s="195"/>
      <c r="T727" s="195"/>
      <c r="U727" s="195"/>
      <c r="V727" s="191"/>
      <c r="W727" s="192"/>
      <c r="X727" s="192"/>
      <c r="Y727" s="192"/>
      <c r="Z727" s="191"/>
      <c r="AA727" s="191"/>
      <c r="AB727" s="193"/>
      <c r="AC727" s="193"/>
      <c r="AD727" s="191"/>
      <c r="AE727" s="194"/>
      <c r="AF727" s="194"/>
      <c r="AG727" s="194"/>
      <c r="AH727" s="194"/>
      <c r="AI727" s="190"/>
    </row>
    <row r="728" ht="16.5" customHeight="1">
      <c r="A728" s="190"/>
      <c r="B728" s="191"/>
      <c r="C728" s="191"/>
      <c r="D728" s="191"/>
      <c r="E728" s="192"/>
      <c r="F728" s="192"/>
      <c r="G728" s="192"/>
      <c r="H728" s="192"/>
      <c r="I728" s="192"/>
      <c r="J728" s="193"/>
      <c r="K728" s="192"/>
      <c r="L728" s="190"/>
      <c r="M728" s="194"/>
      <c r="N728" s="194"/>
      <c r="O728" s="194"/>
      <c r="P728" s="194"/>
      <c r="Q728" s="194"/>
      <c r="R728" s="194"/>
      <c r="S728" s="195"/>
      <c r="T728" s="195"/>
      <c r="U728" s="195"/>
      <c r="V728" s="191"/>
      <c r="W728" s="192"/>
      <c r="X728" s="192"/>
      <c r="Y728" s="192"/>
      <c r="Z728" s="191"/>
      <c r="AA728" s="191"/>
      <c r="AB728" s="193"/>
      <c r="AC728" s="193"/>
      <c r="AD728" s="191"/>
      <c r="AE728" s="194"/>
      <c r="AF728" s="194"/>
      <c r="AG728" s="194"/>
      <c r="AH728" s="194"/>
      <c r="AI728" s="190"/>
    </row>
    <row r="729" ht="16.5" customHeight="1">
      <c r="A729" s="190"/>
      <c r="B729" s="191"/>
      <c r="C729" s="191"/>
      <c r="D729" s="191"/>
      <c r="E729" s="192"/>
      <c r="F729" s="192"/>
      <c r="G729" s="192"/>
      <c r="H729" s="192"/>
      <c r="I729" s="192"/>
      <c r="J729" s="193"/>
      <c r="K729" s="192"/>
      <c r="L729" s="190"/>
      <c r="M729" s="194"/>
      <c r="N729" s="194"/>
      <c r="O729" s="194"/>
      <c r="P729" s="194"/>
      <c r="Q729" s="194"/>
      <c r="R729" s="194"/>
      <c r="S729" s="195"/>
      <c r="T729" s="195"/>
      <c r="U729" s="195"/>
      <c r="V729" s="191"/>
      <c r="W729" s="192"/>
      <c r="X729" s="192"/>
      <c r="Y729" s="192"/>
      <c r="Z729" s="191"/>
      <c r="AA729" s="191"/>
      <c r="AB729" s="193"/>
      <c r="AC729" s="193"/>
      <c r="AD729" s="191"/>
      <c r="AE729" s="194"/>
      <c r="AF729" s="194"/>
      <c r="AG729" s="194"/>
      <c r="AH729" s="194"/>
      <c r="AI729" s="190"/>
    </row>
    <row r="730" ht="16.5" customHeight="1">
      <c r="A730" s="190"/>
      <c r="B730" s="191"/>
      <c r="C730" s="191"/>
      <c r="D730" s="191"/>
      <c r="E730" s="192"/>
      <c r="F730" s="192"/>
      <c r="G730" s="192"/>
      <c r="H730" s="192"/>
      <c r="I730" s="192"/>
      <c r="J730" s="193"/>
      <c r="K730" s="192"/>
      <c r="L730" s="190"/>
      <c r="M730" s="194"/>
      <c r="N730" s="194"/>
      <c r="O730" s="194"/>
      <c r="P730" s="194"/>
      <c r="Q730" s="194"/>
      <c r="R730" s="194"/>
      <c r="S730" s="195"/>
      <c r="T730" s="195"/>
      <c r="U730" s="195"/>
      <c r="V730" s="191"/>
      <c r="W730" s="192"/>
      <c r="X730" s="192"/>
      <c r="Y730" s="192"/>
      <c r="Z730" s="191"/>
      <c r="AA730" s="191"/>
      <c r="AB730" s="193"/>
      <c r="AC730" s="193"/>
      <c r="AD730" s="191"/>
      <c r="AE730" s="194"/>
      <c r="AF730" s="194"/>
      <c r="AG730" s="194"/>
      <c r="AH730" s="194"/>
      <c r="AI730" s="190"/>
    </row>
    <row r="731" ht="16.5" customHeight="1">
      <c r="A731" s="190"/>
      <c r="B731" s="191"/>
      <c r="C731" s="191"/>
      <c r="D731" s="191"/>
      <c r="E731" s="192"/>
      <c r="F731" s="192"/>
      <c r="G731" s="192"/>
      <c r="H731" s="192"/>
      <c r="I731" s="192"/>
      <c r="J731" s="193"/>
      <c r="K731" s="192"/>
      <c r="L731" s="190"/>
      <c r="M731" s="194"/>
      <c r="N731" s="194"/>
      <c r="O731" s="194"/>
      <c r="P731" s="194"/>
      <c r="Q731" s="194"/>
      <c r="R731" s="194"/>
      <c r="S731" s="195"/>
      <c r="T731" s="195"/>
      <c r="U731" s="195"/>
      <c r="V731" s="191"/>
      <c r="W731" s="192"/>
      <c r="X731" s="192"/>
      <c r="Y731" s="192"/>
      <c r="Z731" s="191"/>
      <c r="AA731" s="191"/>
      <c r="AB731" s="193"/>
      <c r="AC731" s="193"/>
      <c r="AD731" s="191"/>
      <c r="AE731" s="194"/>
      <c r="AF731" s="194"/>
      <c r="AG731" s="194"/>
      <c r="AH731" s="194"/>
      <c r="AI731" s="190"/>
    </row>
    <row r="732" ht="16.5" customHeight="1">
      <c r="A732" s="190"/>
      <c r="B732" s="191"/>
      <c r="C732" s="191"/>
      <c r="D732" s="191"/>
      <c r="E732" s="192"/>
      <c r="F732" s="192"/>
      <c r="G732" s="192"/>
      <c r="H732" s="192"/>
      <c r="I732" s="192"/>
      <c r="J732" s="193"/>
      <c r="K732" s="192"/>
      <c r="L732" s="190"/>
      <c r="M732" s="194"/>
      <c r="N732" s="194"/>
      <c r="O732" s="194"/>
      <c r="P732" s="194"/>
      <c r="Q732" s="194"/>
      <c r="R732" s="194"/>
      <c r="S732" s="195"/>
      <c r="T732" s="195"/>
      <c r="U732" s="195"/>
      <c r="V732" s="191"/>
      <c r="W732" s="192"/>
      <c r="X732" s="192"/>
      <c r="Y732" s="192"/>
      <c r="Z732" s="191"/>
      <c r="AA732" s="191"/>
      <c r="AB732" s="193"/>
      <c r="AC732" s="193"/>
      <c r="AD732" s="191"/>
      <c r="AE732" s="194"/>
      <c r="AF732" s="194"/>
      <c r="AG732" s="194"/>
      <c r="AH732" s="194"/>
      <c r="AI732" s="190"/>
    </row>
    <row r="733" ht="16.5" customHeight="1">
      <c r="A733" s="190"/>
      <c r="B733" s="191"/>
      <c r="C733" s="191"/>
      <c r="D733" s="191"/>
      <c r="E733" s="192"/>
      <c r="F733" s="192"/>
      <c r="G733" s="192"/>
      <c r="H733" s="192"/>
      <c r="I733" s="192"/>
      <c r="J733" s="193"/>
      <c r="K733" s="192"/>
      <c r="L733" s="190"/>
      <c r="M733" s="194"/>
      <c r="N733" s="194"/>
      <c r="O733" s="194"/>
      <c r="P733" s="194"/>
      <c r="Q733" s="194"/>
      <c r="R733" s="194"/>
      <c r="S733" s="195"/>
      <c r="T733" s="195"/>
      <c r="U733" s="195"/>
      <c r="V733" s="191"/>
      <c r="W733" s="192"/>
      <c r="X733" s="192"/>
      <c r="Y733" s="192"/>
      <c r="Z733" s="191"/>
      <c r="AA733" s="191"/>
      <c r="AB733" s="193"/>
      <c r="AC733" s="193"/>
      <c r="AD733" s="191"/>
      <c r="AE733" s="194"/>
      <c r="AF733" s="194"/>
      <c r="AG733" s="194"/>
      <c r="AH733" s="194"/>
      <c r="AI733" s="190"/>
    </row>
    <row r="734" ht="16.5" customHeight="1">
      <c r="A734" s="190"/>
      <c r="B734" s="191"/>
      <c r="C734" s="191"/>
      <c r="D734" s="191"/>
      <c r="E734" s="192"/>
      <c r="F734" s="192"/>
      <c r="G734" s="192"/>
      <c r="H734" s="192"/>
      <c r="I734" s="192"/>
      <c r="J734" s="193"/>
      <c r="K734" s="192"/>
      <c r="L734" s="190"/>
      <c r="M734" s="194"/>
      <c r="N734" s="194"/>
      <c r="O734" s="194"/>
      <c r="P734" s="194"/>
      <c r="Q734" s="194"/>
      <c r="R734" s="194"/>
      <c r="S734" s="195"/>
      <c r="T734" s="195"/>
      <c r="U734" s="195"/>
      <c r="V734" s="191"/>
      <c r="W734" s="192"/>
      <c r="X734" s="192"/>
      <c r="Y734" s="192"/>
      <c r="Z734" s="191"/>
      <c r="AA734" s="191"/>
      <c r="AB734" s="193"/>
      <c r="AC734" s="193"/>
      <c r="AD734" s="191"/>
      <c r="AE734" s="194"/>
      <c r="AF734" s="194"/>
      <c r="AG734" s="194"/>
      <c r="AH734" s="194"/>
      <c r="AI734" s="190"/>
    </row>
    <row r="735" ht="16.5" customHeight="1">
      <c r="A735" s="190"/>
      <c r="B735" s="191"/>
      <c r="C735" s="191"/>
      <c r="D735" s="191"/>
      <c r="E735" s="192"/>
      <c r="F735" s="192"/>
      <c r="G735" s="192"/>
      <c r="H735" s="192"/>
      <c r="I735" s="192"/>
      <c r="J735" s="193"/>
      <c r="K735" s="192"/>
      <c r="L735" s="190"/>
      <c r="M735" s="194"/>
      <c r="N735" s="194"/>
      <c r="O735" s="194"/>
      <c r="P735" s="194"/>
      <c r="Q735" s="194"/>
      <c r="R735" s="194"/>
      <c r="S735" s="195"/>
      <c r="T735" s="195"/>
      <c r="U735" s="195"/>
      <c r="V735" s="191"/>
      <c r="W735" s="192"/>
      <c r="X735" s="192"/>
      <c r="Y735" s="192"/>
      <c r="Z735" s="191"/>
      <c r="AA735" s="191"/>
      <c r="AB735" s="193"/>
      <c r="AC735" s="193"/>
      <c r="AD735" s="191"/>
      <c r="AE735" s="194"/>
      <c r="AF735" s="194"/>
      <c r="AG735" s="194"/>
      <c r="AH735" s="194"/>
      <c r="AI735" s="190"/>
    </row>
    <row r="736" ht="16.5" customHeight="1">
      <c r="A736" s="190"/>
      <c r="B736" s="191"/>
      <c r="C736" s="191"/>
      <c r="D736" s="191"/>
      <c r="E736" s="192"/>
      <c r="F736" s="192"/>
      <c r="G736" s="192"/>
      <c r="H736" s="192"/>
      <c r="I736" s="192"/>
      <c r="J736" s="193"/>
      <c r="K736" s="192"/>
      <c r="L736" s="190"/>
      <c r="M736" s="194"/>
      <c r="N736" s="194"/>
      <c r="O736" s="194"/>
      <c r="P736" s="194"/>
      <c r="Q736" s="194"/>
      <c r="R736" s="194"/>
      <c r="S736" s="195"/>
      <c r="T736" s="195"/>
      <c r="U736" s="195"/>
      <c r="V736" s="191"/>
      <c r="W736" s="192"/>
      <c r="X736" s="192"/>
      <c r="Y736" s="192"/>
      <c r="Z736" s="191"/>
      <c r="AA736" s="191"/>
      <c r="AB736" s="193"/>
      <c r="AC736" s="193"/>
      <c r="AD736" s="191"/>
      <c r="AE736" s="194"/>
      <c r="AF736" s="194"/>
      <c r="AG736" s="194"/>
      <c r="AH736" s="194"/>
      <c r="AI736" s="190"/>
    </row>
    <row r="737" ht="16.5" customHeight="1">
      <c r="A737" s="190"/>
      <c r="B737" s="191"/>
      <c r="C737" s="191"/>
      <c r="D737" s="191"/>
      <c r="E737" s="192"/>
      <c r="F737" s="192"/>
      <c r="G737" s="192"/>
      <c r="H737" s="192"/>
      <c r="I737" s="192"/>
      <c r="J737" s="193"/>
      <c r="K737" s="192"/>
      <c r="L737" s="190"/>
      <c r="M737" s="194"/>
      <c r="N737" s="194"/>
      <c r="O737" s="194"/>
      <c r="P737" s="194"/>
      <c r="Q737" s="194"/>
      <c r="R737" s="194"/>
      <c r="S737" s="195"/>
      <c r="T737" s="195"/>
      <c r="U737" s="195"/>
      <c r="V737" s="191"/>
      <c r="W737" s="192"/>
      <c r="X737" s="192"/>
      <c r="Y737" s="192"/>
      <c r="Z737" s="191"/>
      <c r="AA737" s="191"/>
      <c r="AB737" s="193"/>
      <c r="AC737" s="193"/>
      <c r="AD737" s="191"/>
      <c r="AE737" s="194"/>
      <c r="AF737" s="194"/>
      <c r="AG737" s="194"/>
      <c r="AH737" s="194"/>
      <c r="AI737" s="190"/>
    </row>
    <row r="738" ht="16.5" customHeight="1">
      <c r="A738" s="190"/>
      <c r="B738" s="191"/>
      <c r="C738" s="191"/>
      <c r="D738" s="191"/>
      <c r="E738" s="192"/>
      <c r="F738" s="192"/>
      <c r="G738" s="192"/>
      <c r="H738" s="192"/>
      <c r="I738" s="192"/>
      <c r="J738" s="193"/>
      <c r="K738" s="192"/>
      <c r="L738" s="190"/>
      <c r="M738" s="194"/>
      <c r="N738" s="194"/>
      <c r="O738" s="194"/>
      <c r="P738" s="194"/>
      <c r="Q738" s="194"/>
      <c r="R738" s="194"/>
      <c r="S738" s="195"/>
      <c r="T738" s="195"/>
      <c r="U738" s="195"/>
      <c r="V738" s="191"/>
      <c r="W738" s="192"/>
      <c r="X738" s="192"/>
      <c r="Y738" s="192"/>
      <c r="Z738" s="191"/>
      <c r="AA738" s="191"/>
      <c r="AB738" s="193"/>
      <c r="AC738" s="193"/>
      <c r="AD738" s="191"/>
      <c r="AE738" s="194"/>
      <c r="AF738" s="194"/>
      <c r="AG738" s="194"/>
      <c r="AH738" s="194"/>
      <c r="AI738" s="190"/>
    </row>
    <row r="739" ht="16.5" customHeight="1">
      <c r="A739" s="190"/>
      <c r="B739" s="191"/>
      <c r="C739" s="191"/>
      <c r="D739" s="191"/>
      <c r="E739" s="192"/>
      <c r="F739" s="192"/>
      <c r="G739" s="192"/>
      <c r="H739" s="192"/>
      <c r="I739" s="192"/>
      <c r="J739" s="193"/>
      <c r="K739" s="192"/>
      <c r="L739" s="190"/>
      <c r="M739" s="194"/>
      <c r="N739" s="194"/>
      <c r="O739" s="194"/>
      <c r="P739" s="194"/>
      <c r="Q739" s="194"/>
      <c r="R739" s="194"/>
      <c r="S739" s="195"/>
      <c r="T739" s="195"/>
      <c r="U739" s="195"/>
      <c r="V739" s="191"/>
      <c r="W739" s="192"/>
      <c r="X739" s="192"/>
      <c r="Y739" s="192"/>
      <c r="Z739" s="191"/>
      <c r="AA739" s="191"/>
      <c r="AB739" s="193"/>
      <c r="AC739" s="193"/>
      <c r="AD739" s="191"/>
      <c r="AE739" s="194"/>
      <c r="AF739" s="194"/>
      <c r="AG739" s="194"/>
      <c r="AH739" s="194"/>
      <c r="AI739" s="190"/>
    </row>
    <row r="740" ht="16.5" customHeight="1">
      <c r="A740" s="190"/>
      <c r="B740" s="191"/>
      <c r="C740" s="191"/>
      <c r="D740" s="191"/>
      <c r="E740" s="192"/>
      <c r="F740" s="192"/>
      <c r="G740" s="192"/>
      <c r="H740" s="192"/>
      <c r="I740" s="192"/>
      <c r="J740" s="193"/>
      <c r="K740" s="192"/>
      <c r="L740" s="190"/>
      <c r="M740" s="194"/>
      <c r="N740" s="194"/>
      <c r="O740" s="194"/>
      <c r="P740" s="194"/>
      <c r="Q740" s="194"/>
      <c r="R740" s="194"/>
      <c r="S740" s="195"/>
      <c r="T740" s="195"/>
      <c r="U740" s="195"/>
      <c r="V740" s="191"/>
      <c r="W740" s="192"/>
      <c r="X740" s="192"/>
      <c r="Y740" s="192"/>
      <c r="Z740" s="191"/>
      <c r="AA740" s="191"/>
      <c r="AB740" s="193"/>
      <c r="AC740" s="193"/>
      <c r="AD740" s="191"/>
      <c r="AE740" s="194"/>
      <c r="AF740" s="194"/>
      <c r="AG740" s="194"/>
      <c r="AH740" s="194"/>
      <c r="AI740" s="190"/>
    </row>
    <row r="741" ht="16.5" customHeight="1">
      <c r="A741" s="190"/>
      <c r="B741" s="191"/>
      <c r="C741" s="191"/>
      <c r="D741" s="191"/>
      <c r="E741" s="192"/>
      <c r="F741" s="192"/>
      <c r="G741" s="192"/>
      <c r="H741" s="192"/>
      <c r="I741" s="192"/>
      <c r="J741" s="193"/>
      <c r="K741" s="192"/>
      <c r="L741" s="190"/>
      <c r="M741" s="194"/>
      <c r="N741" s="194"/>
      <c r="O741" s="194"/>
      <c r="P741" s="194"/>
      <c r="Q741" s="194"/>
      <c r="R741" s="194"/>
      <c r="S741" s="195"/>
      <c r="T741" s="195"/>
      <c r="U741" s="195"/>
      <c r="V741" s="191"/>
      <c r="W741" s="192"/>
      <c r="X741" s="192"/>
      <c r="Y741" s="192"/>
      <c r="Z741" s="191"/>
      <c r="AA741" s="191"/>
      <c r="AB741" s="193"/>
      <c r="AC741" s="193"/>
      <c r="AD741" s="191"/>
      <c r="AE741" s="194"/>
      <c r="AF741" s="194"/>
      <c r="AG741" s="194"/>
      <c r="AH741" s="194"/>
      <c r="AI741" s="190"/>
    </row>
    <row r="742" ht="16.5" customHeight="1">
      <c r="A742" s="190"/>
      <c r="B742" s="191"/>
      <c r="C742" s="191"/>
      <c r="D742" s="191"/>
      <c r="E742" s="192"/>
      <c r="F742" s="192"/>
      <c r="G742" s="192"/>
      <c r="H742" s="192"/>
      <c r="I742" s="192"/>
      <c r="J742" s="193"/>
      <c r="K742" s="192"/>
      <c r="L742" s="190"/>
      <c r="M742" s="194"/>
      <c r="N742" s="194"/>
      <c r="O742" s="194"/>
      <c r="P742" s="194"/>
      <c r="Q742" s="194"/>
      <c r="R742" s="194"/>
      <c r="S742" s="195"/>
      <c r="T742" s="195"/>
      <c r="U742" s="195"/>
      <c r="V742" s="191"/>
      <c r="W742" s="192"/>
      <c r="X742" s="192"/>
      <c r="Y742" s="192"/>
      <c r="Z742" s="191"/>
      <c r="AA742" s="191"/>
      <c r="AB742" s="193"/>
      <c r="AC742" s="193"/>
      <c r="AD742" s="191"/>
      <c r="AE742" s="194"/>
      <c r="AF742" s="194"/>
      <c r="AG742" s="194"/>
      <c r="AH742" s="194"/>
      <c r="AI742" s="190"/>
    </row>
    <row r="743" ht="16.5" customHeight="1">
      <c r="A743" s="190"/>
      <c r="B743" s="191"/>
      <c r="C743" s="191"/>
      <c r="D743" s="191"/>
      <c r="E743" s="192"/>
      <c r="F743" s="192"/>
      <c r="G743" s="192"/>
      <c r="H743" s="192"/>
      <c r="I743" s="192"/>
      <c r="J743" s="193"/>
      <c r="K743" s="192"/>
      <c r="L743" s="190"/>
      <c r="M743" s="194"/>
      <c r="N743" s="194"/>
      <c r="O743" s="194"/>
      <c r="P743" s="194"/>
      <c r="Q743" s="194"/>
      <c r="R743" s="194"/>
      <c r="S743" s="195"/>
      <c r="T743" s="195"/>
      <c r="U743" s="195"/>
      <c r="V743" s="191"/>
      <c r="W743" s="192"/>
      <c r="X743" s="192"/>
      <c r="Y743" s="192"/>
      <c r="Z743" s="191"/>
      <c r="AA743" s="191"/>
      <c r="AB743" s="193"/>
      <c r="AC743" s="193"/>
      <c r="AD743" s="191"/>
      <c r="AE743" s="194"/>
      <c r="AF743" s="194"/>
      <c r="AG743" s="194"/>
      <c r="AH743" s="194"/>
      <c r="AI743" s="190"/>
    </row>
    <row r="744" ht="16.5" customHeight="1">
      <c r="A744" s="190"/>
      <c r="B744" s="191"/>
      <c r="C744" s="191"/>
      <c r="D744" s="191"/>
      <c r="E744" s="192"/>
      <c r="F744" s="192"/>
      <c r="G744" s="192"/>
      <c r="H744" s="192"/>
      <c r="I744" s="192"/>
      <c r="J744" s="193"/>
      <c r="K744" s="192"/>
      <c r="L744" s="190"/>
      <c r="M744" s="194"/>
      <c r="N744" s="194"/>
      <c r="O744" s="194"/>
      <c r="P744" s="194"/>
      <c r="Q744" s="194"/>
      <c r="R744" s="194"/>
      <c r="S744" s="195"/>
      <c r="T744" s="195"/>
      <c r="U744" s="195"/>
      <c r="V744" s="191"/>
      <c r="W744" s="192"/>
      <c r="X744" s="192"/>
      <c r="Y744" s="192"/>
      <c r="Z744" s="191"/>
      <c r="AA744" s="191"/>
      <c r="AB744" s="193"/>
      <c r="AC744" s="193"/>
      <c r="AD744" s="191"/>
      <c r="AE744" s="194"/>
      <c r="AF744" s="194"/>
      <c r="AG744" s="194"/>
      <c r="AH744" s="194"/>
      <c r="AI744" s="190"/>
    </row>
    <row r="745" ht="16.5" customHeight="1">
      <c r="A745" s="190"/>
      <c r="B745" s="191"/>
      <c r="C745" s="191"/>
      <c r="D745" s="191"/>
      <c r="E745" s="192"/>
      <c r="F745" s="192"/>
      <c r="G745" s="192"/>
      <c r="H745" s="192"/>
      <c r="I745" s="192"/>
      <c r="J745" s="193"/>
      <c r="K745" s="192"/>
      <c r="L745" s="190"/>
      <c r="M745" s="194"/>
      <c r="N745" s="194"/>
      <c r="O745" s="194"/>
      <c r="P745" s="194"/>
      <c r="Q745" s="194"/>
      <c r="R745" s="194"/>
      <c r="S745" s="195"/>
      <c r="T745" s="195"/>
      <c r="U745" s="195"/>
      <c r="V745" s="191"/>
      <c r="W745" s="192"/>
      <c r="X745" s="192"/>
      <c r="Y745" s="192"/>
      <c r="Z745" s="191"/>
      <c r="AA745" s="191"/>
      <c r="AB745" s="193"/>
      <c r="AC745" s="193"/>
      <c r="AD745" s="191"/>
      <c r="AE745" s="194"/>
      <c r="AF745" s="194"/>
      <c r="AG745" s="194"/>
      <c r="AH745" s="194"/>
      <c r="AI745" s="190"/>
    </row>
    <row r="746" ht="16.5" customHeight="1">
      <c r="A746" s="190"/>
      <c r="B746" s="191"/>
      <c r="C746" s="191"/>
      <c r="D746" s="191"/>
      <c r="E746" s="192"/>
      <c r="F746" s="192"/>
      <c r="G746" s="192"/>
      <c r="H746" s="192"/>
      <c r="I746" s="192"/>
      <c r="J746" s="193"/>
      <c r="K746" s="192"/>
      <c r="L746" s="190"/>
      <c r="M746" s="194"/>
      <c r="N746" s="194"/>
      <c r="O746" s="194"/>
      <c r="P746" s="194"/>
      <c r="Q746" s="194"/>
      <c r="R746" s="194"/>
      <c r="S746" s="195"/>
      <c r="T746" s="195"/>
      <c r="U746" s="195"/>
      <c r="V746" s="191"/>
      <c r="W746" s="192"/>
      <c r="X746" s="192"/>
      <c r="Y746" s="192"/>
      <c r="Z746" s="191"/>
      <c r="AA746" s="191"/>
      <c r="AB746" s="193"/>
      <c r="AC746" s="193"/>
      <c r="AD746" s="191"/>
      <c r="AE746" s="194"/>
      <c r="AF746" s="194"/>
      <c r="AG746" s="194"/>
      <c r="AH746" s="194"/>
      <c r="AI746" s="190"/>
    </row>
    <row r="747" ht="16.5" customHeight="1">
      <c r="A747" s="190"/>
      <c r="B747" s="191"/>
      <c r="C747" s="191"/>
      <c r="D747" s="191"/>
      <c r="E747" s="192"/>
      <c r="F747" s="192"/>
      <c r="G747" s="192"/>
      <c r="H747" s="192"/>
      <c r="I747" s="192"/>
      <c r="J747" s="193"/>
      <c r="K747" s="192"/>
      <c r="L747" s="190"/>
      <c r="M747" s="194"/>
      <c r="N747" s="194"/>
      <c r="O747" s="194"/>
      <c r="P747" s="194"/>
      <c r="Q747" s="194"/>
      <c r="R747" s="194"/>
      <c r="S747" s="195"/>
      <c r="T747" s="195"/>
      <c r="U747" s="195"/>
      <c r="V747" s="191"/>
      <c r="W747" s="192"/>
      <c r="X747" s="192"/>
      <c r="Y747" s="192"/>
      <c r="Z747" s="191"/>
      <c r="AA747" s="191"/>
      <c r="AB747" s="193"/>
      <c r="AC747" s="193"/>
      <c r="AD747" s="191"/>
      <c r="AE747" s="194"/>
      <c r="AF747" s="194"/>
      <c r="AG747" s="194"/>
      <c r="AH747" s="194"/>
      <c r="AI747" s="190"/>
    </row>
    <row r="748" ht="16.5" customHeight="1">
      <c r="A748" s="190"/>
      <c r="B748" s="191"/>
      <c r="C748" s="191"/>
      <c r="D748" s="191"/>
      <c r="E748" s="192"/>
      <c r="F748" s="192"/>
      <c r="G748" s="192"/>
      <c r="H748" s="192"/>
      <c r="I748" s="192"/>
      <c r="J748" s="193"/>
      <c r="K748" s="192"/>
      <c r="L748" s="190"/>
      <c r="M748" s="194"/>
      <c r="N748" s="194"/>
      <c r="O748" s="194"/>
      <c r="P748" s="194"/>
      <c r="Q748" s="194"/>
      <c r="R748" s="194"/>
      <c r="S748" s="195"/>
      <c r="T748" s="195"/>
      <c r="U748" s="195"/>
      <c r="V748" s="191"/>
      <c r="W748" s="192"/>
      <c r="X748" s="192"/>
      <c r="Y748" s="192"/>
      <c r="Z748" s="191"/>
      <c r="AA748" s="191"/>
      <c r="AB748" s="193"/>
      <c r="AC748" s="193"/>
      <c r="AD748" s="191"/>
      <c r="AE748" s="194"/>
      <c r="AF748" s="194"/>
      <c r="AG748" s="194"/>
      <c r="AH748" s="194"/>
      <c r="AI748" s="190"/>
    </row>
    <row r="749" ht="16.5" customHeight="1">
      <c r="A749" s="190"/>
      <c r="B749" s="191"/>
      <c r="C749" s="191"/>
      <c r="D749" s="191"/>
      <c r="E749" s="192"/>
      <c r="F749" s="192"/>
      <c r="G749" s="192"/>
      <c r="H749" s="192"/>
      <c r="I749" s="192"/>
      <c r="J749" s="193"/>
      <c r="K749" s="192"/>
      <c r="L749" s="190"/>
      <c r="M749" s="194"/>
      <c r="N749" s="194"/>
      <c r="O749" s="194"/>
      <c r="P749" s="194"/>
      <c r="Q749" s="194"/>
      <c r="R749" s="194"/>
      <c r="S749" s="195"/>
      <c r="T749" s="195"/>
      <c r="U749" s="195"/>
      <c r="V749" s="191"/>
      <c r="W749" s="192"/>
      <c r="X749" s="192"/>
      <c r="Y749" s="192"/>
      <c r="Z749" s="191"/>
      <c r="AA749" s="191"/>
      <c r="AB749" s="193"/>
      <c r="AC749" s="193"/>
      <c r="AD749" s="191"/>
      <c r="AE749" s="194"/>
      <c r="AF749" s="194"/>
      <c r="AG749" s="194"/>
      <c r="AH749" s="194"/>
      <c r="AI749" s="190"/>
    </row>
    <row r="750" ht="16.5" customHeight="1">
      <c r="A750" s="190"/>
      <c r="B750" s="191"/>
      <c r="C750" s="191"/>
      <c r="D750" s="191"/>
      <c r="E750" s="192"/>
      <c r="F750" s="192"/>
      <c r="G750" s="192"/>
      <c r="H750" s="192"/>
      <c r="I750" s="192"/>
      <c r="J750" s="193"/>
      <c r="K750" s="192"/>
      <c r="L750" s="190"/>
      <c r="M750" s="194"/>
      <c r="N750" s="194"/>
      <c r="O750" s="194"/>
      <c r="P750" s="194"/>
      <c r="Q750" s="194"/>
      <c r="R750" s="194"/>
      <c r="S750" s="195"/>
      <c r="T750" s="195"/>
      <c r="U750" s="195"/>
      <c r="V750" s="191"/>
      <c r="W750" s="192"/>
      <c r="X750" s="192"/>
      <c r="Y750" s="192"/>
      <c r="Z750" s="191"/>
      <c r="AA750" s="191"/>
      <c r="AB750" s="193"/>
      <c r="AC750" s="193"/>
      <c r="AD750" s="191"/>
      <c r="AE750" s="194"/>
      <c r="AF750" s="194"/>
      <c r="AG750" s="194"/>
      <c r="AH750" s="194"/>
      <c r="AI750" s="190"/>
    </row>
    <row r="751" ht="16.5" customHeight="1">
      <c r="A751" s="190"/>
      <c r="B751" s="191"/>
      <c r="C751" s="191"/>
      <c r="D751" s="191"/>
      <c r="E751" s="192"/>
      <c r="F751" s="192"/>
      <c r="G751" s="192"/>
      <c r="H751" s="192"/>
      <c r="I751" s="192"/>
      <c r="J751" s="193"/>
      <c r="K751" s="192"/>
      <c r="L751" s="190"/>
      <c r="M751" s="194"/>
      <c r="N751" s="194"/>
      <c r="O751" s="194"/>
      <c r="P751" s="194"/>
      <c r="Q751" s="194"/>
      <c r="R751" s="194"/>
      <c r="S751" s="195"/>
      <c r="T751" s="195"/>
      <c r="U751" s="195"/>
      <c r="V751" s="191"/>
      <c r="W751" s="192"/>
      <c r="X751" s="192"/>
      <c r="Y751" s="192"/>
      <c r="Z751" s="191"/>
      <c r="AA751" s="191"/>
      <c r="AB751" s="193"/>
      <c r="AC751" s="193"/>
      <c r="AD751" s="191"/>
      <c r="AE751" s="194"/>
      <c r="AF751" s="194"/>
      <c r="AG751" s="194"/>
      <c r="AH751" s="194"/>
      <c r="AI751" s="190"/>
    </row>
    <row r="752" ht="16.5" customHeight="1">
      <c r="A752" s="190"/>
      <c r="B752" s="191"/>
      <c r="C752" s="191"/>
      <c r="D752" s="191"/>
      <c r="E752" s="192"/>
      <c r="F752" s="192"/>
      <c r="G752" s="192"/>
      <c r="H752" s="192"/>
      <c r="I752" s="192"/>
      <c r="J752" s="193"/>
      <c r="K752" s="192"/>
      <c r="L752" s="190"/>
      <c r="M752" s="194"/>
      <c r="N752" s="194"/>
      <c r="O752" s="194"/>
      <c r="P752" s="194"/>
      <c r="Q752" s="194"/>
      <c r="R752" s="194"/>
      <c r="S752" s="195"/>
      <c r="T752" s="195"/>
      <c r="U752" s="195"/>
      <c r="V752" s="191"/>
      <c r="W752" s="192"/>
      <c r="X752" s="192"/>
      <c r="Y752" s="192"/>
      <c r="Z752" s="191"/>
      <c r="AA752" s="191"/>
      <c r="AB752" s="193"/>
      <c r="AC752" s="193"/>
      <c r="AD752" s="191"/>
      <c r="AE752" s="194"/>
      <c r="AF752" s="194"/>
      <c r="AG752" s="194"/>
      <c r="AH752" s="194"/>
      <c r="AI752" s="190"/>
    </row>
    <row r="753" ht="16.5" customHeight="1">
      <c r="A753" s="190"/>
      <c r="B753" s="191"/>
      <c r="C753" s="191"/>
      <c r="D753" s="191"/>
      <c r="E753" s="192"/>
      <c r="F753" s="192"/>
      <c r="G753" s="192"/>
      <c r="H753" s="192"/>
      <c r="I753" s="192"/>
      <c r="J753" s="193"/>
      <c r="K753" s="192"/>
      <c r="L753" s="190"/>
      <c r="M753" s="194"/>
      <c r="N753" s="194"/>
      <c r="O753" s="194"/>
      <c r="P753" s="194"/>
      <c r="Q753" s="194"/>
      <c r="R753" s="194"/>
      <c r="S753" s="195"/>
      <c r="T753" s="195"/>
      <c r="U753" s="195"/>
      <c r="V753" s="191"/>
      <c r="W753" s="192"/>
      <c r="X753" s="192"/>
      <c r="Y753" s="192"/>
      <c r="Z753" s="191"/>
      <c r="AA753" s="191"/>
      <c r="AB753" s="193"/>
      <c r="AC753" s="193"/>
      <c r="AD753" s="191"/>
      <c r="AE753" s="194"/>
      <c r="AF753" s="194"/>
      <c r="AG753" s="194"/>
      <c r="AH753" s="194"/>
      <c r="AI753" s="190"/>
    </row>
    <row r="754" ht="16.5" customHeight="1">
      <c r="A754" s="190"/>
      <c r="B754" s="191"/>
      <c r="C754" s="191"/>
      <c r="D754" s="191"/>
      <c r="E754" s="192"/>
      <c r="F754" s="192"/>
      <c r="G754" s="192"/>
      <c r="H754" s="192"/>
      <c r="I754" s="192"/>
      <c r="J754" s="193"/>
      <c r="K754" s="192"/>
      <c r="L754" s="190"/>
      <c r="M754" s="194"/>
      <c r="N754" s="194"/>
      <c r="O754" s="194"/>
      <c r="P754" s="194"/>
      <c r="Q754" s="194"/>
      <c r="R754" s="194"/>
      <c r="S754" s="195"/>
      <c r="T754" s="195"/>
      <c r="U754" s="195"/>
      <c r="V754" s="191"/>
      <c r="W754" s="192"/>
      <c r="X754" s="192"/>
      <c r="Y754" s="192"/>
      <c r="Z754" s="191"/>
      <c r="AA754" s="191"/>
      <c r="AB754" s="193"/>
      <c r="AC754" s="193"/>
      <c r="AD754" s="191"/>
      <c r="AE754" s="194"/>
      <c r="AF754" s="194"/>
      <c r="AG754" s="194"/>
      <c r="AH754" s="194"/>
      <c r="AI754" s="190"/>
    </row>
    <row r="755" ht="16.5" customHeight="1">
      <c r="A755" s="190"/>
      <c r="B755" s="191"/>
      <c r="C755" s="191"/>
      <c r="D755" s="191"/>
      <c r="E755" s="192"/>
      <c r="F755" s="192"/>
      <c r="G755" s="192"/>
      <c r="H755" s="192"/>
      <c r="I755" s="192"/>
      <c r="J755" s="193"/>
      <c r="K755" s="192"/>
      <c r="L755" s="190"/>
      <c r="M755" s="194"/>
      <c r="N755" s="194"/>
      <c r="O755" s="194"/>
      <c r="P755" s="194"/>
      <c r="Q755" s="194"/>
      <c r="R755" s="194"/>
      <c r="S755" s="195"/>
      <c r="T755" s="195"/>
      <c r="U755" s="195"/>
      <c r="V755" s="191"/>
      <c r="W755" s="192"/>
      <c r="X755" s="192"/>
      <c r="Y755" s="192"/>
      <c r="Z755" s="191"/>
      <c r="AA755" s="191"/>
      <c r="AB755" s="193"/>
      <c r="AC755" s="193"/>
      <c r="AD755" s="191"/>
      <c r="AE755" s="194"/>
      <c r="AF755" s="194"/>
      <c r="AG755" s="194"/>
      <c r="AH755" s="194"/>
      <c r="AI755" s="190"/>
    </row>
    <row r="756" ht="16.5" customHeight="1">
      <c r="A756" s="190"/>
      <c r="B756" s="191"/>
      <c r="C756" s="191"/>
      <c r="D756" s="191"/>
      <c r="E756" s="192"/>
      <c r="F756" s="192"/>
      <c r="G756" s="192"/>
      <c r="H756" s="192"/>
      <c r="I756" s="192"/>
      <c r="J756" s="193"/>
      <c r="K756" s="192"/>
      <c r="L756" s="190"/>
      <c r="M756" s="194"/>
      <c r="N756" s="194"/>
      <c r="O756" s="194"/>
      <c r="P756" s="194"/>
      <c r="Q756" s="194"/>
      <c r="R756" s="194"/>
      <c r="S756" s="195"/>
      <c r="T756" s="195"/>
      <c r="U756" s="195"/>
      <c r="V756" s="191"/>
      <c r="W756" s="192"/>
      <c r="X756" s="192"/>
      <c r="Y756" s="192"/>
      <c r="Z756" s="191"/>
      <c r="AA756" s="191"/>
      <c r="AB756" s="193"/>
      <c r="AC756" s="193"/>
      <c r="AD756" s="191"/>
      <c r="AE756" s="194"/>
      <c r="AF756" s="194"/>
      <c r="AG756" s="194"/>
      <c r="AH756" s="194"/>
      <c r="AI756" s="190"/>
    </row>
    <row r="757" ht="16.5" customHeight="1">
      <c r="A757" s="190"/>
      <c r="B757" s="191"/>
      <c r="C757" s="191"/>
      <c r="D757" s="191"/>
      <c r="E757" s="192"/>
      <c r="F757" s="192"/>
      <c r="G757" s="192"/>
      <c r="H757" s="192"/>
      <c r="I757" s="192"/>
      <c r="J757" s="193"/>
      <c r="K757" s="192"/>
      <c r="L757" s="190"/>
      <c r="M757" s="194"/>
      <c r="N757" s="194"/>
      <c r="O757" s="194"/>
      <c r="P757" s="194"/>
      <c r="Q757" s="194"/>
      <c r="R757" s="194"/>
      <c r="S757" s="195"/>
      <c r="T757" s="195"/>
      <c r="U757" s="195"/>
      <c r="V757" s="191"/>
      <c r="W757" s="192"/>
      <c r="X757" s="192"/>
      <c r="Y757" s="192"/>
      <c r="Z757" s="191"/>
      <c r="AA757" s="191"/>
      <c r="AB757" s="193"/>
      <c r="AC757" s="193"/>
      <c r="AD757" s="191"/>
      <c r="AE757" s="194"/>
      <c r="AF757" s="194"/>
      <c r="AG757" s="194"/>
      <c r="AH757" s="194"/>
      <c r="AI757" s="190"/>
    </row>
    <row r="758" ht="16.5" customHeight="1">
      <c r="A758" s="190"/>
      <c r="B758" s="191"/>
      <c r="C758" s="191"/>
      <c r="D758" s="191"/>
      <c r="E758" s="192"/>
      <c r="F758" s="192"/>
      <c r="G758" s="192"/>
      <c r="H758" s="192"/>
      <c r="I758" s="192"/>
      <c r="J758" s="193"/>
      <c r="K758" s="192"/>
      <c r="L758" s="190"/>
      <c r="M758" s="194"/>
      <c r="N758" s="194"/>
      <c r="O758" s="194"/>
      <c r="P758" s="194"/>
      <c r="Q758" s="194"/>
      <c r="R758" s="194"/>
      <c r="S758" s="195"/>
      <c r="T758" s="195"/>
      <c r="U758" s="195"/>
      <c r="V758" s="191"/>
      <c r="W758" s="192"/>
      <c r="X758" s="192"/>
      <c r="Y758" s="192"/>
      <c r="Z758" s="191"/>
      <c r="AA758" s="191"/>
      <c r="AB758" s="193"/>
      <c r="AC758" s="193"/>
      <c r="AD758" s="191"/>
      <c r="AE758" s="194"/>
      <c r="AF758" s="194"/>
      <c r="AG758" s="194"/>
      <c r="AH758" s="194"/>
      <c r="AI758" s="190"/>
    </row>
    <row r="759" ht="16.5" customHeight="1">
      <c r="A759" s="190"/>
      <c r="B759" s="191"/>
      <c r="C759" s="191"/>
      <c r="D759" s="191"/>
      <c r="E759" s="192"/>
      <c r="F759" s="192"/>
      <c r="G759" s="192"/>
      <c r="H759" s="192"/>
      <c r="I759" s="192"/>
      <c r="J759" s="193"/>
      <c r="K759" s="192"/>
      <c r="L759" s="190"/>
      <c r="M759" s="194"/>
      <c r="N759" s="194"/>
      <c r="O759" s="194"/>
      <c r="P759" s="194"/>
      <c r="Q759" s="194"/>
      <c r="R759" s="194"/>
      <c r="S759" s="195"/>
      <c r="T759" s="195"/>
      <c r="U759" s="195"/>
      <c r="V759" s="191"/>
      <c r="W759" s="192"/>
      <c r="X759" s="192"/>
      <c r="Y759" s="192"/>
      <c r="Z759" s="191"/>
      <c r="AA759" s="191"/>
      <c r="AB759" s="193"/>
      <c r="AC759" s="193"/>
      <c r="AD759" s="191"/>
      <c r="AE759" s="194"/>
      <c r="AF759" s="194"/>
      <c r="AG759" s="194"/>
      <c r="AH759" s="194"/>
      <c r="AI759" s="190"/>
    </row>
    <row r="760" ht="16.5" customHeight="1">
      <c r="A760" s="190"/>
      <c r="B760" s="191"/>
      <c r="C760" s="191"/>
      <c r="D760" s="191"/>
      <c r="E760" s="192"/>
      <c r="F760" s="192"/>
      <c r="G760" s="192"/>
      <c r="H760" s="192"/>
      <c r="I760" s="192"/>
      <c r="J760" s="193"/>
      <c r="K760" s="192"/>
      <c r="L760" s="190"/>
      <c r="M760" s="194"/>
      <c r="N760" s="194"/>
      <c r="O760" s="194"/>
      <c r="P760" s="194"/>
      <c r="Q760" s="194"/>
      <c r="R760" s="194"/>
      <c r="S760" s="195"/>
      <c r="T760" s="195"/>
      <c r="U760" s="195"/>
      <c r="V760" s="191"/>
      <c r="W760" s="192"/>
      <c r="X760" s="192"/>
      <c r="Y760" s="192"/>
      <c r="Z760" s="191"/>
      <c r="AA760" s="191"/>
      <c r="AB760" s="193"/>
      <c r="AC760" s="193"/>
      <c r="AD760" s="191"/>
      <c r="AE760" s="194"/>
      <c r="AF760" s="194"/>
      <c r="AG760" s="194"/>
      <c r="AH760" s="194"/>
      <c r="AI760" s="190"/>
    </row>
    <row r="761" ht="16.5" customHeight="1">
      <c r="A761" s="190"/>
      <c r="B761" s="191"/>
      <c r="C761" s="191"/>
      <c r="D761" s="191"/>
      <c r="E761" s="192"/>
      <c r="F761" s="192"/>
      <c r="G761" s="192"/>
      <c r="H761" s="192"/>
      <c r="I761" s="192"/>
      <c r="J761" s="193"/>
      <c r="K761" s="192"/>
      <c r="L761" s="190"/>
      <c r="M761" s="194"/>
      <c r="N761" s="194"/>
      <c r="O761" s="194"/>
      <c r="P761" s="194"/>
      <c r="Q761" s="194"/>
      <c r="R761" s="194"/>
      <c r="S761" s="195"/>
      <c r="T761" s="195"/>
      <c r="U761" s="195"/>
      <c r="V761" s="191"/>
      <c r="W761" s="192"/>
      <c r="X761" s="192"/>
      <c r="Y761" s="192"/>
      <c r="Z761" s="191"/>
      <c r="AA761" s="191"/>
      <c r="AB761" s="193"/>
      <c r="AC761" s="193"/>
      <c r="AD761" s="191"/>
      <c r="AE761" s="194"/>
      <c r="AF761" s="194"/>
      <c r="AG761" s="194"/>
      <c r="AH761" s="194"/>
      <c r="AI761" s="190"/>
    </row>
    <row r="762" ht="16.5" customHeight="1">
      <c r="A762" s="190"/>
      <c r="B762" s="191"/>
      <c r="C762" s="191"/>
      <c r="D762" s="191"/>
      <c r="E762" s="192"/>
      <c r="F762" s="192"/>
      <c r="G762" s="192"/>
      <c r="H762" s="192"/>
      <c r="I762" s="192"/>
      <c r="J762" s="193"/>
      <c r="K762" s="192"/>
      <c r="L762" s="190"/>
      <c r="M762" s="194"/>
      <c r="N762" s="194"/>
      <c r="O762" s="194"/>
      <c r="P762" s="194"/>
      <c r="Q762" s="194"/>
      <c r="R762" s="194"/>
      <c r="S762" s="195"/>
      <c r="T762" s="195"/>
      <c r="U762" s="195"/>
      <c r="V762" s="191"/>
      <c r="W762" s="192"/>
      <c r="X762" s="192"/>
      <c r="Y762" s="192"/>
      <c r="Z762" s="191"/>
      <c r="AA762" s="191"/>
      <c r="AB762" s="193"/>
      <c r="AC762" s="193"/>
      <c r="AD762" s="191"/>
      <c r="AE762" s="194"/>
      <c r="AF762" s="194"/>
      <c r="AG762" s="194"/>
      <c r="AH762" s="194"/>
      <c r="AI762" s="190"/>
    </row>
    <row r="763" ht="16.5" customHeight="1">
      <c r="A763" s="190"/>
      <c r="B763" s="191"/>
      <c r="C763" s="191"/>
      <c r="D763" s="191"/>
      <c r="E763" s="192"/>
      <c r="F763" s="192"/>
      <c r="G763" s="192"/>
      <c r="H763" s="192"/>
      <c r="I763" s="192"/>
      <c r="J763" s="193"/>
      <c r="K763" s="192"/>
      <c r="L763" s="190"/>
      <c r="M763" s="194"/>
      <c r="N763" s="194"/>
      <c r="O763" s="194"/>
      <c r="P763" s="194"/>
      <c r="Q763" s="194"/>
      <c r="R763" s="194"/>
      <c r="S763" s="195"/>
      <c r="T763" s="195"/>
      <c r="U763" s="195"/>
      <c r="V763" s="191"/>
      <c r="W763" s="192"/>
      <c r="X763" s="192"/>
      <c r="Y763" s="192"/>
      <c r="Z763" s="191"/>
      <c r="AA763" s="191"/>
      <c r="AB763" s="193"/>
      <c r="AC763" s="193"/>
      <c r="AD763" s="191"/>
      <c r="AE763" s="194"/>
      <c r="AF763" s="194"/>
      <c r="AG763" s="194"/>
      <c r="AH763" s="194"/>
      <c r="AI763" s="190"/>
    </row>
    <row r="764" ht="16.5" customHeight="1">
      <c r="A764" s="190"/>
      <c r="B764" s="191"/>
      <c r="C764" s="191"/>
      <c r="D764" s="191"/>
      <c r="E764" s="192"/>
      <c r="F764" s="192"/>
      <c r="G764" s="192"/>
      <c r="H764" s="192"/>
      <c r="I764" s="192"/>
      <c r="J764" s="193"/>
      <c r="K764" s="192"/>
      <c r="L764" s="190"/>
      <c r="M764" s="194"/>
      <c r="N764" s="194"/>
      <c r="O764" s="194"/>
      <c r="P764" s="194"/>
      <c r="Q764" s="194"/>
      <c r="R764" s="194"/>
      <c r="S764" s="195"/>
      <c r="T764" s="195"/>
      <c r="U764" s="195"/>
      <c r="V764" s="191"/>
      <c r="W764" s="192"/>
      <c r="X764" s="192"/>
      <c r="Y764" s="192"/>
      <c r="Z764" s="191"/>
      <c r="AA764" s="191"/>
      <c r="AB764" s="193"/>
      <c r="AC764" s="193"/>
      <c r="AD764" s="191"/>
      <c r="AE764" s="194"/>
      <c r="AF764" s="194"/>
      <c r="AG764" s="194"/>
      <c r="AH764" s="194"/>
      <c r="AI764" s="190"/>
    </row>
    <row r="765" ht="16.5" customHeight="1">
      <c r="A765" s="190"/>
      <c r="B765" s="191"/>
      <c r="C765" s="191"/>
      <c r="D765" s="191"/>
      <c r="E765" s="192"/>
      <c r="F765" s="192"/>
      <c r="G765" s="192"/>
      <c r="H765" s="192"/>
      <c r="I765" s="192"/>
      <c r="J765" s="193"/>
      <c r="K765" s="192"/>
      <c r="L765" s="190"/>
      <c r="M765" s="194"/>
      <c r="N765" s="194"/>
      <c r="O765" s="194"/>
      <c r="P765" s="194"/>
      <c r="Q765" s="194"/>
      <c r="R765" s="194"/>
      <c r="S765" s="195"/>
      <c r="T765" s="195"/>
      <c r="U765" s="195"/>
      <c r="V765" s="191"/>
      <c r="W765" s="192"/>
      <c r="X765" s="192"/>
      <c r="Y765" s="192"/>
      <c r="Z765" s="191"/>
      <c r="AA765" s="191"/>
      <c r="AB765" s="193"/>
      <c r="AC765" s="193"/>
      <c r="AD765" s="191"/>
      <c r="AE765" s="194"/>
      <c r="AF765" s="194"/>
      <c r="AG765" s="194"/>
      <c r="AH765" s="194"/>
      <c r="AI765" s="190"/>
    </row>
    <row r="766" ht="16.5" customHeight="1">
      <c r="A766" s="190"/>
      <c r="B766" s="191"/>
      <c r="C766" s="191"/>
      <c r="D766" s="191"/>
      <c r="E766" s="192"/>
      <c r="F766" s="192"/>
      <c r="G766" s="192"/>
      <c r="H766" s="192"/>
      <c r="I766" s="192"/>
      <c r="J766" s="193"/>
      <c r="K766" s="192"/>
      <c r="L766" s="190"/>
      <c r="M766" s="194"/>
      <c r="N766" s="194"/>
      <c r="O766" s="194"/>
      <c r="P766" s="194"/>
      <c r="Q766" s="194"/>
      <c r="R766" s="194"/>
      <c r="S766" s="195"/>
      <c r="T766" s="195"/>
      <c r="U766" s="195"/>
      <c r="V766" s="191"/>
      <c r="W766" s="192"/>
      <c r="X766" s="192"/>
      <c r="Y766" s="192"/>
      <c r="Z766" s="191"/>
      <c r="AA766" s="191"/>
      <c r="AB766" s="193"/>
      <c r="AC766" s="193"/>
      <c r="AD766" s="191"/>
      <c r="AE766" s="194"/>
      <c r="AF766" s="194"/>
      <c r="AG766" s="194"/>
      <c r="AH766" s="194"/>
      <c r="AI766" s="190"/>
    </row>
    <row r="767" ht="16.5" customHeight="1">
      <c r="A767" s="190"/>
      <c r="B767" s="191"/>
      <c r="C767" s="191"/>
      <c r="D767" s="191"/>
      <c r="E767" s="192"/>
      <c r="F767" s="192"/>
      <c r="G767" s="192"/>
      <c r="H767" s="192"/>
      <c r="I767" s="192"/>
      <c r="J767" s="193"/>
      <c r="K767" s="192"/>
      <c r="L767" s="190"/>
      <c r="M767" s="194"/>
      <c r="N767" s="194"/>
      <c r="O767" s="194"/>
      <c r="P767" s="194"/>
      <c r="Q767" s="194"/>
      <c r="R767" s="194"/>
      <c r="S767" s="195"/>
      <c r="T767" s="195"/>
      <c r="U767" s="195"/>
      <c r="V767" s="191"/>
      <c r="W767" s="192"/>
      <c r="X767" s="192"/>
      <c r="Y767" s="192"/>
      <c r="Z767" s="191"/>
      <c r="AA767" s="191"/>
      <c r="AB767" s="193"/>
      <c r="AC767" s="193"/>
      <c r="AD767" s="191"/>
      <c r="AE767" s="194"/>
      <c r="AF767" s="194"/>
      <c r="AG767" s="194"/>
      <c r="AH767" s="194"/>
      <c r="AI767" s="190"/>
    </row>
    <row r="768" ht="16.5" customHeight="1">
      <c r="A768" s="190"/>
      <c r="B768" s="191"/>
      <c r="C768" s="191"/>
      <c r="D768" s="191"/>
      <c r="E768" s="192"/>
      <c r="F768" s="192"/>
      <c r="G768" s="192"/>
      <c r="H768" s="192"/>
      <c r="I768" s="192"/>
      <c r="J768" s="193"/>
      <c r="K768" s="192"/>
      <c r="L768" s="190"/>
      <c r="M768" s="194"/>
      <c r="N768" s="194"/>
      <c r="O768" s="194"/>
      <c r="P768" s="194"/>
      <c r="Q768" s="194"/>
      <c r="R768" s="194"/>
      <c r="S768" s="195"/>
      <c r="T768" s="195"/>
      <c r="U768" s="195"/>
      <c r="V768" s="191"/>
      <c r="W768" s="192"/>
      <c r="X768" s="192"/>
      <c r="Y768" s="192"/>
      <c r="Z768" s="191"/>
      <c r="AA768" s="191"/>
      <c r="AB768" s="193"/>
      <c r="AC768" s="193"/>
      <c r="AD768" s="191"/>
      <c r="AE768" s="194"/>
      <c r="AF768" s="194"/>
      <c r="AG768" s="194"/>
      <c r="AH768" s="194"/>
      <c r="AI768" s="190"/>
    </row>
    <row r="769" ht="16.5" customHeight="1">
      <c r="A769" s="190"/>
      <c r="B769" s="191"/>
      <c r="C769" s="191"/>
      <c r="D769" s="191"/>
      <c r="E769" s="192"/>
      <c r="F769" s="192"/>
      <c r="G769" s="192"/>
      <c r="H769" s="192"/>
      <c r="I769" s="192"/>
      <c r="J769" s="193"/>
      <c r="K769" s="192"/>
      <c r="L769" s="190"/>
      <c r="M769" s="194"/>
      <c r="N769" s="194"/>
      <c r="O769" s="194"/>
      <c r="P769" s="194"/>
      <c r="Q769" s="194"/>
      <c r="R769" s="194"/>
      <c r="S769" s="195"/>
      <c r="T769" s="195"/>
      <c r="U769" s="195"/>
      <c r="V769" s="191"/>
      <c r="W769" s="192"/>
      <c r="X769" s="192"/>
      <c r="Y769" s="192"/>
      <c r="Z769" s="191"/>
      <c r="AA769" s="191"/>
      <c r="AB769" s="193"/>
      <c r="AC769" s="193"/>
      <c r="AD769" s="191"/>
      <c r="AE769" s="194"/>
      <c r="AF769" s="194"/>
      <c r="AG769" s="194"/>
      <c r="AH769" s="194"/>
      <c r="AI769" s="190"/>
    </row>
    <row r="770" ht="16.5" customHeight="1">
      <c r="A770" s="190"/>
      <c r="B770" s="191"/>
      <c r="C770" s="191"/>
      <c r="D770" s="191"/>
      <c r="E770" s="192"/>
      <c r="F770" s="192"/>
      <c r="G770" s="192"/>
      <c r="H770" s="192"/>
      <c r="I770" s="192"/>
      <c r="J770" s="193"/>
      <c r="K770" s="192"/>
      <c r="L770" s="190"/>
      <c r="M770" s="194"/>
      <c r="N770" s="194"/>
      <c r="O770" s="194"/>
      <c r="P770" s="194"/>
      <c r="Q770" s="194"/>
      <c r="R770" s="194"/>
      <c r="S770" s="195"/>
      <c r="T770" s="195"/>
      <c r="U770" s="195"/>
      <c r="V770" s="191"/>
      <c r="W770" s="192"/>
      <c r="X770" s="192"/>
      <c r="Y770" s="192"/>
      <c r="Z770" s="191"/>
      <c r="AA770" s="191"/>
      <c r="AB770" s="193"/>
      <c r="AC770" s="193"/>
      <c r="AD770" s="191"/>
      <c r="AE770" s="194"/>
      <c r="AF770" s="194"/>
      <c r="AG770" s="194"/>
      <c r="AH770" s="194"/>
      <c r="AI770" s="190"/>
    </row>
    <row r="771" ht="16.5" customHeight="1">
      <c r="A771" s="190"/>
      <c r="B771" s="191"/>
      <c r="C771" s="191"/>
      <c r="D771" s="191"/>
      <c r="E771" s="192"/>
      <c r="F771" s="192"/>
      <c r="G771" s="192"/>
      <c r="H771" s="192"/>
      <c r="I771" s="192"/>
      <c r="J771" s="193"/>
      <c r="K771" s="192"/>
      <c r="L771" s="190"/>
      <c r="M771" s="194"/>
      <c r="N771" s="194"/>
      <c r="O771" s="194"/>
      <c r="P771" s="194"/>
      <c r="Q771" s="194"/>
      <c r="R771" s="194"/>
      <c r="S771" s="195"/>
      <c r="T771" s="195"/>
      <c r="U771" s="195"/>
      <c r="V771" s="191"/>
      <c r="W771" s="192"/>
      <c r="X771" s="192"/>
      <c r="Y771" s="192"/>
      <c r="Z771" s="191"/>
      <c r="AA771" s="191"/>
      <c r="AB771" s="193"/>
      <c r="AC771" s="193"/>
      <c r="AD771" s="191"/>
      <c r="AE771" s="194"/>
      <c r="AF771" s="194"/>
      <c r="AG771" s="194"/>
      <c r="AH771" s="194"/>
      <c r="AI771" s="190"/>
    </row>
    <row r="772" ht="16.5" customHeight="1">
      <c r="A772" s="190"/>
      <c r="B772" s="191"/>
      <c r="C772" s="191"/>
      <c r="D772" s="191"/>
      <c r="E772" s="192"/>
      <c r="F772" s="192"/>
      <c r="G772" s="192"/>
      <c r="H772" s="192"/>
      <c r="I772" s="192"/>
      <c r="J772" s="193"/>
      <c r="K772" s="192"/>
      <c r="L772" s="190"/>
      <c r="M772" s="194"/>
      <c r="N772" s="194"/>
      <c r="O772" s="194"/>
      <c r="P772" s="194"/>
      <c r="Q772" s="194"/>
      <c r="R772" s="194"/>
      <c r="S772" s="195"/>
      <c r="T772" s="195"/>
      <c r="U772" s="195"/>
      <c r="V772" s="191"/>
      <c r="W772" s="192"/>
      <c r="X772" s="192"/>
      <c r="Y772" s="192"/>
      <c r="Z772" s="191"/>
      <c r="AA772" s="191"/>
      <c r="AB772" s="193"/>
      <c r="AC772" s="193"/>
      <c r="AD772" s="191"/>
      <c r="AE772" s="194"/>
      <c r="AF772" s="194"/>
      <c r="AG772" s="194"/>
      <c r="AH772" s="194"/>
      <c r="AI772" s="190"/>
    </row>
    <row r="773" ht="16.5" customHeight="1">
      <c r="A773" s="190"/>
      <c r="B773" s="191"/>
      <c r="C773" s="191"/>
      <c r="D773" s="191"/>
      <c r="E773" s="192"/>
      <c r="F773" s="192"/>
      <c r="G773" s="192"/>
      <c r="H773" s="192"/>
      <c r="I773" s="192"/>
      <c r="J773" s="193"/>
      <c r="K773" s="192"/>
      <c r="L773" s="190"/>
      <c r="M773" s="194"/>
      <c r="N773" s="194"/>
      <c r="O773" s="194"/>
      <c r="P773" s="194"/>
      <c r="Q773" s="194"/>
      <c r="R773" s="194"/>
      <c r="S773" s="195"/>
      <c r="T773" s="195"/>
      <c r="U773" s="195"/>
      <c r="V773" s="191"/>
      <c r="W773" s="192"/>
      <c r="X773" s="192"/>
      <c r="Y773" s="192"/>
      <c r="Z773" s="191"/>
      <c r="AA773" s="191"/>
      <c r="AB773" s="193"/>
      <c r="AC773" s="193"/>
      <c r="AD773" s="191"/>
      <c r="AE773" s="194"/>
      <c r="AF773" s="194"/>
      <c r="AG773" s="194"/>
      <c r="AH773" s="194"/>
      <c r="AI773" s="190"/>
    </row>
    <row r="774" ht="16.5" customHeight="1">
      <c r="A774" s="190"/>
      <c r="B774" s="191"/>
      <c r="C774" s="191"/>
      <c r="D774" s="191"/>
      <c r="E774" s="192"/>
      <c r="F774" s="192"/>
      <c r="G774" s="192"/>
      <c r="H774" s="192"/>
      <c r="I774" s="192"/>
      <c r="J774" s="193"/>
      <c r="K774" s="192"/>
      <c r="L774" s="190"/>
      <c r="M774" s="194"/>
      <c r="N774" s="194"/>
      <c r="O774" s="194"/>
      <c r="P774" s="194"/>
      <c r="Q774" s="194"/>
      <c r="R774" s="194"/>
      <c r="S774" s="195"/>
      <c r="T774" s="195"/>
      <c r="U774" s="195"/>
      <c r="V774" s="191"/>
      <c r="W774" s="192"/>
      <c r="X774" s="192"/>
      <c r="Y774" s="192"/>
      <c r="Z774" s="191"/>
      <c r="AA774" s="191"/>
      <c r="AB774" s="193"/>
      <c r="AC774" s="193"/>
      <c r="AD774" s="191"/>
      <c r="AE774" s="194"/>
      <c r="AF774" s="194"/>
      <c r="AG774" s="194"/>
      <c r="AH774" s="194"/>
      <c r="AI774" s="190"/>
    </row>
    <row r="775" ht="16.5" customHeight="1">
      <c r="A775" s="190"/>
      <c r="B775" s="191"/>
      <c r="C775" s="191"/>
      <c r="D775" s="191"/>
      <c r="E775" s="192"/>
      <c r="F775" s="192"/>
      <c r="G775" s="192"/>
      <c r="H775" s="192"/>
      <c r="I775" s="192"/>
      <c r="J775" s="193"/>
      <c r="K775" s="192"/>
      <c r="L775" s="190"/>
      <c r="M775" s="194"/>
      <c r="N775" s="194"/>
      <c r="O775" s="194"/>
      <c r="P775" s="194"/>
      <c r="Q775" s="194"/>
      <c r="R775" s="194"/>
      <c r="S775" s="195"/>
      <c r="T775" s="195"/>
      <c r="U775" s="195"/>
      <c r="V775" s="191"/>
      <c r="W775" s="192"/>
      <c r="X775" s="192"/>
      <c r="Y775" s="192"/>
      <c r="Z775" s="191"/>
      <c r="AA775" s="191"/>
      <c r="AB775" s="193"/>
      <c r="AC775" s="193"/>
      <c r="AD775" s="191"/>
      <c r="AE775" s="194"/>
      <c r="AF775" s="194"/>
      <c r="AG775" s="194"/>
      <c r="AH775" s="194"/>
      <c r="AI775" s="190"/>
    </row>
    <row r="776" ht="16.5" customHeight="1">
      <c r="A776" s="190"/>
      <c r="B776" s="191"/>
      <c r="C776" s="191"/>
      <c r="D776" s="191"/>
      <c r="E776" s="192"/>
      <c r="F776" s="192"/>
      <c r="G776" s="192"/>
      <c r="H776" s="192"/>
      <c r="I776" s="192"/>
      <c r="J776" s="193"/>
      <c r="K776" s="192"/>
      <c r="L776" s="190"/>
      <c r="M776" s="194"/>
      <c r="N776" s="194"/>
      <c r="O776" s="194"/>
      <c r="P776" s="194"/>
      <c r="Q776" s="194"/>
      <c r="R776" s="194"/>
      <c r="S776" s="195"/>
      <c r="T776" s="195"/>
      <c r="U776" s="195"/>
      <c r="V776" s="191"/>
      <c r="W776" s="192"/>
      <c r="X776" s="192"/>
      <c r="Y776" s="192"/>
      <c r="Z776" s="191"/>
      <c r="AA776" s="191"/>
      <c r="AB776" s="193"/>
      <c r="AC776" s="193"/>
      <c r="AD776" s="191"/>
      <c r="AE776" s="194"/>
      <c r="AF776" s="194"/>
      <c r="AG776" s="194"/>
      <c r="AH776" s="194"/>
      <c r="AI776" s="190"/>
    </row>
    <row r="777" ht="16.5" customHeight="1">
      <c r="A777" s="190"/>
      <c r="B777" s="191"/>
      <c r="C777" s="191"/>
      <c r="D777" s="191"/>
      <c r="E777" s="192"/>
      <c r="F777" s="192"/>
      <c r="G777" s="192"/>
      <c r="H777" s="192"/>
      <c r="I777" s="192"/>
      <c r="J777" s="193"/>
      <c r="K777" s="192"/>
      <c r="L777" s="190"/>
      <c r="M777" s="194"/>
      <c r="N777" s="194"/>
      <c r="O777" s="194"/>
      <c r="P777" s="194"/>
      <c r="Q777" s="194"/>
      <c r="R777" s="194"/>
      <c r="S777" s="195"/>
      <c r="T777" s="195"/>
      <c r="U777" s="195"/>
      <c r="V777" s="191"/>
      <c r="W777" s="192"/>
      <c r="X777" s="192"/>
      <c r="Y777" s="192"/>
      <c r="Z777" s="191"/>
      <c r="AA777" s="191"/>
      <c r="AB777" s="193"/>
      <c r="AC777" s="193"/>
      <c r="AD777" s="191"/>
      <c r="AE777" s="194"/>
      <c r="AF777" s="194"/>
      <c r="AG777" s="194"/>
      <c r="AH777" s="194"/>
      <c r="AI777" s="190"/>
    </row>
    <row r="778" ht="16.5" customHeight="1">
      <c r="A778" s="190"/>
      <c r="B778" s="191"/>
      <c r="C778" s="191"/>
      <c r="D778" s="191"/>
      <c r="E778" s="192"/>
      <c r="F778" s="192"/>
      <c r="G778" s="192"/>
      <c r="H778" s="192"/>
      <c r="I778" s="192"/>
      <c r="J778" s="193"/>
      <c r="K778" s="192"/>
      <c r="L778" s="190"/>
      <c r="M778" s="194"/>
      <c r="N778" s="194"/>
      <c r="O778" s="194"/>
      <c r="P778" s="194"/>
      <c r="Q778" s="194"/>
      <c r="R778" s="194"/>
      <c r="S778" s="195"/>
      <c r="T778" s="195"/>
      <c r="U778" s="195"/>
      <c r="V778" s="191"/>
      <c r="W778" s="192"/>
      <c r="X778" s="192"/>
      <c r="Y778" s="192"/>
      <c r="Z778" s="191"/>
      <c r="AA778" s="191"/>
      <c r="AB778" s="193"/>
      <c r="AC778" s="193"/>
      <c r="AD778" s="191"/>
      <c r="AE778" s="194"/>
      <c r="AF778" s="194"/>
      <c r="AG778" s="194"/>
      <c r="AH778" s="194"/>
      <c r="AI778" s="190"/>
    </row>
    <row r="779" ht="16.5" customHeight="1">
      <c r="A779" s="190"/>
      <c r="B779" s="191"/>
      <c r="C779" s="191"/>
      <c r="D779" s="191"/>
      <c r="E779" s="192"/>
      <c r="F779" s="192"/>
      <c r="G779" s="192"/>
      <c r="H779" s="192"/>
      <c r="I779" s="192"/>
      <c r="J779" s="193"/>
      <c r="K779" s="192"/>
      <c r="L779" s="190"/>
      <c r="M779" s="194"/>
      <c r="N779" s="194"/>
      <c r="O779" s="194"/>
      <c r="P779" s="194"/>
      <c r="Q779" s="194"/>
      <c r="R779" s="194"/>
      <c r="S779" s="195"/>
      <c r="T779" s="195"/>
      <c r="U779" s="195"/>
      <c r="V779" s="191"/>
      <c r="W779" s="192"/>
      <c r="X779" s="192"/>
      <c r="Y779" s="192"/>
      <c r="Z779" s="191"/>
      <c r="AA779" s="191"/>
      <c r="AB779" s="193"/>
      <c r="AC779" s="193"/>
      <c r="AD779" s="191"/>
      <c r="AE779" s="194"/>
      <c r="AF779" s="194"/>
      <c r="AG779" s="194"/>
      <c r="AH779" s="194"/>
      <c r="AI779" s="190"/>
    </row>
    <row r="780" ht="16.5" customHeight="1">
      <c r="A780" s="190"/>
      <c r="B780" s="191"/>
      <c r="C780" s="191"/>
      <c r="D780" s="191"/>
      <c r="E780" s="192"/>
      <c r="F780" s="192"/>
      <c r="G780" s="192"/>
      <c r="H780" s="192"/>
      <c r="I780" s="192"/>
      <c r="J780" s="193"/>
      <c r="K780" s="192"/>
      <c r="L780" s="190"/>
      <c r="M780" s="194"/>
      <c r="N780" s="194"/>
      <c r="O780" s="194"/>
      <c r="P780" s="194"/>
      <c r="Q780" s="194"/>
      <c r="R780" s="194"/>
      <c r="S780" s="195"/>
      <c r="T780" s="195"/>
      <c r="U780" s="195"/>
      <c r="V780" s="191"/>
      <c r="W780" s="192"/>
      <c r="X780" s="192"/>
      <c r="Y780" s="192"/>
      <c r="Z780" s="191"/>
      <c r="AA780" s="191"/>
      <c r="AB780" s="193"/>
      <c r="AC780" s="193"/>
      <c r="AD780" s="191"/>
      <c r="AE780" s="194"/>
      <c r="AF780" s="194"/>
      <c r="AG780" s="194"/>
      <c r="AH780" s="194"/>
      <c r="AI780" s="190"/>
    </row>
    <row r="781" ht="16.5" customHeight="1">
      <c r="A781" s="190"/>
      <c r="B781" s="191"/>
      <c r="C781" s="191"/>
      <c r="D781" s="191"/>
      <c r="E781" s="192"/>
      <c r="F781" s="192"/>
      <c r="G781" s="192"/>
      <c r="H781" s="192"/>
      <c r="I781" s="192"/>
      <c r="J781" s="193"/>
      <c r="K781" s="192"/>
      <c r="L781" s="190"/>
      <c r="M781" s="194"/>
      <c r="N781" s="194"/>
      <c r="O781" s="194"/>
      <c r="P781" s="194"/>
      <c r="Q781" s="194"/>
      <c r="R781" s="194"/>
      <c r="S781" s="195"/>
      <c r="T781" s="195"/>
      <c r="U781" s="195"/>
      <c r="V781" s="191"/>
      <c r="W781" s="192"/>
      <c r="X781" s="192"/>
      <c r="Y781" s="192"/>
      <c r="Z781" s="191"/>
      <c r="AA781" s="191"/>
      <c r="AB781" s="193"/>
      <c r="AC781" s="193"/>
      <c r="AD781" s="191"/>
      <c r="AE781" s="194"/>
      <c r="AF781" s="194"/>
      <c r="AG781" s="194"/>
      <c r="AH781" s="194"/>
      <c r="AI781" s="190"/>
    </row>
    <row r="782" ht="16.5" customHeight="1">
      <c r="A782" s="190"/>
      <c r="B782" s="191"/>
      <c r="C782" s="191"/>
      <c r="D782" s="191"/>
      <c r="E782" s="192"/>
      <c r="F782" s="192"/>
      <c r="G782" s="192"/>
      <c r="H782" s="192"/>
      <c r="I782" s="192"/>
      <c r="J782" s="193"/>
      <c r="K782" s="192"/>
      <c r="L782" s="190"/>
      <c r="M782" s="194"/>
      <c r="N782" s="194"/>
      <c r="O782" s="194"/>
      <c r="P782" s="194"/>
      <c r="Q782" s="194"/>
      <c r="R782" s="194"/>
      <c r="S782" s="195"/>
      <c r="T782" s="195"/>
      <c r="U782" s="195"/>
      <c r="V782" s="191"/>
      <c r="W782" s="192"/>
      <c r="X782" s="192"/>
      <c r="Y782" s="192"/>
      <c r="Z782" s="191"/>
      <c r="AA782" s="191"/>
      <c r="AB782" s="193"/>
      <c r="AC782" s="193"/>
      <c r="AD782" s="191"/>
      <c r="AE782" s="194"/>
      <c r="AF782" s="194"/>
      <c r="AG782" s="194"/>
      <c r="AH782" s="194"/>
      <c r="AI782" s="190"/>
    </row>
    <row r="783" ht="16.5" customHeight="1">
      <c r="A783" s="190"/>
      <c r="B783" s="191"/>
      <c r="C783" s="191"/>
      <c r="D783" s="191"/>
      <c r="E783" s="192"/>
      <c r="F783" s="192"/>
      <c r="G783" s="192"/>
      <c r="H783" s="192"/>
      <c r="I783" s="192"/>
      <c r="J783" s="193"/>
      <c r="K783" s="192"/>
      <c r="L783" s="190"/>
      <c r="M783" s="194"/>
      <c r="N783" s="194"/>
      <c r="O783" s="194"/>
      <c r="P783" s="194"/>
      <c r="Q783" s="194"/>
      <c r="R783" s="194"/>
      <c r="S783" s="195"/>
      <c r="T783" s="195"/>
      <c r="U783" s="195"/>
      <c r="V783" s="191"/>
      <c r="W783" s="192"/>
      <c r="X783" s="192"/>
      <c r="Y783" s="192"/>
      <c r="Z783" s="191"/>
      <c r="AA783" s="191"/>
      <c r="AB783" s="193"/>
      <c r="AC783" s="193"/>
      <c r="AD783" s="191"/>
      <c r="AE783" s="194"/>
      <c r="AF783" s="194"/>
      <c r="AG783" s="194"/>
      <c r="AH783" s="194"/>
      <c r="AI783" s="190"/>
    </row>
    <row r="784" ht="16.5" customHeight="1">
      <c r="A784" s="190"/>
      <c r="B784" s="191"/>
      <c r="C784" s="191"/>
      <c r="D784" s="191"/>
      <c r="E784" s="192"/>
      <c r="F784" s="192"/>
      <c r="G784" s="192"/>
      <c r="H784" s="192"/>
      <c r="I784" s="192"/>
      <c r="J784" s="193"/>
      <c r="K784" s="192"/>
      <c r="L784" s="190"/>
      <c r="M784" s="194"/>
      <c r="N784" s="194"/>
      <c r="O784" s="194"/>
      <c r="P784" s="194"/>
      <c r="Q784" s="194"/>
      <c r="R784" s="194"/>
      <c r="S784" s="195"/>
      <c r="T784" s="195"/>
      <c r="U784" s="195"/>
      <c r="V784" s="191"/>
      <c r="W784" s="192"/>
      <c r="X784" s="192"/>
      <c r="Y784" s="192"/>
      <c r="Z784" s="191"/>
      <c r="AA784" s="191"/>
      <c r="AB784" s="193"/>
      <c r="AC784" s="193"/>
      <c r="AD784" s="191"/>
      <c r="AE784" s="194"/>
      <c r="AF784" s="194"/>
      <c r="AG784" s="194"/>
      <c r="AH784" s="194"/>
      <c r="AI784" s="190"/>
    </row>
    <row r="785" ht="16.5" customHeight="1">
      <c r="A785" s="190"/>
      <c r="B785" s="191"/>
      <c r="C785" s="191"/>
      <c r="D785" s="191"/>
      <c r="E785" s="192"/>
      <c r="F785" s="192"/>
      <c r="G785" s="192"/>
      <c r="H785" s="192"/>
      <c r="I785" s="192"/>
      <c r="J785" s="193"/>
      <c r="K785" s="192"/>
      <c r="L785" s="190"/>
      <c r="M785" s="194"/>
      <c r="N785" s="194"/>
      <c r="O785" s="194"/>
      <c r="P785" s="194"/>
      <c r="Q785" s="194"/>
      <c r="R785" s="194"/>
      <c r="S785" s="195"/>
      <c r="T785" s="195"/>
      <c r="U785" s="195"/>
      <c r="V785" s="191"/>
      <c r="W785" s="192"/>
      <c r="X785" s="192"/>
      <c r="Y785" s="192"/>
      <c r="Z785" s="191"/>
      <c r="AA785" s="191"/>
      <c r="AB785" s="193"/>
      <c r="AC785" s="193"/>
      <c r="AD785" s="191"/>
      <c r="AE785" s="194"/>
      <c r="AF785" s="194"/>
      <c r="AG785" s="194"/>
      <c r="AH785" s="194"/>
      <c r="AI785" s="190"/>
    </row>
    <row r="786" ht="16.5" customHeight="1">
      <c r="A786" s="190"/>
      <c r="B786" s="191"/>
      <c r="C786" s="191"/>
      <c r="D786" s="191"/>
      <c r="E786" s="192"/>
      <c r="F786" s="192"/>
      <c r="G786" s="192"/>
      <c r="H786" s="192"/>
      <c r="I786" s="192"/>
      <c r="J786" s="193"/>
      <c r="K786" s="192"/>
      <c r="L786" s="190"/>
      <c r="M786" s="194"/>
      <c r="N786" s="194"/>
      <c r="O786" s="194"/>
      <c r="P786" s="194"/>
      <c r="Q786" s="194"/>
      <c r="R786" s="194"/>
      <c r="S786" s="195"/>
      <c r="T786" s="195"/>
      <c r="U786" s="195"/>
      <c r="V786" s="191"/>
      <c r="W786" s="192"/>
      <c r="X786" s="192"/>
      <c r="Y786" s="192"/>
      <c r="Z786" s="191"/>
      <c r="AA786" s="191"/>
      <c r="AB786" s="193"/>
      <c r="AC786" s="193"/>
      <c r="AD786" s="191"/>
      <c r="AE786" s="194"/>
      <c r="AF786" s="194"/>
      <c r="AG786" s="194"/>
      <c r="AH786" s="194"/>
      <c r="AI786" s="190"/>
    </row>
    <row r="787" ht="16.5" customHeight="1">
      <c r="A787" s="190"/>
      <c r="B787" s="191"/>
      <c r="C787" s="191"/>
      <c r="D787" s="191"/>
      <c r="E787" s="192"/>
      <c r="F787" s="192"/>
      <c r="G787" s="192"/>
      <c r="H787" s="192"/>
      <c r="I787" s="192"/>
      <c r="J787" s="193"/>
      <c r="K787" s="192"/>
      <c r="L787" s="190"/>
      <c r="M787" s="194"/>
      <c r="N787" s="194"/>
      <c r="O787" s="194"/>
      <c r="P787" s="194"/>
      <c r="Q787" s="194"/>
      <c r="R787" s="194"/>
      <c r="S787" s="195"/>
      <c r="T787" s="195"/>
      <c r="U787" s="195"/>
      <c r="V787" s="191"/>
      <c r="W787" s="192"/>
      <c r="X787" s="192"/>
      <c r="Y787" s="192"/>
      <c r="Z787" s="191"/>
      <c r="AA787" s="191"/>
      <c r="AB787" s="193"/>
      <c r="AC787" s="193"/>
      <c r="AD787" s="191"/>
      <c r="AE787" s="194"/>
      <c r="AF787" s="194"/>
      <c r="AG787" s="194"/>
      <c r="AH787" s="194"/>
      <c r="AI787" s="190"/>
    </row>
    <row r="788" ht="16.5" customHeight="1">
      <c r="A788" s="190"/>
      <c r="B788" s="191"/>
      <c r="C788" s="191"/>
      <c r="D788" s="191"/>
      <c r="E788" s="192"/>
      <c r="F788" s="192"/>
      <c r="G788" s="192"/>
      <c r="H788" s="192"/>
      <c r="I788" s="192"/>
      <c r="J788" s="193"/>
      <c r="K788" s="192"/>
      <c r="L788" s="190"/>
      <c r="M788" s="194"/>
      <c r="N788" s="194"/>
      <c r="O788" s="194"/>
      <c r="P788" s="194"/>
      <c r="Q788" s="194"/>
      <c r="R788" s="194"/>
      <c r="S788" s="195"/>
      <c r="T788" s="195"/>
      <c r="U788" s="195"/>
      <c r="V788" s="191"/>
      <c r="W788" s="192"/>
      <c r="X788" s="192"/>
      <c r="Y788" s="192"/>
      <c r="Z788" s="191"/>
      <c r="AA788" s="191"/>
      <c r="AB788" s="193"/>
      <c r="AC788" s="193"/>
      <c r="AD788" s="191"/>
      <c r="AE788" s="194"/>
      <c r="AF788" s="194"/>
      <c r="AG788" s="194"/>
      <c r="AH788" s="194"/>
      <c r="AI788" s="190"/>
    </row>
    <row r="789" ht="16.5" customHeight="1">
      <c r="A789" s="190"/>
      <c r="B789" s="191"/>
      <c r="C789" s="191"/>
      <c r="D789" s="191"/>
      <c r="E789" s="192"/>
      <c r="F789" s="192"/>
      <c r="G789" s="192"/>
      <c r="H789" s="192"/>
      <c r="I789" s="192"/>
      <c r="J789" s="193"/>
      <c r="K789" s="192"/>
      <c r="L789" s="190"/>
      <c r="M789" s="194"/>
      <c r="N789" s="194"/>
      <c r="O789" s="194"/>
      <c r="P789" s="194"/>
      <c r="Q789" s="194"/>
      <c r="R789" s="194"/>
      <c r="S789" s="195"/>
      <c r="T789" s="195"/>
      <c r="U789" s="195"/>
      <c r="V789" s="191"/>
      <c r="W789" s="192"/>
      <c r="X789" s="192"/>
      <c r="Y789" s="192"/>
      <c r="Z789" s="191"/>
      <c r="AA789" s="191"/>
      <c r="AB789" s="193"/>
      <c r="AC789" s="193"/>
      <c r="AD789" s="191"/>
      <c r="AE789" s="194"/>
      <c r="AF789" s="194"/>
      <c r="AG789" s="194"/>
      <c r="AH789" s="194"/>
      <c r="AI789" s="190"/>
    </row>
    <row r="790" ht="16.5" customHeight="1">
      <c r="A790" s="190"/>
      <c r="B790" s="191"/>
      <c r="C790" s="191"/>
      <c r="D790" s="191"/>
      <c r="E790" s="192"/>
      <c r="F790" s="192"/>
      <c r="G790" s="192"/>
      <c r="H790" s="192"/>
      <c r="I790" s="192"/>
      <c r="J790" s="193"/>
      <c r="K790" s="192"/>
      <c r="L790" s="190"/>
      <c r="M790" s="194"/>
      <c r="N790" s="194"/>
      <c r="O790" s="194"/>
      <c r="P790" s="194"/>
      <c r="Q790" s="194"/>
      <c r="R790" s="194"/>
      <c r="S790" s="195"/>
      <c r="T790" s="195"/>
      <c r="U790" s="195"/>
      <c r="V790" s="191"/>
      <c r="W790" s="192"/>
      <c r="X790" s="192"/>
      <c r="Y790" s="192"/>
      <c r="Z790" s="191"/>
      <c r="AA790" s="191"/>
      <c r="AB790" s="193"/>
      <c r="AC790" s="193"/>
      <c r="AD790" s="191"/>
      <c r="AE790" s="194"/>
      <c r="AF790" s="194"/>
      <c r="AG790" s="194"/>
      <c r="AH790" s="194"/>
      <c r="AI790" s="190"/>
    </row>
    <row r="791" ht="16.5" customHeight="1">
      <c r="A791" s="190"/>
      <c r="B791" s="191"/>
      <c r="C791" s="191"/>
      <c r="D791" s="191"/>
      <c r="E791" s="192"/>
      <c r="F791" s="192"/>
      <c r="G791" s="192"/>
      <c r="H791" s="192"/>
      <c r="I791" s="192"/>
      <c r="J791" s="193"/>
      <c r="K791" s="192"/>
      <c r="L791" s="190"/>
      <c r="M791" s="194"/>
      <c r="N791" s="194"/>
      <c r="O791" s="194"/>
      <c r="P791" s="194"/>
      <c r="Q791" s="194"/>
      <c r="R791" s="194"/>
      <c r="S791" s="195"/>
      <c r="T791" s="195"/>
      <c r="U791" s="195"/>
      <c r="V791" s="191"/>
      <c r="W791" s="192"/>
      <c r="X791" s="192"/>
      <c r="Y791" s="192"/>
      <c r="Z791" s="191"/>
      <c r="AA791" s="191"/>
      <c r="AB791" s="193"/>
      <c r="AC791" s="193"/>
      <c r="AD791" s="191"/>
      <c r="AE791" s="194"/>
      <c r="AF791" s="194"/>
      <c r="AG791" s="194"/>
      <c r="AH791" s="194"/>
      <c r="AI791" s="190"/>
    </row>
    <row r="792" ht="16.5" customHeight="1">
      <c r="A792" s="190"/>
      <c r="B792" s="191"/>
      <c r="C792" s="191"/>
      <c r="D792" s="191"/>
      <c r="E792" s="192"/>
      <c r="F792" s="192"/>
      <c r="G792" s="192"/>
      <c r="H792" s="192"/>
      <c r="I792" s="192"/>
      <c r="J792" s="193"/>
      <c r="K792" s="192"/>
      <c r="L792" s="190"/>
      <c r="M792" s="194"/>
      <c r="N792" s="194"/>
      <c r="O792" s="194"/>
      <c r="P792" s="194"/>
      <c r="Q792" s="194"/>
      <c r="R792" s="194"/>
      <c r="S792" s="195"/>
      <c r="T792" s="195"/>
      <c r="U792" s="195"/>
      <c r="V792" s="191"/>
      <c r="W792" s="192"/>
      <c r="X792" s="192"/>
      <c r="Y792" s="192"/>
      <c r="Z792" s="191"/>
      <c r="AA792" s="191"/>
      <c r="AB792" s="193"/>
      <c r="AC792" s="193"/>
      <c r="AD792" s="191"/>
      <c r="AE792" s="194"/>
      <c r="AF792" s="194"/>
      <c r="AG792" s="194"/>
      <c r="AH792" s="194"/>
      <c r="AI792" s="190"/>
    </row>
    <row r="793" ht="16.5" customHeight="1">
      <c r="A793" s="190"/>
      <c r="B793" s="191"/>
      <c r="C793" s="191"/>
      <c r="D793" s="191"/>
      <c r="E793" s="192"/>
      <c r="F793" s="192"/>
      <c r="G793" s="192"/>
      <c r="H793" s="192"/>
      <c r="I793" s="192"/>
      <c r="J793" s="193"/>
      <c r="K793" s="192"/>
      <c r="L793" s="190"/>
      <c r="M793" s="194"/>
      <c r="N793" s="194"/>
      <c r="O793" s="194"/>
      <c r="P793" s="194"/>
      <c r="Q793" s="194"/>
      <c r="R793" s="194"/>
      <c r="S793" s="195"/>
      <c r="T793" s="195"/>
      <c r="U793" s="195"/>
      <c r="V793" s="191"/>
      <c r="W793" s="192"/>
      <c r="X793" s="192"/>
      <c r="Y793" s="192"/>
      <c r="Z793" s="191"/>
      <c r="AA793" s="191"/>
      <c r="AB793" s="193"/>
      <c r="AC793" s="193"/>
      <c r="AD793" s="191"/>
      <c r="AE793" s="194"/>
      <c r="AF793" s="194"/>
      <c r="AG793" s="194"/>
      <c r="AH793" s="194"/>
      <c r="AI793" s="190"/>
    </row>
    <row r="794" ht="16.5" customHeight="1">
      <c r="A794" s="190"/>
      <c r="B794" s="191"/>
      <c r="C794" s="191"/>
      <c r="D794" s="191"/>
      <c r="E794" s="192"/>
      <c r="F794" s="192"/>
      <c r="G794" s="192"/>
      <c r="H794" s="192"/>
      <c r="I794" s="192"/>
      <c r="J794" s="193"/>
      <c r="K794" s="192"/>
      <c r="L794" s="190"/>
      <c r="M794" s="194"/>
      <c r="N794" s="194"/>
      <c r="O794" s="194"/>
      <c r="P794" s="194"/>
      <c r="Q794" s="194"/>
      <c r="R794" s="194"/>
      <c r="S794" s="195"/>
      <c r="T794" s="195"/>
      <c r="U794" s="195"/>
      <c r="V794" s="191"/>
      <c r="W794" s="192"/>
      <c r="X794" s="192"/>
      <c r="Y794" s="192"/>
      <c r="Z794" s="191"/>
      <c r="AA794" s="191"/>
      <c r="AB794" s="193"/>
      <c r="AC794" s="193"/>
      <c r="AD794" s="191"/>
      <c r="AE794" s="194"/>
      <c r="AF794" s="194"/>
      <c r="AG794" s="194"/>
      <c r="AH794" s="194"/>
      <c r="AI794" s="190"/>
    </row>
    <row r="795" ht="16.5" customHeight="1">
      <c r="A795" s="190"/>
      <c r="B795" s="191"/>
      <c r="C795" s="191"/>
      <c r="D795" s="191"/>
      <c r="E795" s="192"/>
      <c r="F795" s="192"/>
      <c r="G795" s="192"/>
      <c r="H795" s="192"/>
      <c r="I795" s="192"/>
      <c r="J795" s="193"/>
      <c r="K795" s="192"/>
      <c r="L795" s="190"/>
      <c r="M795" s="194"/>
      <c r="N795" s="194"/>
      <c r="O795" s="194"/>
      <c r="P795" s="194"/>
      <c r="Q795" s="194"/>
      <c r="R795" s="194"/>
      <c r="S795" s="195"/>
      <c r="T795" s="195"/>
      <c r="U795" s="195"/>
      <c r="V795" s="191"/>
      <c r="W795" s="192"/>
      <c r="X795" s="192"/>
      <c r="Y795" s="192"/>
      <c r="Z795" s="191"/>
      <c r="AA795" s="191"/>
      <c r="AB795" s="193"/>
      <c r="AC795" s="193"/>
      <c r="AD795" s="191"/>
      <c r="AE795" s="194"/>
      <c r="AF795" s="194"/>
      <c r="AG795" s="194"/>
      <c r="AH795" s="194"/>
      <c r="AI795" s="190"/>
    </row>
    <row r="796" ht="16.5" customHeight="1">
      <c r="A796" s="190"/>
      <c r="B796" s="191"/>
      <c r="C796" s="191"/>
      <c r="D796" s="191"/>
      <c r="E796" s="192"/>
      <c r="F796" s="192"/>
      <c r="G796" s="192"/>
      <c r="H796" s="192"/>
      <c r="I796" s="192"/>
      <c r="J796" s="193"/>
      <c r="K796" s="192"/>
      <c r="L796" s="190"/>
      <c r="M796" s="194"/>
      <c r="N796" s="194"/>
      <c r="O796" s="194"/>
      <c r="P796" s="194"/>
      <c r="Q796" s="194"/>
      <c r="R796" s="194"/>
      <c r="S796" s="195"/>
      <c r="T796" s="195"/>
      <c r="U796" s="195"/>
      <c r="V796" s="191"/>
      <c r="W796" s="192"/>
      <c r="X796" s="192"/>
      <c r="Y796" s="192"/>
      <c r="Z796" s="191"/>
      <c r="AA796" s="191"/>
      <c r="AB796" s="193"/>
      <c r="AC796" s="193"/>
      <c r="AD796" s="191"/>
      <c r="AE796" s="194"/>
      <c r="AF796" s="194"/>
      <c r="AG796" s="194"/>
      <c r="AH796" s="194"/>
      <c r="AI796" s="190"/>
    </row>
    <row r="797" ht="16.5" customHeight="1">
      <c r="A797" s="190"/>
      <c r="B797" s="191"/>
      <c r="C797" s="191"/>
      <c r="D797" s="191"/>
      <c r="E797" s="192"/>
      <c r="F797" s="192"/>
      <c r="G797" s="192"/>
      <c r="H797" s="192"/>
      <c r="I797" s="192"/>
      <c r="J797" s="193"/>
      <c r="K797" s="192"/>
      <c r="L797" s="190"/>
      <c r="M797" s="194"/>
      <c r="N797" s="194"/>
      <c r="O797" s="194"/>
      <c r="P797" s="194"/>
      <c r="Q797" s="194"/>
      <c r="R797" s="194"/>
      <c r="S797" s="195"/>
      <c r="T797" s="195"/>
      <c r="U797" s="195"/>
      <c r="V797" s="191"/>
      <c r="W797" s="192"/>
      <c r="X797" s="192"/>
      <c r="Y797" s="192"/>
      <c r="Z797" s="191"/>
      <c r="AA797" s="191"/>
      <c r="AB797" s="193"/>
      <c r="AC797" s="193"/>
      <c r="AD797" s="191"/>
      <c r="AE797" s="194"/>
      <c r="AF797" s="194"/>
      <c r="AG797" s="194"/>
      <c r="AH797" s="194"/>
      <c r="AI797" s="190"/>
    </row>
    <row r="798" ht="16.5" customHeight="1">
      <c r="A798" s="190"/>
      <c r="B798" s="191"/>
      <c r="C798" s="191"/>
      <c r="D798" s="191"/>
      <c r="E798" s="192"/>
      <c r="F798" s="192"/>
      <c r="G798" s="192"/>
      <c r="H798" s="192"/>
      <c r="I798" s="192"/>
      <c r="J798" s="193"/>
      <c r="K798" s="192"/>
      <c r="L798" s="190"/>
      <c r="M798" s="194"/>
      <c r="N798" s="194"/>
      <c r="O798" s="194"/>
      <c r="P798" s="194"/>
      <c r="Q798" s="194"/>
      <c r="R798" s="194"/>
      <c r="S798" s="195"/>
      <c r="T798" s="195"/>
      <c r="U798" s="195"/>
      <c r="V798" s="191"/>
      <c r="W798" s="192"/>
      <c r="X798" s="192"/>
      <c r="Y798" s="192"/>
      <c r="Z798" s="191"/>
      <c r="AA798" s="191"/>
      <c r="AB798" s="193"/>
      <c r="AC798" s="193"/>
      <c r="AD798" s="191"/>
      <c r="AE798" s="194"/>
      <c r="AF798" s="194"/>
      <c r="AG798" s="194"/>
      <c r="AH798" s="194"/>
      <c r="AI798" s="190"/>
    </row>
    <row r="799" ht="16.5" customHeight="1">
      <c r="A799" s="190"/>
      <c r="B799" s="191"/>
      <c r="C799" s="191"/>
      <c r="D799" s="191"/>
      <c r="E799" s="192"/>
      <c r="F799" s="192"/>
      <c r="G799" s="192"/>
      <c r="H799" s="192"/>
      <c r="I799" s="192"/>
      <c r="J799" s="193"/>
      <c r="K799" s="192"/>
      <c r="L799" s="190"/>
      <c r="M799" s="194"/>
      <c r="N799" s="194"/>
      <c r="O799" s="194"/>
      <c r="P799" s="194"/>
      <c r="Q799" s="194"/>
      <c r="R799" s="194"/>
      <c r="S799" s="195"/>
      <c r="T799" s="195"/>
      <c r="U799" s="195"/>
      <c r="V799" s="191"/>
      <c r="W799" s="192"/>
      <c r="X799" s="192"/>
      <c r="Y799" s="192"/>
      <c r="Z799" s="191"/>
      <c r="AA799" s="191"/>
      <c r="AB799" s="193"/>
      <c r="AC799" s="193"/>
      <c r="AD799" s="191"/>
      <c r="AE799" s="194"/>
      <c r="AF799" s="194"/>
      <c r="AG799" s="194"/>
      <c r="AH799" s="194"/>
      <c r="AI799" s="190"/>
    </row>
    <row r="800" ht="16.5" customHeight="1">
      <c r="A800" s="190"/>
      <c r="B800" s="191"/>
      <c r="C800" s="191"/>
      <c r="D800" s="191"/>
      <c r="E800" s="192"/>
      <c r="F800" s="192"/>
      <c r="G800" s="192"/>
      <c r="H800" s="192"/>
      <c r="I800" s="192"/>
      <c r="J800" s="193"/>
      <c r="K800" s="192"/>
      <c r="L800" s="190"/>
      <c r="M800" s="194"/>
      <c r="N800" s="194"/>
      <c r="O800" s="194"/>
      <c r="P800" s="194"/>
      <c r="Q800" s="194"/>
      <c r="R800" s="194"/>
      <c r="S800" s="195"/>
      <c r="T800" s="195"/>
      <c r="U800" s="195"/>
      <c r="V800" s="191"/>
      <c r="W800" s="192"/>
      <c r="X800" s="192"/>
      <c r="Y800" s="192"/>
      <c r="Z800" s="191"/>
      <c r="AA800" s="191"/>
      <c r="AB800" s="193"/>
      <c r="AC800" s="193"/>
      <c r="AD800" s="191"/>
      <c r="AE800" s="194"/>
      <c r="AF800" s="194"/>
      <c r="AG800" s="194"/>
      <c r="AH800" s="194"/>
      <c r="AI800" s="190"/>
    </row>
    <row r="801" ht="16.5" customHeight="1">
      <c r="A801" s="190"/>
      <c r="B801" s="191"/>
      <c r="C801" s="191"/>
      <c r="D801" s="191"/>
      <c r="E801" s="192"/>
      <c r="F801" s="192"/>
      <c r="G801" s="192"/>
      <c r="H801" s="192"/>
      <c r="I801" s="192"/>
      <c r="J801" s="193"/>
      <c r="K801" s="192"/>
      <c r="L801" s="190"/>
      <c r="M801" s="194"/>
      <c r="N801" s="194"/>
      <c r="O801" s="194"/>
      <c r="P801" s="194"/>
      <c r="Q801" s="194"/>
      <c r="R801" s="194"/>
      <c r="S801" s="195"/>
      <c r="T801" s="195"/>
      <c r="U801" s="195"/>
      <c r="V801" s="191"/>
      <c r="W801" s="192"/>
      <c r="X801" s="192"/>
      <c r="Y801" s="192"/>
      <c r="Z801" s="191"/>
      <c r="AA801" s="191"/>
      <c r="AB801" s="193"/>
      <c r="AC801" s="193"/>
      <c r="AD801" s="191"/>
      <c r="AE801" s="194"/>
      <c r="AF801" s="194"/>
      <c r="AG801" s="194"/>
      <c r="AH801" s="194"/>
      <c r="AI801" s="190"/>
    </row>
    <row r="802" ht="16.5" customHeight="1">
      <c r="A802" s="190"/>
      <c r="B802" s="191"/>
      <c r="C802" s="191"/>
      <c r="D802" s="191"/>
      <c r="E802" s="192"/>
      <c r="F802" s="192"/>
      <c r="G802" s="192"/>
      <c r="H802" s="192"/>
      <c r="I802" s="192"/>
      <c r="J802" s="193"/>
      <c r="K802" s="192"/>
      <c r="L802" s="190"/>
      <c r="M802" s="194"/>
      <c r="N802" s="194"/>
      <c r="O802" s="194"/>
      <c r="P802" s="194"/>
      <c r="Q802" s="194"/>
      <c r="R802" s="194"/>
      <c r="S802" s="195"/>
      <c r="T802" s="195"/>
      <c r="U802" s="195"/>
      <c r="V802" s="191"/>
      <c r="W802" s="192"/>
      <c r="X802" s="192"/>
      <c r="Y802" s="192"/>
      <c r="Z802" s="191"/>
      <c r="AA802" s="191"/>
      <c r="AB802" s="193"/>
      <c r="AC802" s="193"/>
      <c r="AD802" s="191"/>
      <c r="AE802" s="194"/>
      <c r="AF802" s="194"/>
      <c r="AG802" s="194"/>
      <c r="AH802" s="194"/>
      <c r="AI802" s="190"/>
    </row>
    <row r="803" ht="16.5" customHeight="1">
      <c r="A803" s="190"/>
      <c r="B803" s="191"/>
      <c r="C803" s="191"/>
      <c r="D803" s="191"/>
      <c r="E803" s="192"/>
      <c r="F803" s="192"/>
      <c r="G803" s="192"/>
      <c r="H803" s="192"/>
      <c r="I803" s="192"/>
      <c r="J803" s="193"/>
      <c r="K803" s="192"/>
      <c r="L803" s="190"/>
      <c r="M803" s="194"/>
      <c r="N803" s="194"/>
      <c r="O803" s="194"/>
      <c r="P803" s="194"/>
      <c r="Q803" s="194"/>
      <c r="R803" s="194"/>
      <c r="S803" s="195"/>
      <c r="T803" s="195"/>
      <c r="U803" s="195"/>
      <c r="V803" s="191"/>
      <c r="W803" s="192"/>
      <c r="X803" s="192"/>
      <c r="Y803" s="192"/>
      <c r="Z803" s="191"/>
      <c r="AA803" s="191"/>
      <c r="AB803" s="193"/>
      <c r="AC803" s="193"/>
      <c r="AD803" s="191"/>
      <c r="AE803" s="194"/>
      <c r="AF803" s="194"/>
      <c r="AG803" s="194"/>
      <c r="AH803" s="194"/>
      <c r="AI803" s="190"/>
    </row>
    <row r="804" ht="16.5" customHeight="1">
      <c r="A804" s="190"/>
      <c r="B804" s="191"/>
      <c r="C804" s="191"/>
      <c r="D804" s="191"/>
      <c r="E804" s="192"/>
      <c r="F804" s="192"/>
      <c r="G804" s="192"/>
      <c r="H804" s="192"/>
      <c r="I804" s="192"/>
      <c r="J804" s="193"/>
      <c r="K804" s="192"/>
      <c r="L804" s="190"/>
      <c r="M804" s="194"/>
      <c r="N804" s="194"/>
      <c r="O804" s="194"/>
      <c r="P804" s="194"/>
      <c r="Q804" s="194"/>
      <c r="R804" s="194"/>
      <c r="S804" s="195"/>
      <c r="T804" s="195"/>
      <c r="U804" s="195"/>
      <c r="V804" s="191"/>
      <c r="W804" s="192"/>
      <c r="X804" s="192"/>
      <c r="Y804" s="192"/>
      <c r="Z804" s="191"/>
      <c r="AA804" s="191"/>
      <c r="AB804" s="193"/>
      <c r="AC804" s="193"/>
      <c r="AD804" s="191"/>
      <c r="AE804" s="194"/>
      <c r="AF804" s="194"/>
      <c r="AG804" s="194"/>
      <c r="AH804" s="194"/>
      <c r="AI804" s="190"/>
    </row>
    <row r="805" ht="16.5" customHeight="1">
      <c r="A805" s="190"/>
      <c r="B805" s="191"/>
      <c r="C805" s="191"/>
      <c r="D805" s="191"/>
      <c r="E805" s="192"/>
      <c r="F805" s="192"/>
      <c r="G805" s="192"/>
      <c r="H805" s="192"/>
      <c r="I805" s="192"/>
      <c r="J805" s="193"/>
      <c r="K805" s="192"/>
      <c r="L805" s="190"/>
      <c r="M805" s="194"/>
      <c r="N805" s="194"/>
      <c r="O805" s="194"/>
      <c r="P805" s="194"/>
      <c r="Q805" s="194"/>
      <c r="R805" s="194"/>
      <c r="S805" s="195"/>
      <c r="T805" s="195"/>
      <c r="U805" s="195"/>
      <c r="V805" s="191"/>
      <c r="W805" s="192"/>
      <c r="X805" s="192"/>
      <c r="Y805" s="192"/>
      <c r="Z805" s="191"/>
      <c r="AA805" s="191"/>
      <c r="AB805" s="193"/>
      <c r="AC805" s="193"/>
      <c r="AD805" s="191"/>
      <c r="AE805" s="194"/>
      <c r="AF805" s="194"/>
      <c r="AG805" s="194"/>
      <c r="AH805" s="194"/>
      <c r="AI805" s="190"/>
    </row>
    <row r="806" ht="16.5" customHeight="1">
      <c r="A806" s="190"/>
      <c r="B806" s="191"/>
      <c r="C806" s="191"/>
      <c r="D806" s="191"/>
      <c r="E806" s="192"/>
      <c r="F806" s="192"/>
      <c r="G806" s="192"/>
      <c r="H806" s="192"/>
      <c r="I806" s="192"/>
      <c r="J806" s="193"/>
      <c r="K806" s="192"/>
      <c r="L806" s="190"/>
      <c r="M806" s="194"/>
      <c r="N806" s="194"/>
      <c r="O806" s="194"/>
      <c r="P806" s="194"/>
      <c r="Q806" s="194"/>
      <c r="R806" s="194"/>
      <c r="S806" s="195"/>
      <c r="T806" s="195"/>
      <c r="U806" s="195"/>
      <c r="V806" s="191"/>
      <c r="W806" s="192"/>
      <c r="X806" s="192"/>
      <c r="Y806" s="192"/>
      <c r="Z806" s="191"/>
      <c r="AA806" s="191"/>
      <c r="AB806" s="193"/>
      <c r="AC806" s="193"/>
      <c r="AD806" s="191"/>
      <c r="AE806" s="194"/>
      <c r="AF806" s="194"/>
      <c r="AG806" s="194"/>
      <c r="AH806" s="194"/>
      <c r="AI806" s="190"/>
    </row>
    <row r="807" ht="16.5" customHeight="1">
      <c r="A807" s="190"/>
      <c r="B807" s="191"/>
      <c r="C807" s="191"/>
      <c r="D807" s="191"/>
      <c r="E807" s="192"/>
      <c r="F807" s="192"/>
      <c r="G807" s="192"/>
      <c r="H807" s="192"/>
      <c r="I807" s="192"/>
      <c r="J807" s="193"/>
      <c r="K807" s="192"/>
      <c r="L807" s="190"/>
      <c r="M807" s="194"/>
      <c r="N807" s="194"/>
      <c r="O807" s="194"/>
      <c r="P807" s="194"/>
      <c r="Q807" s="194"/>
      <c r="R807" s="194"/>
      <c r="S807" s="195"/>
      <c r="T807" s="195"/>
      <c r="U807" s="195"/>
      <c r="V807" s="191"/>
      <c r="W807" s="192"/>
      <c r="X807" s="192"/>
      <c r="Y807" s="192"/>
      <c r="Z807" s="191"/>
      <c r="AA807" s="191"/>
      <c r="AB807" s="193"/>
      <c r="AC807" s="193"/>
      <c r="AD807" s="191"/>
      <c r="AE807" s="194"/>
      <c r="AF807" s="194"/>
      <c r="AG807" s="194"/>
      <c r="AH807" s="194"/>
      <c r="AI807" s="190"/>
    </row>
    <row r="808" ht="16.5" customHeight="1">
      <c r="A808" s="190"/>
      <c r="B808" s="191"/>
      <c r="C808" s="191"/>
      <c r="D808" s="191"/>
      <c r="E808" s="192"/>
      <c r="F808" s="192"/>
      <c r="G808" s="192"/>
      <c r="H808" s="192"/>
      <c r="I808" s="192"/>
      <c r="J808" s="193"/>
      <c r="K808" s="192"/>
      <c r="L808" s="190"/>
      <c r="M808" s="194"/>
      <c r="N808" s="194"/>
      <c r="O808" s="194"/>
      <c r="P808" s="194"/>
      <c r="Q808" s="194"/>
      <c r="R808" s="194"/>
      <c r="S808" s="195"/>
      <c r="T808" s="195"/>
      <c r="U808" s="195"/>
      <c r="V808" s="191"/>
      <c r="W808" s="192"/>
      <c r="X808" s="192"/>
      <c r="Y808" s="192"/>
      <c r="Z808" s="191"/>
      <c r="AA808" s="191"/>
      <c r="AB808" s="193"/>
      <c r="AC808" s="193"/>
      <c r="AD808" s="191"/>
      <c r="AE808" s="194"/>
      <c r="AF808" s="194"/>
      <c r="AG808" s="194"/>
      <c r="AH808" s="194"/>
      <c r="AI808" s="190"/>
    </row>
    <row r="809" ht="16.5" customHeight="1">
      <c r="A809" s="190"/>
      <c r="B809" s="191"/>
      <c r="C809" s="191"/>
      <c r="D809" s="191"/>
      <c r="E809" s="192"/>
      <c r="F809" s="192"/>
      <c r="G809" s="192"/>
      <c r="H809" s="192"/>
      <c r="I809" s="192"/>
      <c r="J809" s="193"/>
      <c r="K809" s="192"/>
      <c r="L809" s="190"/>
      <c r="M809" s="194"/>
      <c r="N809" s="194"/>
      <c r="O809" s="194"/>
      <c r="P809" s="194"/>
      <c r="Q809" s="194"/>
      <c r="R809" s="194"/>
      <c r="S809" s="195"/>
      <c r="T809" s="195"/>
      <c r="U809" s="195"/>
      <c r="V809" s="191"/>
      <c r="W809" s="192"/>
      <c r="X809" s="192"/>
      <c r="Y809" s="192"/>
      <c r="Z809" s="191"/>
      <c r="AA809" s="191"/>
      <c r="AB809" s="193"/>
      <c r="AC809" s="193"/>
      <c r="AD809" s="191"/>
      <c r="AE809" s="194"/>
      <c r="AF809" s="194"/>
      <c r="AG809" s="194"/>
      <c r="AH809" s="194"/>
      <c r="AI809" s="190"/>
    </row>
    <row r="810" ht="16.5" customHeight="1">
      <c r="A810" s="190"/>
      <c r="B810" s="191"/>
      <c r="C810" s="191"/>
      <c r="D810" s="191"/>
      <c r="E810" s="192"/>
      <c r="F810" s="192"/>
      <c r="G810" s="192"/>
      <c r="H810" s="192"/>
      <c r="I810" s="192"/>
      <c r="J810" s="193"/>
      <c r="K810" s="192"/>
      <c r="L810" s="190"/>
      <c r="M810" s="194"/>
      <c r="N810" s="194"/>
      <c r="O810" s="194"/>
      <c r="P810" s="194"/>
      <c r="Q810" s="194"/>
      <c r="R810" s="194"/>
      <c r="S810" s="195"/>
      <c r="T810" s="195"/>
      <c r="U810" s="195"/>
      <c r="V810" s="191"/>
      <c r="W810" s="192"/>
      <c r="X810" s="192"/>
      <c r="Y810" s="192"/>
      <c r="Z810" s="191"/>
      <c r="AA810" s="191"/>
      <c r="AB810" s="193"/>
      <c r="AC810" s="193"/>
      <c r="AD810" s="191"/>
      <c r="AE810" s="194"/>
      <c r="AF810" s="194"/>
      <c r="AG810" s="194"/>
      <c r="AH810" s="194"/>
      <c r="AI810" s="190"/>
    </row>
    <row r="811" ht="16.5" customHeight="1">
      <c r="A811" s="190"/>
      <c r="B811" s="191"/>
      <c r="C811" s="191"/>
      <c r="D811" s="191"/>
      <c r="E811" s="192"/>
      <c r="F811" s="192"/>
      <c r="G811" s="192"/>
      <c r="H811" s="192"/>
      <c r="I811" s="192"/>
      <c r="J811" s="193"/>
      <c r="K811" s="192"/>
      <c r="L811" s="190"/>
      <c r="M811" s="194"/>
      <c r="N811" s="194"/>
      <c r="O811" s="194"/>
      <c r="P811" s="194"/>
      <c r="Q811" s="194"/>
      <c r="R811" s="194"/>
      <c r="S811" s="195"/>
      <c r="T811" s="195"/>
      <c r="U811" s="195"/>
      <c r="V811" s="191"/>
      <c r="W811" s="192"/>
      <c r="X811" s="192"/>
      <c r="Y811" s="192"/>
      <c r="Z811" s="191"/>
      <c r="AA811" s="191"/>
      <c r="AB811" s="193"/>
      <c r="AC811" s="193"/>
      <c r="AD811" s="191"/>
      <c r="AE811" s="194"/>
      <c r="AF811" s="194"/>
      <c r="AG811" s="194"/>
      <c r="AH811" s="194"/>
      <c r="AI811" s="190"/>
    </row>
    <row r="812" ht="16.5" customHeight="1">
      <c r="A812" s="190"/>
      <c r="B812" s="191"/>
      <c r="C812" s="191"/>
      <c r="D812" s="191"/>
      <c r="E812" s="192"/>
      <c r="F812" s="192"/>
      <c r="G812" s="192"/>
      <c r="H812" s="192"/>
      <c r="I812" s="192"/>
      <c r="J812" s="193"/>
      <c r="K812" s="192"/>
      <c r="L812" s="190"/>
      <c r="M812" s="194"/>
      <c r="N812" s="194"/>
      <c r="O812" s="194"/>
      <c r="P812" s="194"/>
      <c r="Q812" s="194"/>
      <c r="R812" s="194"/>
      <c r="S812" s="195"/>
      <c r="T812" s="195"/>
      <c r="U812" s="195"/>
      <c r="V812" s="191"/>
      <c r="W812" s="192"/>
      <c r="X812" s="192"/>
      <c r="Y812" s="192"/>
      <c r="Z812" s="191"/>
      <c r="AA812" s="191"/>
      <c r="AB812" s="193"/>
      <c r="AC812" s="193"/>
      <c r="AD812" s="191"/>
      <c r="AE812" s="194"/>
      <c r="AF812" s="194"/>
      <c r="AG812" s="194"/>
      <c r="AH812" s="194"/>
      <c r="AI812" s="190"/>
    </row>
    <row r="813" ht="16.5" customHeight="1">
      <c r="A813" s="190"/>
      <c r="B813" s="191"/>
      <c r="C813" s="191"/>
      <c r="D813" s="191"/>
      <c r="E813" s="192"/>
      <c r="F813" s="192"/>
      <c r="G813" s="192"/>
      <c r="H813" s="192"/>
      <c r="I813" s="192"/>
      <c r="J813" s="193"/>
      <c r="K813" s="192"/>
      <c r="L813" s="190"/>
      <c r="M813" s="194"/>
      <c r="N813" s="194"/>
      <c r="O813" s="194"/>
      <c r="P813" s="194"/>
      <c r="Q813" s="194"/>
      <c r="R813" s="194"/>
      <c r="S813" s="195"/>
      <c r="T813" s="195"/>
      <c r="U813" s="195"/>
      <c r="V813" s="191"/>
      <c r="W813" s="192"/>
      <c r="X813" s="192"/>
      <c r="Y813" s="192"/>
      <c r="Z813" s="191"/>
      <c r="AA813" s="191"/>
      <c r="AB813" s="193"/>
      <c r="AC813" s="193"/>
      <c r="AD813" s="191"/>
      <c r="AE813" s="194"/>
      <c r="AF813" s="194"/>
      <c r="AG813" s="194"/>
      <c r="AH813" s="194"/>
      <c r="AI813" s="190"/>
    </row>
    <row r="814" ht="16.5" customHeight="1">
      <c r="A814" s="190"/>
      <c r="B814" s="191"/>
      <c r="C814" s="191"/>
      <c r="D814" s="191"/>
      <c r="E814" s="192"/>
      <c r="F814" s="192"/>
      <c r="G814" s="192"/>
      <c r="H814" s="192"/>
      <c r="I814" s="192"/>
      <c r="J814" s="193"/>
      <c r="K814" s="192"/>
      <c r="L814" s="190"/>
      <c r="M814" s="194"/>
      <c r="N814" s="194"/>
      <c r="O814" s="194"/>
      <c r="P814" s="194"/>
      <c r="Q814" s="194"/>
      <c r="R814" s="194"/>
      <c r="S814" s="195"/>
      <c r="T814" s="195"/>
      <c r="U814" s="195"/>
      <c r="V814" s="191"/>
      <c r="W814" s="192"/>
      <c r="X814" s="192"/>
      <c r="Y814" s="192"/>
      <c r="Z814" s="191"/>
      <c r="AA814" s="191"/>
      <c r="AB814" s="193"/>
      <c r="AC814" s="193"/>
      <c r="AD814" s="191"/>
      <c r="AE814" s="194"/>
      <c r="AF814" s="194"/>
      <c r="AG814" s="194"/>
      <c r="AH814" s="194"/>
      <c r="AI814" s="190"/>
    </row>
    <row r="815" ht="16.5" customHeight="1">
      <c r="A815" s="190"/>
      <c r="B815" s="191"/>
      <c r="C815" s="191"/>
      <c r="D815" s="191"/>
      <c r="E815" s="192"/>
      <c r="F815" s="192"/>
      <c r="G815" s="192"/>
      <c r="H815" s="192"/>
      <c r="I815" s="192"/>
      <c r="J815" s="193"/>
      <c r="K815" s="192"/>
      <c r="L815" s="190"/>
      <c r="M815" s="194"/>
      <c r="N815" s="194"/>
      <c r="O815" s="194"/>
      <c r="P815" s="194"/>
      <c r="Q815" s="194"/>
      <c r="R815" s="194"/>
      <c r="S815" s="195"/>
      <c r="T815" s="195"/>
      <c r="U815" s="195"/>
      <c r="V815" s="191"/>
      <c r="W815" s="192"/>
      <c r="X815" s="192"/>
      <c r="Y815" s="192"/>
      <c r="Z815" s="191"/>
      <c r="AA815" s="191"/>
      <c r="AB815" s="193"/>
      <c r="AC815" s="193"/>
      <c r="AD815" s="191"/>
      <c r="AE815" s="194"/>
      <c r="AF815" s="194"/>
      <c r="AG815" s="194"/>
      <c r="AH815" s="194"/>
      <c r="AI815" s="190"/>
    </row>
    <row r="816" ht="16.5" customHeight="1">
      <c r="A816" s="190"/>
      <c r="B816" s="191"/>
      <c r="C816" s="191"/>
      <c r="D816" s="191"/>
      <c r="E816" s="192"/>
      <c r="F816" s="192"/>
      <c r="G816" s="192"/>
      <c r="H816" s="192"/>
      <c r="I816" s="192"/>
      <c r="J816" s="193"/>
      <c r="K816" s="192"/>
      <c r="L816" s="190"/>
      <c r="M816" s="194"/>
      <c r="N816" s="194"/>
      <c r="O816" s="194"/>
      <c r="P816" s="194"/>
      <c r="Q816" s="194"/>
      <c r="R816" s="194"/>
      <c r="S816" s="195"/>
      <c r="T816" s="195"/>
      <c r="U816" s="195"/>
      <c r="V816" s="191"/>
      <c r="W816" s="192"/>
      <c r="X816" s="192"/>
      <c r="Y816" s="192"/>
      <c r="Z816" s="191"/>
      <c r="AA816" s="191"/>
      <c r="AB816" s="193"/>
      <c r="AC816" s="193"/>
      <c r="AD816" s="191"/>
      <c r="AE816" s="194"/>
      <c r="AF816" s="194"/>
      <c r="AG816" s="194"/>
      <c r="AH816" s="194"/>
      <c r="AI816" s="190"/>
    </row>
    <row r="817" ht="16.5" customHeight="1">
      <c r="A817" s="190"/>
      <c r="B817" s="191"/>
      <c r="C817" s="191"/>
      <c r="D817" s="191"/>
      <c r="E817" s="192"/>
      <c r="F817" s="192"/>
      <c r="G817" s="192"/>
      <c r="H817" s="192"/>
      <c r="I817" s="192"/>
      <c r="J817" s="193"/>
      <c r="K817" s="192"/>
      <c r="L817" s="190"/>
      <c r="M817" s="194"/>
      <c r="N817" s="194"/>
      <c r="O817" s="194"/>
      <c r="P817" s="194"/>
      <c r="Q817" s="194"/>
      <c r="R817" s="194"/>
      <c r="S817" s="195"/>
      <c r="T817" s="195"/>
      <c r="U817" s="195"/>
      <c r="V817" s="191"/>
      <c r="W817" s="192"/>
      <c r="X817" s="192"/>
      <c r="Y817" s="192"/>
      <c r="Z817" s="191"/>
      <c r="AA817" s="191"/>
      <c r="AB817" s="193"/>
      <c r="AC817" s="193"/>
      <c r="AD817" s="191"/>
      <c r="AE817" s="194"/>
      <c r="AF817" s="194"/>
      <c r="AG817" s="194"/>
      <c r="AH817" s="194"/>
      <c r="AI817" s="190"/>
    </row>
    <row r="818" ht="16.5" customHeight="1">
      <c r="A818" s="190"/>
      <c r="B818" s="191"/>
      <c r="C818" s="191"/>
      <c r="D818" s="191"/>
      <c r="E818" s="192"/>
      <c r="F818" s="192"/>
      <c r="G818" s="192"/>
      <c r="H818" s="192"/>
      <c r="I818" s="192"/>
      <c r="J818" s="193"/>
      <c r="K818" s="192"/>
      <c r="L818" s="190"/>
      <c r="M818" s="194"/>
      <c r="N818" s="194"/>
      <c r="O818" s="194"/>
      <c r="P818" s="194"/>
      <c r="Q818" s="194"/>
      <c r="R818" s="194"/>
      <c r="S818" s="195"/>
      <c r="T818" s="195"/>
      <c r="U818" s="195"/>
      <c r="V818" s="191"/>
      <c r="W818" s="192"/>
      <c r="X818" s="192"/>
      <c r="Y818" s="192"/>
      <c r="Z818" s="191"/>
      <c r="AA818" s="191"/>
      <c r="AB818" s="193"/>
      <c r="AC818" s="193"/>
      <c r="AD818" s="191"/>
      <c r="AE818" s="194"/>
      <c r="AF818" s="194"/>
      <c r="AG818" s="194"/>
      <c r="AH818" s="194"/>
      <c r="AI818" s="190"/>
    </row>
    <row r="819" ht="16.5" customHeight="1">
      <c r="A819" s="190"/>
      <c r="B819" s="191"/>
      <c r="C819" s="191"/>
      <c r="D819" s="191"/>
      <c r="E819" s="192"/>
      <c r="F819" s="192"/>
      <c r="G819" s="192"/>
      <c r="H819" s="192"/>
      <c r="I819" s="192"/>
      <c r="J819" s="193"/>
      <c r="K819" s="192"/>
      <c r="L819" s="190"/>
      <c r="M819" s="194"/>
      <c r="N819" s="194"/>
      <c r="O819" s="194"/>
      <c r="P819" s="194"/>
      <c r="Q819" s="194"/>
      <c r="R819" s="194"/>
      <c r="S819" s="195"/>
      <c r="T819" s="195"/>
      <c r="U819" s="195"/>
      <c r="V819" s="191"/>
      <c r="W819" s="192"/>
      <c r="X819" s="192"/>
      <c r="Y819" s="192"/>
      <c r="Z819" s="191"/>
      <c r="AA819" s="191"/>
      <c r="AB819" s="193"/>
      <c r="AC819" s="193"/>
      <c r="AD819" s="191"/>
      <c r="AE819" s="194"/>
      <c r="AF819" s="194"/>
      <c r="AG819" s="194"/>
      <c r="AH819" s="194"/>
      <c r="AI819" s="190"/>
    </row>
    <row r="820" ht="16.5" customHeight="1">
      <c r="A820" s="190"/>
      <c r="B820" s="191"/>
      <c r="C820" s="191"/>
      <c r="D820" s="191"/>
      <c r="E820" s="192"/>
      <c r="F820" s="192"/>
      <c r="G820" s="192"/>
      <c r="H820" s="192"/>
      <c r="I820" s="192"/>
      <c r="J820" s="193"/>
      <c r="K820" s="192"/>
      <c r="L820" s="190"/>
      <c r="M820" s="194"/>
      <c r="N820" s="194"/>
      <c r="O820" s="194"/>
      <c r="P820" s="194"/>
      <c r="Q820" s="194"/>
      <c r="R820" s="194"/>
      <c r="S820" s="195"/>
      <c r="T820" s="195"/>
      <c r="U820" s="195"/>
      <c r="V820" s="191"/>
      <c r="W820" s="192"/>
      <c r="X820" s="192"/>
      <c r="Y820" s="192"/>
      <c r="Z820" s="191"/>
      <c r="AA820" s="191"/>
      <c r="AB820" s="193"/>
      <c r="AC820" s="193"/>
      <c r="AD820" s="191"/>
      <c r="AE820" s="194"/>
      <c r="AF820" s="194"/>
      <c r="AG820" s="194"/>
      <c r="AH820" s="194"/>
      <c r="AI820" s="190"/>
    </row>
    <row r="821" ht="16.5" customHeight="1">
      <c r="A821" s="190"/>
      <c r="B821" s="191"/>
      <c r="C821" s="191"/>
      <c r="D821" s="191"/>
      <c r="E821" s="192"/>
      <c r="F821" s="192"/>
      <c r="G821" s="192"/>
      <c r="H821" s="192"/>
      <c r="I821" s="192"/>
      <c r="J821" s="193"/>
      <c r="K821" s="192"/>
      <c r="L821" s="190"/>
      <c r="M821" s="194"/>
      <c r="N821" s="194"/>
      <c r="O821" s="194"/>
      <c r="P821" s="194"/>
      <c r="Q821" s="194"/>
      <c r="R821" s="194"/>
      <c r="S821" s="195"/>
      <c r="T821" s="195"/>
      <c r="U821" s="195"/>
      <c r="V821" s="191"/>
      <c r="W821" s="192"/>
      <c r="X821" s="192"/>
      <c r="Y821" s="192"/>
      <c r="Z821" s="191"/>
      <c r="AA821" s="191"/>
      <c r="AB821" s="193"/>
      <c r="AC821" s="193"/>
      <c r="AD821" s="191"/>
      <c r="AE821" s="194"/>
      <c r="AF821" s="194"/>
      <c r="AG821" s="194"/>
      <c r="AH821" s="194"/>
      <c r="AI821" s="190"/>
    </row>
    <row r="822" ht="16.5" customHeight="1">
      <c r="A822" s="190"/>
      <c r="B822" s="191"/>
      <c r="C822" s="191"/>
      <c r="D822" s="191"/>
      <c r="E822" s="192"/>
      <c r="F822" s="192"/>
      <c r="G822" s="192"/>
      <c r="H822" s="192"/>
      <c r="I822" s="192"/>
      <c r="J822" s="193"/>
      <c r="K822" s="192"/>
      <c r="L822" s="190"/>
      <c r="M822" s="194"/>
      <c r="N822" s="194"/>
      <c r="O822" s="194"/>
      <c r="P822" s="194"/>
      <c r="Q822" s="194"/>
      <c r="R822" s="194"/>
      <c r="S822" s="195"/>
      <c r="T822" s="195"/>
      <c r="U822" s="195"/>
      <c r="V822" s="191"/>
      <c r="W822" s="192"/>
      <c r="X822" s="192"/>
      <c r="Y822" s="192"/>
      <c r="Z822" s="191"/>
      <c r="AA822" s="191"/>
      <c r="AB822" s="193"/>
      <c r="AC822" s="193"/>
      <c r="AD822" s="191"/>
      <c r="AE822" s="194"/>
      <c r="AF822" s="194"/>
      <c r="AG822" s="194"/>
      <c r="AH822" s="194"/>
      <c r="AI822" s="190"/>
    </row>
    <row r="823" ht="16.5" customHeight="1">
      <c r="A823" s="190"/>
      <c r="B823" s="191"/>
      <c r="C823" s="191"/>
      <c r="D823" s="191"/>
      <c r="E823" s="192"/>
      <c r="F823" s="192"/>
      <c r="G823" s="192"/>
      <c r="H823" s="192"/>
      <c r="I823" s="192"/>
      <c r="J823" s="193"/>
      <c r="K823" s="192"/>
      <c r="L823" s="190"/>
      <c r="M823" s="194"/>
      <c r="N823" s="194"/>
      <c r="O823" s="194"/>
      <c r="P823" s="194"/>
      <c r="Q823" s="194"/>
      <c r="R823" s="194"/>
      <c r="S823" s="195"/>
      <c r="T823" s="195"/>
      <c r="U823" s="195"/>
      <c r="V823" s="191"/>
      <c r="W823" s="192"/>
      <c r="X823" s="192"/>
      <c r="Y823" s="192"/>
      <c r="Z823" s="191"/>
      <c r="AA823" s="191"/>
      <c r="AB823" s="193"/>
      <c r="AC823" s="193"/>
      <c r="AD823" s="191"/>
      <c r="AE823" s="194"/>
      <c r="AF823" s="194"/>
      <c r="AG823" s="194"/>
      <c r="AH823" s="194"/>
      <c r="AI823" s="190"/>
    </row>
    <row r="824" ht="16.5" customHeight="1">
      <c r="A824" s="190"/>
      <c r="B824" s="191"/>
      <c r="C824" s="191"/>
      <c r="D824" s="191"/>
      <c r="E824" s="192"/>
      <c r="F824" s="192"/>
      <c r="G824" s="192"/>
      <c r="H824" s="192"/>
      <c r="I824" s="192"/>
      <c r="J824" s="193"/>
      <c r="K824" s="192"/>
      <c r="L824" s="190"/>
      <c r="M824" s="194"/>
      <c r="N824" s="194"/>
      <c r="O824" s="194"/>
      <c r="P824" s="194"/>
      <c r="Q824" s="194"/>
      <c r="R824" s="194"/>
      <c r="S824" s="195"/>
      <c r="T824" s="195"/>
      <c r="U824" s="195"/>
      <c r="V824" s="191"/>
      <c r="W824" s="192"/>
      <c r="X824" s="192"/>
      <c r="Y824" s="192"/>
      <c r="Z824" s="191"/>
      <c r="AA824" s="191"/>
      <c r="AB824" s="193"/>
      <c r="AC824" s="193"/>
      <c r="AD824" s="191"/>
      <c r="AE824" s="194"/>
      <c r="AF824" s="194"/>
      <c r="AG824" s="194"/>
      <c r="AH824" s="194"/>
      <c r="AI824" s="190"/>
    </row>
    <row r="825" ht="16.5" customHeight="1">
      <c r="A825" s="190"/>
      <c r="B825" s="191"/>
      <c r="C825" s="191"/>
      <c r="D825" s="191"/>
      <c r="E825" s="192"/>
      <c r="F825" s="192"/>
      <c r="G825" s="192"/>
      <c r="H825" s="192"/>
      <c r="I825" s="192"/>
      <c r="J825" s="193"/>
      <c r="K825" s="192"/>
      <c r="L825" s="190"/>
      <c r="M825" s="194"/>
      <c r="N825" s="194"/>
      <c r="O825" s="194"/>
      <c r="P825" s="194"/>
      <c r="Q825" s="194"/>
      <c r="R825" s="194"/>
      <c r="S825" s="195"/>
      <c r="T825" s="195"/>
      <c r="U825" s="195"/>
      <c r="V825" s="191"/>
      <c r="W825" s="192"/>
      <c r="X825" s="192"/>
      <c r="Y825" s="192"/>
      <c r="Z825" s="191"/>
      <c r="AA825" s="191"/>
      <c r="AB825" s="193"/>
      <c r="AC825" s="193"/>
      <c r="AD825" s="191"/>
      <c r="AE825" s="194"/>
      <c r="AF825" s="194"/>
      <c r="AG825" s="194"/>
      <c r="AH825" s="194"/>
      <c r="AI825" s="190"/>
    </row>
    <row r="826" ht="16.5" customHeight="1">
      <c r="A826" s="190"/>
      <c r="B826" s="191"/>
      <c r="C826" s="191"/>
      <c r="D826" s="191"/>
      <c r="E826" s="192"/>
      <c r="F826" s="192"/>
      <c r="G826" s="192"/>
      <c r="H826" s="192"/>
      <c r="I826" s="192"/>
      <c r="J826" s="193"/>
      <c r="K826" s="192"/>
      <c r="L826" s="190"/>
      <c r="M826" s="194"/>
      <c r="N826" s="194"/>
      <c r="O826" s="194"/>
      <c r="P826" s="194"/>
      <c r="Q826" s="194"/>
      <c r="R826" s="194"/>
      <c r="S826" s="195"/>
      <c r="T826" s="195"/>
      <c r="U826" s="195"/>
      <c r="V826" s="191"/>
      <c r="W826" s="192"/>
      <c r="X826" s="192"/>
      <c r="Y826" s="192"/>
      <c r="Z826" s="191"/>
      <c r="AA826" s="191"/>
      <c r="AB826" s="193"/>
      <c r="AC826" s="193"/>
      <c r="AD826" s="191"/>
      <c r="AE826" s="194"/>
      <c r="AF826" s="194"/>
      <c r="AG826" s="194"/>
      <c r="AH826" s="194"/>
      <c r="AI826" s="190"/>
    </row>
    <row r="827" ht="16.5" customHeight="1">
      <c r="A827" s="190"/>
      <c r="B827" s="191"/>
      <c r="C827" s="191"/>
      <c r="D827" s="191"/>
      <c r="E827" s="192"/>
      <c r="F827" s="192"/>
      <c r="G827" s="192"/>
      <c r="H827" s="192"/>
      <c r="I827" s="192"/>
      <c r="J827" s="193"/>
      <c r="K827" s="192"/>
      <c r="L827" s="190"/>
      <c r="M827" s="194"/>
      <c r="N827" s="194"/>
      <c r="O827" s="194"/>
      <c r="P827" s="194"/>
      <c r="Q827" s="194"/>
      <c r="R827" s="194"/>
      <c r="S827" s="195"/>
      <c r="T827" s="195"/>
      <c r="U827" s="195"/>
      <c r="V827" s="191"/>
      <c r="W827" s="192"/>
      <c r="X827" s="192"/>
      <c r="Y827" s="192"/>
      <c r="Z827" s="191"/>
      <c r="AA827" s="191"/>
      <c r="AB827" s="193"/>
      <c r="AC827" s="193"/>
      <c r="AD827" s="191"/>
      <c r="AE827" s="194"/>
      <c r="AF827" s="194"/>
      <c r="AG827" s="194"/>
      <c r="AH827" s="194"/>
      <c r="AI827" s="190"/>
    </row>
    <row r="828" ht="16.5" customHeight="1">
      <c r="A828" s="190"/>
      <c r="B828" s="191"/>
      <c r="C828" s="191"/>
      <c r="D828" s="191"/>
      <c r="E828" s="192"/>
      <c r="F828" s="192"/>
      <c r="G828" s="192"/>
      <c r="H828" s="192"/>
      <c r="I828" s="192"/>
      <c r="J828" s="193"/>
      <c r="K828" s="192"/>
      <c r="L828" s="190"/>
      <c r="M828" s="194"/>
      <c r="N828" s="194"/>
      <c r="O828" s="194"/>
      <c r="P828" s="194"/>
      <c r="Q828" s="194"/>
      <c r="R828" s="194"/>
      <c r="S828" s="195"/>
      <c r="T828" s="195"/>
      <c r="U828" s="195"/>
      <c r="V828" s="191"/>
      <c r="W828" s="192"/>
      <c r="X828" s="192"/>
      <c r="Y828" s="192"/>
      <c r="Z828" s="191"/>
      <c r="AA828" s="191"/>
      <c r="AB828" s="193"/>
      <c r="AC828" s="193"/>
      <c r="AD828" s="191"/>
      <c r="AE828" s="194"/>
      <c r="AF828" s="194"/>
      <c r="AG828" s="194"/>
      <c r="AH828" s="194"/>
      <c r="AI828" s="190"/>
    </row>
    <row r="829" ht="16.5" customHeight="1">
      <c r="A829" s="190"/>
      <c r="B829" s="191"/>
      <c r="C829" s="191"/>
      <c r="D829" s="191"/>
      <c r="E829" s="192"/>
      <c r="F829" s="192"/>
      <c r="G829" s="192"/>
      <c r="H829" s="192"/>
      <c r="I829" s="192"/>
      <c r="J829" s="193"/>
      <c r="K829" s="192"/>
      <c r="L829" s="190"/>
      <c r="M829" s="194"/>
      <c r="N829" s="194"/>
      <c r="O829" s="194"/>
      <c r="P829" s="194"/>
      <c r="Q829" s="194"/>
      <c r="R829" s="194"/>
      <c r="S829" s="195"/>
      <c r="T829" s="195"/>
      <c r="U829" s="195"/>
      <c r="V829" s="191"/>
      <c r="W829" s="192"/>
      <c r="X829" s="192"/>
      <c r="Y829" s="192"/>
      <c r="Z829" s="191"/>
      <c r="AA829" s="191"/>
      <c r="AB829" s="193"/>
      <c r="AC829" s="193"/>
      <c r="AD829" s="191"/>
      <c r="AE829" s="194"/>
      <c r="AF829" s="194"/>
      <c r="AG829" s="194"/>
      <c r="AH829" s="194"/>
      <c r="AI829" s="190"/>
    </row>
    <row r="830" ht="16.5" customHeight="1">
      <c r="A830" s="190"/>
      <c r="B830" s="191"/>
      <c r="C830" s="191"/>
      <c r="D830" s="191"/>
      <c r="E830" s="192"/>
      <c r="F830" s="192"/>
      <c r="G830" s="192"/>
      <c r="H830" s="192"/>
      <c r="I830" s="192"/>
      <c r="J830" s="193"/>
      <c r="K830" s="192"/>
      <c r="L830" s="190"/>
      <c r="M830" s="194"/>
      <c r="N830" s="194"/>
      <c r="O830" s="194"/>
      <c r="P830" s="194"/>
      <c r="Q830" s="194"/>
      <c r="R830" s="194"/>
      <c r="S830" s="195"/>
      <c r="T830" s="195"/>
      <c r="U830" s="195"/>
      <c r="V830" s="191"/>
      <c r="W830" s="192"/>
      <c r="X830" s="192"/>
      <c r="Y830" s="192"/>
      <c r="Z830" s="191"/>
      <c r="AA830" s="191"/>
      <c r="AB830" s="193"/>
      <c r="AC830" s="193"/>
      <c r="AD830" s="191"/>
      <c r="AE830" s="194"/>
      <c r="AF830" s="194"/>
      <c r="AG830" s="194"/>
      <c r="AH830" s="194"/>
      <c r="AI830" s="190"/>
    </row>
    <row r="831" ht="16.5" customHeight="1">
      <c r="A831" s="190"/>
      <c r="B831" s="191"/>
      <c r="C831" s="191"/>
      <c r="D831" s="191"/>
      <c r="E831" s="192"/>
      <c r="F831" s="192"/>
      <c r="G831" s="192"/>
      <c r="H831" s="192"/>
      <c r="I831" s="192"/>
      <c r="J831" s="193"/>
      <c r="K831" s="192"/>
      <c r="L831" s="190"/>
      <c r="M831" s="194"/>
      <c r="N831" s="194"/>
      <c r="O831" s="194"/>
      <c r="P831" s="194"/>
      <c r="Q831" s="194"/>
      <c r="R831" s="194"/>
      <c r="S831" s="195"/>
      <c r="T831" s="195"/>
      <c r="U831" s="195"/>
      <c r="V831" s="191"/>
      <c r="W831" s="192"/>
      <c r="X831" s="192"/>
      <c r="Y831" s="192"/>
      <c r="Z831" s="191"/>
      <c r="AA831" s="191"/>
      <c r="AB831" s="193"/>
      <c r="AC831" s="193"/>
      <c r="AD831" s="191"/>
      <c r="AE831" s="194"/>
      <c r="AF831" s="194"/>
      <c r="AG831" s="194"/>
      <c r="AH831" s="194"/>
      <c r="AI831" s="190"/>
    </row>
    <row r="832" ht="16.5" customHeight="1">
      <c r="A832" s="190"/>
      <c r="B832" s="191"/>
      <c r="C832" s="191"/>
      <c r="D832" s="191"/>
      <c r="E832" s="192"/>
      <c r="F832" s="192"/>
      <c r="G832" s="192"/>
      <c r="H832" s="192"/>
      <c r="I832" s="192"/>
      <c r="J832" s="193"/>
      <c r="K832" s="192"/>
      <c r="L832" s="190"/>
      <c r="M832" s="194"/>
      <c r="N832" s="194"/>
      <c r="O832" s="194"/>
      <c r="P832" s="194"/>
      <c r="Q832" s="194"/>
      <c r="R832" s="194"/>
      <c r="S832" s="195"/>
      <c r="T832" s="195"/>
      <c r="U832" s="195"/>
      <c r="V832" s="191"/>
      <c r="W832" s="192"/>
      <c r="X832" s="192"/>
      <c r="Y832" s="192"/>
      <c r="Z832" s="191"/>
      <c r="AA832" s="191"/>
      <c r="AB832" s="193"/>
      <c r="AC832" s="193"/>
      <c r="AD832" s="191"/>
      <c r="AE832" s="194"/>
      <c r="AF832" s="194"/>
      <c r="AG832" s="194"/>
      <c r="AH832" s="194"/>
      <c r="AI832" s="190"/>
    </row>
    <row r="833" ht="16.5" customHeight="1">
      <c r="A833" s="190"/>
      <c r="B833" s="191"/>
      <c r="C833" s="191"/>
      <c r="D833" s="191"/>
      <c r="E833" s="192"/>
      <c r="F833" s="192"/>
      <c r="G833" s="192"/>
      <c r="H833" s="192"/>
      <c r="I833" s="192"/>
      <c r="J833" s="193"/>
      <c r="K833" s="192"/>
      <c r="L833" s="190"/>
      <c r="M833" s="194"/>
      <c r="N833" s="194"/>
      <c r="O833" s="194"/>
      <c r="P833" s="194"/>
      <c r="Q833" s="194"/>
      <c r="R833" s="194"/>
      <c r="S833" s="195"/>
      <c r="T833" s="195"/>
      <c r="U833" s="195"/>
      <c r="V833" s="191"/>
      <c r="W833" s="192"/>
      <c r="X833" s="192"/>
      <c r="Y833" s="192"/>
      <c r="Z833" s="191"/>
      <c r="AA833" s="191"/>
      <c r="AB833" s="193"/>
      <c r="AC833" s="193"/>
      <c r="AD833" s="191"/>
      <c r="AE833" s="194"/>
      <c r="AF833" s="194"/>
      <c r="AG833" s="194"/>
      <c r="AH833" s="194"/>
      <c r="AI833" s="190"/>
    </row>
    <row r="834" ht="16.5" customHeight="1">
      <c r="A834" s="190"/>
      <c r="B834" s="191"/>
      <c r="C834" s="191"/>
      <c r="D834" s="191"/>
      <c r="E834" s="192"/>
      <c r="F834" s="192"/>
      <c r="G834" s="192"/>
      <c r="H834" s="192"/>
      <c r="I834" s="192"/>
      <c r="J834" s="193"/>
      <c r="K834" s="192"/>
      <c r="L834" s="190"/>
      <c r="M834" s="194"/>
      <c r="N834" s="194"/>
      <c r="O834" s="194"/>
      <c r="P834" s="194"/>
      <c r="Q834" s="194"/>
      <c r="R834" s="194"/>
      <c r="S834" s="195"/>
      <c r="T834" s="195"/>
      <c r="U834" s="195"/>
      <c r="V834" s="191"/>
      <c r="W834" s="192"/>
      <c r="X834" s="192"/>
      <c r="Y834" s="192"/>
      <c r="Z834" s="191"/>
      <c r="AA834" s="191"/>
      <c r="AB834" s="193"/>
      <c r="AC834" s="193"/>
      <c r="AD834" s="191"/>
      <c r="AE834" s="194"/>
      <c r="AF834" s="194"/>
      <c r="AG834" s="194"/>
      <c r="AH834" s="194"/>
      <c r="AI834" s="190"/>
    </row>
    <row r="835" ht="16.5" customHeight="1">
      <c r="A835" s="190"/>
      <c r="B835" s="191"/>
      <c r="C835" s="191"/>
      <c r="D835" s="191"/>
      <c r="E835" s="192"/>
      <c r="F835" s="192"/>
      <c r="G835" s="192"/>
      <c r="H835" s="192"/>
      <c r="I835" s="192"/>
      <c r="J835" s="193"/>
      <c r="K835" s="192"/>
      <c r="L835" s="190"/>
      <c r="M835" s="194"/>
      <c r="N835" s="194"/>
      <c r="O835" s="194"/>
      <c r="P835" s="194"/>
      <c r="Q835" s="194"/>
      <c r="R835" s="194"/>
      <c r="S835" s="195"/>
      <c r="T835" s="195"/>
      <c r="U835" s="195"/>
      <c r="V835" s="191"/>
      <c r="W835" s="192"/>
      <c r="X835" s="192"/>
      <c r="Y835" s="192"/>
      <c r="Z835" s="191"/>
      <c r="AA835" s="191"/>
      <c r="AB835" s="193"/>
      <c r="AC835" s="193"/>
      <c r="AD835" s="191"/>
      <c r="AE835" s="194"/>
      <c r="AF835" s="194"/>
      <c r="AG835" s="194"/>
      <c r="AH835" s="194"/>
      <c r="AI835" s="190"/>
    </row>
    <row r="836" ht="16.5" customHeight="1">
      <c r="A836" s="190"/>
      <c r="B836" s="191"/>
      <c r="C836" s="191"/>
      <c r="D836" s="191"/>
      <c r="E836" s="192"/>
      <c r="F836" s="192"/>
      <c r="G836" s="192"/>
      <c r="H836" s="192"/>
      <c r="I836" s="192"/>
      <c r="J836" s="193"/>
      <c r="K836" s="192"/>
      <c r="L836" s="190"/>
      <c r="M836" s="194"/>
      <c r="N836" s="194"/>
      <c r="O836" s="194"/>
      <c r="P836" s="194"/>
      <c r="Q836" s="194"/>
      <c r="R836" s="194"/>
      <c r="S836" s="195"/>
      <c r="T836" s="195"/>
      <c r="U836" s="195"/>
      <c r="V836" s="191"/>
      <c r="W836" s="192"/>
      <c r="X836" s="192"/>
      <c r="Y836" s="192"/>
      <c r="Z836" s="191"/>
      <c r="AA836" s="191"/>
      <c r="AB836" s="193"/>
      <c r="AC836" s="193"/>
      <c r="AD836" s="191"/>
      <c r="AE836" s="194"/>
      <c r="AF836" s="194"/>
      <c r="AG836" s="194"/>
      <c r="AH836" s="194"/>
      <c r="AI836" s="190"/>
    </row>
    <row r="837" ht="16.5" customHeight="1">
      <c r="A837" s="190"/>
      <c r="B837" s="191"/>
      <c r="C837" s="191"/>
      <c r="D837" s="191"/>
      <c r="E837" s="192"/>
      <c r="F837" s="192"/>
      <c r="G837" s="192"/>
      <c r="H837" s="192"/>
      <c r="I837" s="192"/>
      <c r="J837" s="193"/>
      <c r="K837" s="192"/>
      <c r="L837" s="190"/>
      <c r="M837" s="194"/>
      <c r="N837" s="194"/>
      <c r="O837" s="194"/>
      <c r="P837" s="194"/>
      <c r="Q837" s="194"/>
      <c r="R837" s="194"/>
      <c r="S837" s="195"/>
      <c r="T837" s="195"/>
      <c r="U837" s="195"/>
      <c r="V837" s="191"/>
      <c r="W837" s="192"/>
      <c r="X837" s="192"/>
      <c r="Y837" s="192"/>
      <c r="Z837" s="191"/>
      <c r="AA837" s="191"/>
      <c r="AB837" s="193"/>
      <c r="AC837" s="193"/>
      <c r="AD837" s="191"/>
      <c r="AE837" s="194"/>
      <c r="AF837" s="194"/>
      <c r="AG837" s="194"/>
      <c r="AH837" s="194"/>
      <c r="AI837" s="190"/>
    </row>
    <row r="838" ht="16.5" customHeight="1">
      <c r="A838" s="190"/>
      <c r="B838" s="191"/>
      <c r="C838" s="191"/>
      <c r="D838" s="191"/>
      <c r="E838" s="192"/>
      <c r="F838" s="192"/>
      <c r="G838" s="192"/>
      <c r="H838" s="192"/>
      <c r="I838" s="192"/>
      <c r="J838" s="193"/>
      <c r="K838" s="192"/>
      <c r="L838" s="190"/>
      <c r="M838" s="194"/>
      <c r="N838" s="194"/>
      <c r="O838" s="194"/>
      <c r="P838" s="194"/>
      <c r="Q838" s="194"/>
      <c r="R838" s="194"/>
      <c r="S838" s="195"/>
      <c r="T838" s="195"/>
      <c r="U838" s="195"/>
      <c r="V838" s="191"/>
      <c r="W838" s="192"/>
      <c r="X838" s="192"/>
      <c r="Y838" s="192"/>
      <c r="Z838" s="191"/>
      <c r="AA838" s="191"/>
      <c r="AB838" s="193"/>
      <c r="AC838" s="193"/>
      <c r="AD838" s="191"/>
      <c r="AE838" s="194"/>
      <c r="AF838" s="194"/>
      <c r="AG838" s="194"/>
      <c r="AH838" s="194"/>
      <c r="AI838" s="190"/>
    </row>
    <row r="839" ht="16.5" customHeight="1">
      <c r="A839" s="190"/>
      <c r="B839" s="191"/>
      <c r="C839" s="191"/>
      <c r="D839" s="191"/>
      <c r="E839" s="192"/>
      <c r="F839" s="192"/>
      <c r="G839" s="192"/>
      <c r="H839" s="192"/>
      <c r="I839" s="192"/>
      <c r="J839" s="193"/>
      <c r="K839" s="192"/>
      <c r="L839" s="190"/>
      <c r="M839" s="194"/>
      <c r="N839" s="194"/>
      <c r="O839" s="194"/>
      <c r="P839" s="194"/>
      <c r="Q839" s="194"/>
      <c r="R839" s="194"/>
      <c r="S839" s="195"/>
      <c r="T839" s="195"/>
      <c r="U839" s="195"/>
      <c r="V839" s="191"/>
      <c r="W839" s="192"/>
      <c r="X839" s="192"/>
      <c r="Y839" s="192"/>
      <c r="Z839" s="191"/>
      <c r="AA839" s="191"/>
      <c r="AB839" s="193"/>
      <c r="AC839" s="193"/>
      <c r="AD839" s="191"/>
      <c r="AE839" s="194"/>
      <c r="AF839" s="194"/>
      <c r="AG839" s="194"/>
      <c r="AH839" s="194"/>
      <c r="AI839" s="190"/>
    </row>
    <row r="840" ht="16.5" customHeight="1">
      <c r="A840" s="190"/>
      <c r="B840" s="191"/>
      <c r="C840" s="191"/>
      <c r="D840" s="191"/>
      <c r="E840" s="192"/>
      <c r="F840" s="192"/>
      <c r="G840" s="192"/>
      <c r="H840" s="192"/>
      <c r="I840" s="192"/>
      <c r="J840" s="193"/>
      <c r="K840" s="192"/>
      <c r="L840" s="190"/>
      <c r="M840" s="194"/>
      <c r="N840" s="194"/>
      <c r="O840" s="194"/>
      <c r="P840" s="194"/>
      <c r="Q840" s="194"/>
      <c r="R840" s="194"/>
      <c r="S840" s="195"/>
      <c r="T840" s="195"/>
      <c r="U840" s="195"/>
      <c r="V840" s="191"/>
      <c r="W840" s="192"/>
      <c r="X840" s="192"/>
      <c r="Y840" s="192"/>
      <c r="Z840" s="191"/>
      <c r="AA840" s="191"/>
      <c r="AB840" s="193"/>
      <c r="AC840" s="193"/>
      <c r="AD840" s="191"/>
      <c r="AE840" s="194"/>
      <c r="AF840" s="194"/>
      <c r="AG840" s="194"/>
      <c r="AH840" s="194"/>
      <c r="AI840" s="190"/>
    </row>
    <row r="841" ht="16.5" customHeight="1">
      <c r="A841" s="190"/>
      <c r="B841" s="191"/>
      <c r="C841" s="191"/>
      <c r="D841" s="191"/>
      <c r="E841" s="192"/>
      <c r="F841" s="192"/>
      <c r="G841" s="192"/>
      <c r="H841" s="192"/>
      <c r="I841" s="192"/>
      <c r="J841" s="193"/>
      <c r="K841" s="192"/>
      <c r="L841" s="190"/>
      <c r="M841" s="194"/>
      <c r="N841" s="194"/>
      <c r="O841" s="194"/>
      <c r="P841" s="194"/>
      <c r="Q841" s="194"/>
      <c r="R841" s="194"/>
      <c r="S841" s="195"/>
      <c r="T841" s="195"/>
      <c r="U841" s="195"/>
      <c r="V841" s="191"/>
      <c r="W841" s="192"/>
      <c r="X841" s="192"/>
      <c r="Y841" s="192"/>
      <c r="Z841" s="191"/>
      <c r="AA841" s="191"/>
      <c r="AB841" s="193"/>
      <c r="AC841" s="193"/>
      <c r="AD841" s="191"/>
      <c r="AE841" s="194"/>
      <c r="AF841" s="194"/>
      <c r="AG841" s="194"/>
      <c r="AH841" s="194"/>
      <c r="AI841" s="190"/>
    </row>
    <row r="842" ht="16.5" customHeight="1">
      <c r="A842" s="190"/>
      <c r="B842" s="191"/>
      <c r="C842" s="191"/>
      <c r="D842" s="191"/>
      <c r="E842" s="192"/>
      <c r="F842" s="192"/>
      <c r="G842" s="192"/>
      <c r="H842" s="192"/>
      <c r="I842" s="192"/>
      <c r="J842" s="193"/>
      <c r="K842" s="192"/>
      <c r="L842" s="190"/>
      <c r="M842" s="194"/>
      <c r="N842" s="194"/>
      <c r="O842" s="194"/>
      <c r="P842" s="194"/>
      <c r="Q842" s="194"/>
      <c r="R842" s="194"/>
      <c r="S842" s="195"/>
      <c r="T842" s="195"/>
      <c r="U842" s="195"/>
      <c r="V842" s="191"/>
      <c r="W842" s="192"/>
      <c r="X842" s="192"/>
      <c r="Y842" s="192"/>
      <c r="Z842" s="191"/>
      <c r="AA842" s="191"/>
      <c r="AB842" s="193"/>
      <c r="AC842" s="193"/>
      <c r="AD842" s="191"/>
      <c r="AE842" s="194"/>
      <c r="AF842" s="194"/>
      <c r="AG842" s="194"/>
      <c r="AH842" s="194"/>
      <c r="AI842" s="190"/>
    </row>
    <row r="843" ht="16.5" customHeight="1">
      <c r="A843" s="190"/>
      <c r="B843" s="191"/>
      <c r="C843" s="191"/>
      <c r="D843" s="191"/>
      <c r="E843" s="192"/>
      <c r="F843" s="192"/>
      <c r="G843" s="192"/>
      <c r="H843" s="192"/>
      <c r="I843" s="192"/>
      <c r="J843" s="193"/>
      <c r="K843" s="192"/>
      <c r="L843" s="190"/>
      <c r="M843" s="194"/>
      <c r="N843" s="194"/>
      <c r="O843" s="194"/>
      <c r="P843" s="194"/>
      <c r="Q843" s="194"/>
      <c r="R843" s="194"/>
      <c r="S843" s="195"/>
      <c r="T843" s="195"/>
      <c r="U843" s="195"/>
      <c r="V843" s="191"/>
      <c r="W843" s="192"/>
      <c r="X843" s="192"/>
      <c r="Y843" s="192"/>
      <c r="Z843" s="191"/>
      <c r="AA843" s="191"/>
      <c r="AB843" s="193"/>
      <c r="AC843" s="193"/>
      <c r="AD843" s="191"/>
      <c r="AE843" s="194"/>
      <c r="AF843" s="194"/>
      <c r="AG843" s="194"/>
      <c r="AH843" s="194"/>
      <c r="AI843" s="190"/>
    </row>
    <row r="844" ht="16.5" customHeight="1">
      <c r="A844" s="190"/>
      <c r="B844" s="191"/>
      <c r="C844" s="191"/>
      <c r="D844" s="191"/>
      <c r="E844" s="192"/>
      <c r="F844" s="192"/>
      <c r="G844" s="192"/>
      <c r="H844" s="192"/>
      <c r="I844" s="192"/>
      <c r="J844" s="193"/>
      <c r="K844" s="192"/>
      <c r="L844" s="190"/>
      <c r="M844" s="194"/>
      <c r="N844" s="194"/>
      <c r="O844" s="194"/>
      <c r="P844" s="194"/>
      <c r="Q844" s="194"/>
      <c r="R844" s="194"/>
      <c r="S844" s="195"/>
      <c r="T844" s="195"/>
      <c r="U844" s="195"/>
      <c r="V844" s="191"/>
      <c r="W844" s="192"/>
      <c r="X844" s="192"/>
      <c r="Y844" s="192"/>
      <c r="Z844" s="191"/>
      <c r="AA844" s="191"/>
      <c r="AB844" s="193"/>
      <c r="AC844" s="193"/>
      <c r="AD844" s="191"/>
      <c r="AE844" s="194"/>
      <c r="AF844" s="194"/>
      <c r="AG844" s="194"/>
      <c r="AH844" s="194"/>
      <c r="AI844" s="190"/>
    </row>
    <row r="845" ht="16.5" customHeight="1">
      <c r="A845" s="190"/>
      <c r="B845" s="191"/>
      <c r="C845" s="191"/>
      <c r="D845" s="191"/>
      <c r="E845" s="192"/>
      <c r="F845" s="192"/>
      <c r="G845" s="192"/>
      <c r="H845" s="192"/>
      <c r="I845" s="192"/>
      <c r="J845" s="193"/>
      <c r="K845" s="192"/>
      <c r="L845" s="190"/>
      <c r="M845" s="194"/>
      <c r="N845" s="194"/>
      <c r="O845" s="194"/>
      <c r="P845" s="194"/>
      <c r="Q845" s="194"/>
      <c r="R845" s="194"/>
      <c r="S845" s="195"/>
      <c r="T845" s="195"/>
      <c r="U845" s="195"/>
      <c r="V845" s="191"/>
      <c r="W845" s="192"/>
      <c r="X845" s="192"/>
      <c r="Y845" s="192"/>
      <c r="Z845" s="191"/>
      <c r="AA845" s="191"/>
      <c r="AB845" s="193"/>
      <c r="AC845" s="193"/>
      <c r="AD845" s="191"/>
      <c r="AE845" s="194"/>
      <c r="AF845" s="194"/>
      <c r="AG845" s="194"/>
      <c r="AH845" s="194"/>
      <c r="AI845" s="190"/>
    </row>
    <row r="846" ht="16.5" customHeight="1">
      <c r="A846" s="190"/>
      <c r="B846" s="191"/>
      <c r="C846" s="191"/>
      <c r="D846" s="191"/>
      <c r="E846" s="192"/>
      <c r="F846" s="192"/>
      <c r="G846" s="192"/>
      <c r="H846" s="192"/>
      <c r="I846" s="192"/>
      <c r="J846" s="193"/>
      <c r="K846" s="192"/>
      <c r="L846" s="190"/>
      <c r="M846" s="194"/>
      <c r="N846" s="194"/>
      <c r="O846" s="194"/>
      <c r="P846" s="194"/>
      <c r="Q846" s="194"/>
      <c r="R846" s="194"/>
      <c r="S846" s="195"/>
      <c r="T846" s="195"/>
      <c r="U846" s="195"/>
      <c r="V846" s="191"/>
      <c r="W846" s="192"/>
      <c r="X846" s="192"/>
      <c r="Y846" s="192"/>
      <c r="Z846" s="191"/>
      <c r="AA846" s="191"/>
      <c r="AB846" s="193"/>
      <c r="AC846" s="193"/>
      <c r="AD846" s="191"/>
      <c r="AE846" s="194"/>
      <c r="AF846" s="194"/>
      <c r="AG846" s="194"/>
      <c r="AH846" s="194"/>
      <c r="AI846" s="190"/>
    </row>
    <row r="847" ht="16.5" customHeight="1">
      <c r="A847" s="190"/>
      <c r="B847" s="191"/>
      <c r="C847" s="191"/>
      <c r="D847" s="191"/>
      <c r="E847" s="192"/>
      <c r="F847" s="192"/>
      <c r="G847" s="192"/>
      <c r="H847" s="192"/>
      <c r="I847" s="192"/>
      <c r="J847" s="193"/>
      <c r="K847" s="192"/>
      <c r="L847" s="190"/>
      <c r="M847" s="194"/>
      <c r="N847" s="194"/>
      <c r="O847" s="194"/>
      <c r="P847" s="194"/>
      <c r="Q847" s="194"/>
      <c r="R847" s="194"/>
      <c r="S847" s="195"/>
      <c r="T847" s="195"/>
      <c r="U847" s="195"/>
      <c r="V847" s="191"/>
      <c r="W847" s="192"/>
      <c r="X847" s="192"/>
      <c r="Y847" s="192"/>
      <c r="Z847" s="191"/>
      <c r="AA847" s="191"/>
      <c r="AB847" s="193"/>
      <c r="AC847" s="193"/>
      <c r="AD847" s="191"/>
      <c r="AE847" s="194"/>
      <c r="AF847" s="194"/>
      <c r="AG847" s="194"/>
      <c r="AH847" s="194"/>
      <c r="AI847" s="190"/>
    </row>
    <row r="848" ht="16.5" customHeight="1">
      <c r="A848" s="190"/>
      <c r="B848" s="191"/>
      <c r="C848" s="191"/>
      <c r="D848" s="191"/>
      <c r="E848" s="192"/>
      <c r="F848" s="192"/>
      <c r="G848" s="192"/>
      <c r="H848" s="192"/>
      <c r="I848" s="192"/>
      <c r="J848" s="193"/>
      <c r="K848" s="192"/>
      <c r="L848" s="190"/>
      <c r="M848" s="194"/>
      <c r="N848" s="194"/>
      <c r="O848" s="194"/>
      <c r="P848" s="194"/>
      <c r="Q848" s="194"/>
      <c r="R848" s="194"/>
      <c r="S848" s="195"/>
      <c r="T848" s="195"/>
      <c r="U848" s="195"/>
      <c r="V848" s="191"/>
      <c r="W848" s="192"/>
      <c r="X848" s="192"/>
      <c r="Y848" s="192"/>
      <c r="Z848" s="191"/>
      <c r="AA848" s="191"/>
      <c r="AB848" s="193"/>
      <c r="AC848" s="193"/>
      <c r="AD848" s="191"/>
      <c r="AE848" s="194"/>
      <c r="AF848" s="194"/>
      <c r="AG848" s="194"/>
      <c r="AH848" s="194"/>
      <c r="AI848" s="190"/>
    </row>
    <row r="849" ht="16.5" customHeight="1">
      <c r="A849" s="190"/>
      <c r="B849" s="191"/>
      <c r="C849" s="191"/>
      <c r="D849" s="191"/>
      <c r="E849" s="192"/>
      <c r="F849" s="192"/>
      <c r="G849" s="192"/>
      <c r="H849" s="192"/>
      <c r="I849" s="192"/>
      <c r="J849" s="193"/>
      <c r="K849" s="192"/>
      <c r="L849" s="190"/>
      <c r="M849" s="194"/>
      <c r="N849" s="194"/>
      <c r="O849" s="194"/>
      <c r="P849" s="194"/>
      <c r="Q849" s="194"/>
      <c r="R849" s="194"/>
      <c r="S849" s="195"/>
      <c r="T849" s="195"/>
      <c r="U849" s="195"/>
      <c r="V849" s="191"/>
      <c r="W849" s="192"/>
      <c r="X849" s="192"/>
      <c r="Y849" s="192"/>
      <c r="Z849" s="191"/>
      <c r="AA849" s="191"/>
      <c r="AB849" s="193"/>
      <c r="AC849" s="193"/>
      <c r="AD849" s="191"/>
      <c r="AE849" s="194"/>
      <c r="AF849" s="194"/>
      <c r="AG849" s="194"/>
      <c r="AH849" s="194"/>
      <c r="AI849" s="190"/>
    </row>
    <row r="850" ht="16.5" customHeight="1">
      <c r="A850" s="190"/>
      <c r="B850" s="191"/>
      <c r="C850" s="191"/>
      <c r="D850" s="191"/>
      <c r="E850" s="192"/>
      <c r="F850" s="192"/>
      <c r="G850" s="192"/>
      <c r="H850" s="192"/>
      <c r="I850" s="192"/>
      <c r="J850" s="193"/>
      <c r="K850" s="192"/>
      <c r="L850" s="190"/>
      <c r="M850" s="194"/>
      <c r="N850" s="194"/>
      <c r="O850" s="194"/>
      <c r="P850" s="194"/>
      <c r="Q850" s="194"/>
      <c r="R850" s="194"/>
      <c r="S850" s="195"/>
      <c r="T850" s="195"/>
      <c r="U850" s="195"/>
      <c r="V850" s="191"/>
      <c r="W850" s="192"/>
      <c r="X850" s="192"/>
      <c r="Y850" s="192"/>
      <c r="Z850" s="191"/>
      <c r="AA850" s="191"/>
      <c r="AB850" s="193"/>
      <c r="AC850" s="193"/>
      <c r="AD850" s="191"/>
      <c r="AE850" s="194"/>
      <c r="AF850" s="194"/>
      <c r="AG850" s="194"/>
      <c r="AH850" s="194"/>
      <c r="AI850" s="190"/>
    </row>
    <row r="851" ht="16.5" customHeight="1">
      <c r="A851" s="190"/>
      <c r="B851" s="191"/>
      <c r="C851" s="191"/>
      <c r="D851" s="191"/>
      <c r="E851" s="192"/>
      <c r="F851" s="192"/>
      <c r="G851" s="192"/>
      <c r="H851" s="192"/>
      <c r="I851" s="192"/>
      <c r="J851" s="193"/>
      <c r="K851" s="192"/>
      <c r="L851" s="190"/>
      <c r="M851" s="194"/>
      <c r="N851" s="194"/>
      <c r="O851" s="194"/>
      <c r="P851" s="194"/>
      <c r="Q851" s="194"/>
      <c r="R851" s="194"/>
      <c r="S851" s="195"/>
      <c r="T851" s="195"/>
      <c r="U851" s="195"/>
      <c r="V851" s="191"/>
      <c r="W851" s="192"/>
      <c r="X851" s="192"/>
      <c r="Y851" s="192"/>
      <c r="Z851" s="191"/>
      <c r="AA851" s="191"/>
      <c r="AB851" s="193"/>
      <c r="AC851" s="193"/>
      <c r="AD851" s="191"/>
      <c r="AE851" s="194"/>
      <c r="AF851" s="194"/>
      <c r="AG851" s="194"/>
      <c r="AH851" s="194"/>
      <c r="AI851" s="190"/>
    </row>
    <row r="852" ht="16.5" customHeight="1">
      <c r="A852" s="190"/>
      <c r="B852" s="191"/>
      <c r="C852" s="191"/>
      <c r="D852" s="191"/>
      <c r="E852" s="192"/>
      <c r="F852" s="192"/>
      <c r="G852" s="192"/>
      <c r="H852" s="192"/>
      <c r="I852" s="192"/>
      <c r="J852" s="193"/>
      <c r="K852" s="192"/>
      <c r="L852" s="190"/>
      <c r="M852" s="194"/>
      <c r="N852" s="194"/>
      <c r="O852" s="194"/>
      <c r="P852" s="194"/>
      <c r="Q852" s="194"/>
      <c r="R852" s="194"/>
      <c r="S852" s="195"/>
      <c r="T852" s="195"/>
      <c r="U852" s="195"/>
      <c r="V852" s="191"/>
      <c r="W852" s="192"/>
      <c r="X852" s="192"/>
      <c r="Y852" s="192"/>
      <c r="Z852" s="191"/>
      <c r="AA852" s="191"/>
      <c r="AB852" s="193"/>
      <c r="AC852" s="193"/>
      <c r="AD852" s="191"/>
      <c r="AE852" s="194"/>
      <c r="AF852" s="194"/>
      <c r="AG852" s="194"/>
      <c r="AH852" s="194"/>
      <c r="AI852" s="190"/>
    </row>
    <row r="853" ht="16.5" customHeight="1">
      <c r="A853" s="190"/>
      <c r="B853" s="191"/>
      <c r="C853" s="191"/>
      <c r="D853" s="191"/>
      <c r="E853" s="192"/>
      <c r="F853" s="192"/>
      <c r="G853" s="192"/>
      <c r="H853" s="192"/>
      <c r="I853" s="192"/>
      <c r="J853" s="193"/>
      <c r="K853" s="192"/>
      <c r="L853" s="190"/>
      <c r="M853" s="194"/>
      <c r="N853" s="194"/>
      <c r="O853" s="194"/>
      <c r="P853" s="194"/>
      <c r="Q853" s="194"/>
      <c r="R853" s="194"/>
      <c r="S853" s="195"/>
      <c r="T853" s="195"/>
      <c r="U853" s="195"/>
      <c r="V853" s="191"/>
      <c r="W853" s="192"/>
      <c r="X853" s="192"/>
      <c r="Y853" s="192"/>
      <c r="Z853" s="191"/>
      <c r="AA853" s="191"/>
      <c r="AB853" s="193"/>
      <c r="AC853" s="193"/>
      <c r="AD853" s="191"/>
      <c r="AE853" s="194"/>
      <c r="AF853" s="194"/>
      <c r="AG853" s="194"/>
      <c r="AH853" s="194"/>
      <c r="AI853" s="190"/>
    </row>
    <row r="854" ht="16.5" customHeight="1">
      <c r="A854" s="190"/>
      <c r="B854" s="191"/>
      <c r="C854" s="191"/>
      <c r="D854" s="191"/>
      <c r="E854" s="192"/>
      <c r="F854" s="192"/>
      <c r="G854" s="192"/>
      <c r="H854" s="192"/>
      <c r="I854" s="192"/>
      <c r="J854" s="193"/>
      <c r="K854" s="192"/>
      <c r="L854" s="190"/>
      <c r="M854" s="194"/>
      <c r="N854" s="194"/>
      <c r="O854" s="194"/>
      <c r="P854" s="194"/>
      <c r="Q854" s="194"/>
      <c r="R854" s="194"/>
      <c r="S854" s="195"/>
      <c r="T854" s="195"/>
      <c r="U854" s="195"/>
      <c r="V854" s="191"/>
      <c r="W854" s="192"/>
      <c r="X854" s="192"/>
      <c r="Y854" s="192"/>
      <c r="Z854" s="191"/>
      <c r="AA854" s="191"/>
      <c r="AB854" s="193"/>
      <c r="AC854" s="193"/>
      <c r="AD854" s="191"/>
      <c r="AE854" s="194"/>
      <c r="AF854" s="194"/>
      <c r="AG854" s="194"/>
      <c r="AH854" s="194"/>
      <c r="AI854" s="190"/>
    </row>
    <row r="855" ht="16.5" customHeight="1">
      <c r="A855" s="190"/>
      <c r="B855" s="191"/>
      <c r="C855" s="191"/>
      <c r="D855" s="191"/>
      <c r="E855" s="192"/>
      <c r="F855" s="192"/>
      <c r="G855" s="192"/>
      <c r="H855" s="192"/>
      <c r="I855" s="192"/>
      <c r="J855" s="193"/>
      <c r="K855" s="192"/>
      <c r="L855" s="190"/>
      <c r="M855" s="194"/>
      <c r="N855" s="194"/>
      <c r="O855" s="194"/>
      <c r="P855" s="194"/>
      <c r="Q855" s="194"/>
      <c r="R855" s="194"/>
      <c r="S855" s="195"/>
      <c r="T855" s="195"/>
      <c r="U855" s="195"/>
      <c r="V855" s="191"/>
      <c r="W855" s="192"/>
      <c r="X855" s="192"/>
      <c r="Y855" s="192"/>
      <c r="Z855" s="191"/>
      <c r="AA855" s="191"/>
      <c r="AB855" s="193"/>
      <c r="AC855" s="193"/>
      <c r="AD855" s="191"/>
      <c r="AE855" s="194"/>
      <c r="AF855" s="194"/>
      <c r="AG855" s="194"/>
      <c r="AH855" s="194"/>
      <c r="AI855" s="190"/>
    </row>
    <row r="856" ht="16.5" customHeight="1">
      <c r="A856" s="190"/>
      <c r="B856" s="191"/>
      <c r="C856" s="191"/>
      <c r="D856" s="191"/>
      <c r="E856" s="192"/>
      <c r="F856" s="192"/>
      <c r="G856" s="192"/>
      <c r="H856" s="192"/>
      <c r="I856" s="192"/>
      <c r="J856" s="193"/>
      <c r="K856" s="192"/>
      <c r="L856" s="190"/>
      <c r="M856" s="194"/>
      <c r="N856" s="194"/>
      <c r="O856" s="194"/>
      <c r="P856" s="194"/>
      <c r="Q856" s="194"/>
      <c r="R856" s="194"/>
      <c r="S856" s="195"/>
      <c r="T856" s="195"/>
      <c r="U856" s="195"/>
      <c r="V856" s="191"/>
      <c r="W856" s="192"/>
      <c r="X856" s="192"/>
      <c r="Y856" s="192"/>
      <c r="Z856" s="191"/>
      <c r="AA856" s="191"/>
      <c r="AB856" s="193"/>
      <c r="AC856" s="193"/>
      <c r="AD856" s="191"/>
      <c r="AE856" s="194"/>
      <c r="AF856" s="194"/>
      <c r="AG856" s="194"/>
      <c r="AH856" s="194"/>
      <c r="AI856" s="190"/>
    </row>
    <row r="857" ht="16.5" customHeight="1">
      <c r="A857" s="190"/>
      <c r="B857" s="191"/>
      <c r="C857" s="191"/>
      <c r="D857" s="191"/>
      <c r="E857" s="192"/>
      <c r="F857" s="192"/>
      <c r="G857" s="192"/>
      <c r="H857" s="192"/>
      <c r="I857" s="192"/>
      <c r="J857" s="193"/>
      <c r="K857" s="192"/>
      <c r="L857" s="190"/>
      <c r="M857" s="194"/>
      <c r="N857" s="194"/>
      <c r="O857" s="194"/>
      <c r="P857" s="194"/>
      <c r="Q857" s="194"/>
      <c r="R857" s="194"/>
      <c r="S857" s="195"/>
      <c r="T857" s="195"/>
      <c r="U857" s="195"/>
      <c r="V857" s="191"/>
      <c r="W857" s="192"/>
      <c r="X857" s="192"/>
      <c r="Y857" s="192"/>
      <c r="Z857" s="191"/>
      <c r="AA857" s="191"/>
      <c r="AB857" s="193"/>
      <c r="AC857" s="193"/>
      <c r="AD857" s="191"/>
      <c r="AE857" s="194"/>
      <c r="AF857" s="194"/>
      <c r="AG857" s="194"/>
      <c r="AH857" s="194"/>
      <c r="AI857" s="190"/>
    </row>
    <row r="858" ht="16.5" customHeight="1">
      <c r="A858" s="190"/>
      <c r="B858" s="191"/>
      <c r="C858" s="191"/>
      <c r="D858" s="191"/>
      <c r="E858" s="192"/>
      <c r="F858" s="192"/>
      <c r="G858" s="192"/>
      <c r="H858" s="192"/>
      <c r="I858" s="192"/>
      <c r="J858" s="193"/>
      <c r="K858" s="192"/>
      <c r="L858" s="190"/>
      <c r="M858" s="194"/>
      <c r="N858" s="194"/>
      <c r="O858" s="194"/>
      <c r="P858" s="194"/>
      <c r="Q858" s="194"/>
      <c r="R858" s="194"/>
      <c r="S858" s="195"/>
      <c r="T858" s="195"/>
      <c r="U858" s="195"/>
      <c r="V858" s="191"/>
      <c r="W858" s="192"/>
      <c r="X858" s="192"/>
      <c r="Y858" s="192"/>
      <c r="Z858" s="191"/>
      <c r="AA858" s="191"/>
      <c r="AB858" s="193"/>
      <c r="AC858" s="193"/>
      <c r="AD858" s="191"/>
      <c r="AE858" s="194"/>
      <c r="AF858" s="194"/>
      <c r="AG858" s="194"/>
      <c r="AH858" s="194"/>
      <c r="AI858" s="190"/>
    </row>
    <row r="859" ht="16.5" customHeight="1">
      <c r="A859" s="190"/>
      <c r="B859" s="191"/>
      <c r="C859" s="191"/>
      <c r="D859" s="191"/>
      <c r="E859" s="192"/>
      <c r="F859" s="192"/>
      <c r="G859" s="192"/>
      <c r="H859" s="192"/>
      <c r="I859" s="192"/>
      <c r="J859" s="193"/>
      <c r="K859" s="192"/>
      <c r="L859" s="190"/>
      <c r="M859" s="194"/>
      <c r="N859" s="194"/>
      <c r="O859" s="194"/>
      <c r="P859" s="194"/>
      <c r="Q859" s="194"/>
      <c r="R859" s="194"/>
      <c r="S859" s="195"/>
      <c r="T859" s="195"/>
      <c r="U859" s="195"/>
      <c r="V859" s="191"/>
      <c r="W859" s="192"/>
      <c r="X859" s="192"/>
      <c r="Y859" s="192"/>
      <c r="Z859" s="191"/>
      <c r="AA859" s="191"/>
      <c r="AB859" s="193"/>
      <c r="AC859" s="193"/>
      <c r="AD859" s="191"/>
      <c r="AE859" s="194"/>
      <c r="AF859" s="194"/>
      <c r="AG859" s="194"/>
      <c r="AH859" s="194"/>
      <c r="AI859" s="190"/>
    </row>
    <row r="860" ht="16.5" customHeight="1">
      <c r="A860" s="190"/>
      <c r="B860" s="191"/>
      <c r="C860" s="191"/>
      <c r="D860" s="191"/>
      <c r="E860" s="192"/>
      <c r="F860" s="192"/>
      <c r="G860" s="192"/>
      <c r="H860" s="192"/>
      <c r="I860" s="192"/>
      <c r="J860" s="193"/>
      <c r="K860" s="192"/>
      <c r="L860" s="190"/>
      <c r="M860" s="194"/>
      <c r="N860" s="194"/>
      <c r="O860" s="194"/>
      <c r="P860" s="194"/>
      <c r="Q860" s="194"/>
      <c r="R860" s="194"/>
      <c r="S860" s="195"/>
      <c r="T860" s="195"/>
      <c r="U860" s="195"/>
      <c r="V860" s="191"/>
      <c r="W860" s="192"/>
      <c r="X860" s="192"/>
      <c r="Y860" s="192"/>
      <c r="Z860" s="191"/>
      <c r="AA860" s="191"/>
      <c r="AB860" s="193"/>
      <c r="AC860" s="193"/>
      <c r="AD860" s="191"/>
      <c r="AE860" s="194"/>
      <c r="AF860" s="194"/>
      <c r="AG860" s="194"/>
      <c r="AH860" s="194"/>
      <c r="AI860" s="190"/>
    </row>
    <row r="861" ht="16.5" customHeight="1">
      <c r="A861" s="190"/>
      <c r="B861" s="191"/>
      <c r="C861" s="191"/>
      <c r="D861" s="191"/>
      <c r="E861" s="192"/>
      <c r="F861" s="192"/>
      <c r="G861" s="192"/>
      <c r="H861" s="192"/>
      <c r="I861" s="192"/>
      <c r="J861" s="193"/>
      <c r="K861" s="192"/>
      <c r="L861" s="190"/>
      <c r="M861" s="194"/>
      <c r="N861" s="194"/>
      <c r="O861" s="194"/>
      <c r="P861" s="194"/>
      <c r="Q861" s="194"/>
      <c r="R861" s="194"/>
      <c r="S861" s="195"/>
      <c r="T861" s="195"/>
      <c r="U861" s="195"/>
      <c r="V861" s="191"/>
      <c r="W861" s="192"/>
      <c r="X861" s="192"/>
      <c r="Y861" s="192"/>
      <c r="Z861" s="191"/>
      <c r="AA861" s="191"/>
      <c r="AB861" s="193"/>
      <c r="AC861" s="193"/>
      <c r="AD861" s="191"/>
      <c r="AE861" s="194"/>
      <c r="AF861" s="194"/>
      <c r="AG861" s="194"/>
      <c r="AH861" s="194"/>
      <c r="AI861" s="190"/>
    </row>
    <row r="862" ht="16.5" customHeight="1">
      <c r="A862" s="190"/>
      <c r="B862" s="191"/>
      <c r="C862" s="191"/>
      <c r="D862" s="191"/>
      <c r="E862" s="192"/>
      <c r="F862" s="192"/>
      <c r="G862" s="192"/>
      <c r="H862" s="192"/>
      <c r="I862" s="192"/>
      <c r="J862" s="193"/>
      <c r="K862" s="192"/>
      <c r="L862" s="190"/>
      <c r="M862" s="194"/>
      <c r="N862" s="194"/>
      <c r="O862" s="194"/>
      <c r="P862" s="194"/>
      <c r="Q862" s="194"/>
      <c r="R862" s="194"/>
      <c r="S862" s="195"/>
      <c r="T862" s="195"/>
      <c r="U862" s="195"/>
      <c r="V862" s="191"/>
      <c r="W862" s="192"/>
      <c r="X862" s="192"/>
      <c r="Y862" s="192"/>
      <c r="Z862" s="191"/>
      <c r="AA862" s="191"/>
      <c r="AB862" s="193"/>
      <c r="AC862" s="193"/>
      <c r="AD862" s="191"/>
      <c r="AE862" s="194"/>
      <c r="AF862" s="194"/>
      <c r="AG862" s="194"/>
      <c r="AH862" s="194"/>
      <c r="AI862" s="190"/>
    </row>
    <row r="863" ht="16.5" customHeight="1">
      <c r="A863" s="190"/>
      <c r="B863" s="191"/>
      <c r="C863" s="191"/>
      <c r="D863" s="191"/>
      <c r="E863" s="192"/>
      <c r="F863" s="192"/>
      <c r="G863" s="192"/>
      <c r="H863" s="192"/>
      <c r="I863" s="192"/>
      <c r="J863" s="193"/>
      <c r="K863" s="192"/>
      <c r="L863" s="190"/>
      <c r="M863" s="194"/>
      <c r="N863" s="194"/>
      <c r="O863" s="194"/>
      <c r="P863" s="194"/>
      <c r="Q863" s="194"/>
      <c r="R863" s="194"/>
      <c r="S863" s="195"/>
      <c r="T863" s="195"/>
      <c r="U863" s="195"/>
      <c r="V863" s="191"/>
      <c r="W863" s="192"/>
      <c r="X863" s="192"/>
      <c r="Y863" s="192"/>
      <c r="Z863" s="191"/>
      <c r="AA863" s="191"/>
      <c r="AB863" s="193"/>
      <c r="AC863" s="193"/>
      <c r="AD863" s="191"/>
      <c r="AE863" s="194"/>
      <c r="AF863" s="194"/>
      <c r="AG863" s="194"/>
      <c r="AH863" s="194"/>
      <c r="AI863" s="190"/>
    </row>
    <row r="864" ht="16.5" customHeight="1">
      <c r="A864" s="190"/>
      <c r="B864" s="191"/>
      <c r="C864" s="191"/>
      <c r="D864" s="191"/>
      <c r="E864" s="192"/>
      <c r="F864" s="192"/>
      <c r="G864" s="192"/>
      <c r="H864" s="192"/>
      <c r="I864" s="192"/>
      <c r="J864" s="193"/>
      <c r="K864" s="192"/>
      <c r="L864" s="190"/>
      <c r="M864" s="194"/>
      <c r="N864" s="194"/>
      <c r="O864" s="194"/>
      <c r="P864" s="194"/>
      <c r="Q864" s="194"/>
      <c r="R864" s="194"/>
      <c r="S864" s="195"/>
      <c r="T864" s="195"/>
      <c r="U864" s="195"/>
      <c r="V864" s="191"/>
      <c r="W864" s="192"/>
      <c r="X864" s="192"/>
      <c r="Y864" s="192"/>
      <c r="Z864" s="191"/>
      <c r="AA864" s="191"/>
      <c r="AB864" s="193"/>
      <c r="AC864" s="193"/>
      <c r="AD864" s="191"/>
      <c r="AE864" s="194"/>
      <c r="AF864" s="194"/>
      <c r="AG864" s="194"/>
      <c r="AH864" s="194"/>
      <c r="AI864" s="190"/>
    </row>
    <row r="865" ht="16.5" customHeight="1">
      <c r="A865" s="190"/>
      <c r="B865" s="191"/>
      <c r="C865" s="191"/>
      <c r="D865" s="191"/>
      <c r="E865" s="192"/>
      <c r="F865" s="192"/>
      <c r="G865" s="192"/>
      <c r="H865" s="192"/>
      <c r="I865" s="192"/>
      <c r="J865" s="193"/>
      <c r="K865" s="192"/>
      <c r="L865" s="190"/>
      <c r="M865" s="194"/>
      <c r="N865" s="194"/>
      <c r="O865" s="194"/>
      <c r="P865" s="194"/>
      <c r="Q865" s="194"/>
      <c r="R865" s="194"/>
      <c r="S865" s="195"/>
      <c r="T865" s="195"/>
      <c r="U865" s="195"/>
      <c r="V865" s="191"/>
      <c r="W865" s="192"/>
      <c r="X865" s="192"/>
      <c r="Y865" s="192"/>
      <c r="Z865" s="191"/>
      <c r="AA865" s="191"/>
      <c r="AB865" s="193"/>
      <c r="AC865" s="193"/>
      <c r="AD865" s="191"/>
      <c r="AE865" s="194"/>
      <c r="AF865" s="194"/>
      <c r="AG865" s="194"/>
      <c r="AH865" s="194"/>
      <c r="AI865" s="190"/>
    </row>
    <row r="866" ht="16.5" customHeight="1">
      <c r="A866" s="190"/>
      <c r="B866" s="191"/>
      <c r="C866" s="191"/>
      <c r="D866" s="191"/>
      <c r="E866" s="192"/>
      <c r="F866" s="192"/>
      <c r="G866" s="192"/>
      <c r="H866" s="192"/>
      <c r="I866" s="192"/>
      <c r="J866" s="193"/>
      <c r="K866" s="192"/>
      <c r="L866" s="190"/>
      <c r="M866" s="194"/>
      <c r="N866" s="194"/>
      <c r="O866" s="194"/>
      <c r="P866" s="194"/>
      <c r="Q866" s="194"/>
      <c r="R866" s="194"/>
      <c r="S866" s="195"/>
      <c r="T866" s="195"/>
      <c r="U866" s="195"/>
      <c r="V866" s="191"/>
      <c r="W866" s="192"/>
      <c r="X866" s="192"/>
      <c r="Y866" s="192"/>
      <c r="Z866" s="191"/>
      <c r="AA866" s="191"/>
      <c r="AB866" s="193"/>
      <c r="AC866" s="193"/>
      <c r="AD866" s="191"/>
      <c r="AE866" s="194"/>
      <c r="AF866" s="194"/>
      <c r="AG866" s="194"/>
      <c r="AH866" s="194"/>
      <c r="AI866" s="190"/>
    </row>
    <row r="867" ht="16.5" customHeight="1">
      <c r="A867" s="190"/>
      <c r="B867" s="191"/>
      <c r="C867" s="191"/>
      <c r="D867" s="191"/>
      <c r="E867" s="192"/>
      <c r="F867" s="192"/>
      <c r="G867" s="192"/>
      <c r="H867" s="192"/>
      <c r="I867" s="192"/>
      <c r="J867" s="193"/>
      <c r="K867" s="192"/>
      <c r="L867" s="190"/>
      <c r="M867" s="194"/>
      <c r="N867" s="194"/>
      <c r="O867" s="194"/>
      <c r="P867" s="194"/>
      <c r="Q867" s="194"/>
      <c r="R867" s="194"/>
      <c r="S867" s="195"/>
      <c r="T867" s="195"/>
      <c r="U867" s="195"/>
      <c r="V867" s="191"/>
      <c r="W867" s="192"/>
      <c r="X867" s="192"/>
      <c r="Y867" s="192"/>
      <c r="Z867" s="191"/>
      <c r="AA867" s="191"/>
      <c r="AB867" s="193"/>
      <c r="AC867" s="193"/>
      <c r="AD867" s="191"/>
      <c r="AE867" s="194"/>
      <c r="AF867" s="194"/>
      <c r="AG867" s="194"/>
      <c r="AH867" s="194"/>
      <c r="AI867" s="190"/>
    </row>
    <row r="868" ht="16.5" customHeight="1">
      <c r="A868" s="190"/>
      <c r="B868" s="191"/>
      <c r="C868" s="191"/>
      <c r="D868" s="191"/>
      <c r="E868" s="192"/>
      <c r="F868" s="192"/>
      <c r="G868" s="192"/>
      <c r="H868" s="192"/>
      <c r="I868" s="192"/>
      <c r="J868" s="193"/>
      <c r="K868" s="192"/>
      <c r="L868" s="190"/>
      <c r="M868" s="194"/>
      <c r="N868" s="194"/>
      <c r="O868" s="194"/>
      <c r="P868" s="194"/>
      <c r="Q868" s="194"/>
      <c r="R868" s="194"/>
      <c r="S868" s="195"/>
      <c r="T868" s="195"/>
      <c r="U868" s="195"/>
      <c r="V868" s="191"/>
      <c r="W868" s="192"/>
      <c r="X868" s="192"/>
      <c r="Y868" s="192"/>
      <c r="Z868" s="191"/>
      <c r="AA868" s="191"/>
      <c r="AB868" s="193"/>
      <c r="AC868" s="193"/>
      <c r="AD868" s="191"/>
      <c r="AE868" s="194"/>
      <c r="AF868" s="194"/>
      <c r="AG868" s="194"/>
      <c r="AH868" s="194"/>
      <c r="AI868" s="190"/>
    </row>
    <row r="869" ht="16.5" customHeight="1">
      <c r="A869" s="190"/>
      <c r="B869" s="191"/>
      <c r="C869" s="191"/>
      <c r="D869" s="191"/>
      <c r="E869" s="192"/>
      <c r="F869" s="192"/>
      <c r="G869" s="192"/>
      <c r="H869" s="192"/>
      <c r="I869" s="192"/>
      <c r="J869" s="193"/>
      <c r="K869" s="192"/>
      <c r="L869" s="190"/>
      <c r="M869" s="194"/>
      <c r="N869" s="194"/>
      <c r="O869" s="194"/>
      <c r="P869" s="194"/>
      <c r="Q869" s="194"/>
      <c r="R869" s="194"/>
      <c r="S869" s="195"/>
      <c r="T869" s="195"/>
      <c r="U869" s="195"/>
      <c r="V869" s="191"/>
      <c r="W869" s="192"/>
      <c r="X869" s="192"/>
      <c r="Y869" s="192"/>
      <c r="Z869" s="191"/>
      <c r="AA869" s="191"/>
      <c r="AB869" s="193"/>
      <c r="AC869" s="193"/>
      <c r="AD869" s="191"/>
      <c r="AE869" s="194"/>
      <c r="AF869" s="194"/>
      <c r="AG869" s="194"/>
      <c r="AH869" s="194"/>
      <c r="AI869" s="190"/>
    </row>
    <row r="870" ht="16.5" customHeight="1">
      <c r="A870" s="190"/>
      <c r="B870" s="191"/>
      <c r="C870" s="191"/>
      <c r="D870" s="191"/>
      <c r="E870" s="192"/>
      <c r="F870" s="192"/>
      <c r="G870" s="192"/>
      <c r="H870" s="192"/>
      <c r="I870" s="192"/>
      <c r="J870" s="193"/>
      <c r="K870" s="192"/>
      <c r="L870" s="190"/>
      <c r="M870" s="194"/>
      <c r="N870" s="194"/>
      <c r="O870" s="194"/>
      <c r="P870" s="194"/>
      <c r="Q870" s="194"/>
      <c r="R870" s="194"/>
      <c r="S870" s="195"/>
      <c r="T870" s="195"/>
      <c r="U870" s="195"/>
      <c r="V870" s="191"/>
      <c r="W870" s="192"/>
      <c r="X870" s="192"/>
      <c r="Y870" s="192"/>
      <c r="Z870" s="191"/>
      <c r="AA870" s="191"/>
      <c r="AB870" s="193"/>
      <c r="AC870" s="193"/>
      <c r="AD870" s="191"/>
      <c r="AE870" s="194"/>
      <c r="AF870" s="194"/>
      <c r="AG870" s="194"/>
      <c r="AH870" s="194"/>
      <c r="AI870" s="190"/>
    </row>
    <row r="871" ht="16.5" customHeight="1">
      <c r="A871" s="190"/>
      <c r="B871" s="191"/>
      <c r="C871" s="191"/>
      <c r="D871" s="191"/>
      <c r="E871" s="192"/>
      <c r="F871" s="192"/>
      <c r="G871" s="192"/>
      <c r="H871" s="192"/>
      <c r="I871" s="192"/>
      <c r="J871" s="193"/>
      <c r="K871" s="192"/>
      <c r="L871" s="190"/>
      <c r="M871" s="194"/>
      <c r="N871" s="194"/>
      <c r="O871" s="194"/>
      <c r="P871" s="194"/>
      <c r="Q871" s="194"/>
      <c r="R871" s="194"/>
      <c r="S871" s="195"/>
      <c r="T871" s="195"/>
      <c r="U871" s="195"/>
      <c r="V871" s="191"/>
      <c r="W871" s="192"/>
      <c r="X871" s="192"/>
      <c r="Y871" s="192"/>
      <c r="Z871" s="191"/>
      <c r="AA871" s="191"/>
      <c r="AB871" s="193"/>
      <c r="AC871" s="193"/>
      <c r="AD871" s="191"/>
      <c r="AE871" s="194"/>
      <c r="AF871" s="194"/>
      <c r="AG871" s="194"/>
      <c r="AH871" s="194"/>
      <c r="AI871" s="190"/>
    </row>
    <row r="872" ht="16.5" customHeight="1">
      <c r="A872" s="190"/>
      <c r="B872" s="191"/>
      <c r="C872" s="191"/>
      <c r="D872" s="191"/>
      <c r="E872" s="192"/>
      <c r="F872" s="192"/>
      <c r="G872" s="192"/>
      <c r="H872" s="192"/>
      <c r="I872" s="192"/>
      <c r="J872" s="193"/>
      <c r="K872" s="192"/>
      <c r="L872" s="190"/>
      <c r="M872" s="194"/>
      <c r="N872" s="194"/>
      <c r="O872" s="194"/>
      <c r="P872" s="194"/>
      <c r="Q872" s="194"/>
      <c r="R872" s="194"/>
      <c r="S872" s="195"/>
      <c r="T872" s="195"/>
      <c r="U872" s="195"/>
      <c r="V872" s="191"/>
      <c r="W872" s="192"/>
      <c r="X872" s="192"/>
      <c r="Y872" s="192"/>
      <c r="Z872" s="191"/>
      <c r="AA872" s="191"/>
      <c r="AB872" s="193"/>
      <c r="AC872" s="193"/>
      <c r="AD872" s="191"/>
      <c r="AE872" s="194"/>
      <c r="AF872" s="194"/>
      <c r="AG872" s="194"/>
      <c r="AH872" s="194"/>
      <c r="AI872" s="190"/>
    </row>
    <row r="873" ht="16.5" customHeight="1">
      <c r="A873" s="190"/>
      <c r="B873" s="191"/>
      <c r="C873" s="191"/>
      <c r="D873" s="191"/>
      <c r="E873" s="192"/>
      <c r="F873" s="192"/>
      <c r="G873" s="192"/>
      <c r="H873" s="192"/>
      <c r="I873" s="192"/>
      <c r="J873" s="193"/>
      <c r="K873" s="192"/>
      <c r="L873" s="190"/>
      <c r="M873" s="194"/>
      <c r="N873" s="194"/>
      <c r="O873" s="194"/>
      <c r="P873" s="194"/>
      <c r="Q873" s="194"/>
      <c r="R873" s="194"/>
      <c r="S873" s="195"/>
      <c r="T873" s="195"/>
      <c r="U873" s="195"/>
      <c r="V873" s="191"/>
      <c r="W873" s="192"/>
      <c r="X873" s="192"/>
      <c r="Y873" s="192"/>
      <c r="Z873" s="191"/>
      <c r="AA873" s="191"/>
      <c r="AB873" s="193"/>
      <c r="AC873" s="193"/>
      <c r="AD873" s="191"/>
      <c r="AE873" s="194"/>
      <c r="AF873" s="194"/>
      <c r="AG873" s="194"/>
      <c r="AH873" s="194"/>
      <c r="AI873" s="190"/>
    </row>
    <row r="874" ht="16.5" customHeight="1">
      <c r="A874" s="190"/>
      <c r="B874" s="191"/>
      <c r="C874" s="191"/>
      <c r="D874" s="191"/>
      <c r="E874" s="192"/>
      <c r="F874" s="192"/>
      <c r="G874" s="192"/>
      <c r="H874" s="192"/>
      <c r="I874" s="192"/>
      <c r="J874" s="193"/>
      <c r="K874" s="192"/>
      <c r="L874" s="190"/>
      <c r="M874" s="194"/>
      <c r="N874" s="194"/>
      <c r="O874" s="194"/>
      <c r="P874" s="194"/>
      <c r="Q874" s="194"/>
      <c r="R874" s="194"/>
      <c r="S874" s="195"/>
      <c r="T874" s="195"/>
      <c r="U874" s="195"/>
      <c r="V874" s="191"/>
      <c r="W874" s="192"/>
      <c r="X874" s="192"/>
      <c r="Y874" s="192"/>
      <c r="Z874" s="191"/>
      <c r="AA874" s="191"/>
      <c r="AB874" s="193"/>
      <c r="AC874" s="193"/>
      <c r="AD874" s="191"/>
      <c r="AE874" s="194"/>
      <c r="AF874" s="194"/>
      <c r="AG874" s="194"/>
      <c r="AH874" s="194"/>
      <c r="AI874" s="190"/>
    </row>
    <row r="875" ht="16.5" customHeight="1">
      <c r="A875" s="190"/>
      <c r="B875" s="191"/>
      <c r="C875" s="191"/>
      <c r="D875" s="191"/>
      <c r="E875" s="192"/>
      <c r="F875" s="192"/>
      <c r="G875" s="192"/>
      <c r="H875" s="192"/>
      <c r="I875" s="192"/>
      <c r="J875" s="193"/>
      <c r="K875" s="192"/>
      <c r="L875" s="190"/>
      <c r="M875" s="194"/>
      <c r="N875" s="194"/>
      <c r="O875" s="194"/>
      <c r="P875" s="194"/>
      <c r="Q875" s="194"/>
      <c r="R875" s="194"/>
      <c r="S875" s="195"/>
      <c r="T875" s="195"/>
      <c r="U875" s="195"/>
      <c r="V875" s="191"/>
      <c r="W875" s="192"/>
      <c r="X875" s="192"/>
      <c r="Y875" s="192"/>
      <c r="Z875" s="191"/>
      <c r="AA875" s="191"/>
      <c r="AB875" s="193"/>
      <c r="AC875" s="193"/>
      <c r="AD875" s="191"/>
      <c r="AE875" s="194"/>
      <c r="AF875" s="194"/>
      <c r="AG875" s="194"/>
      <c r="AH875" s="194"/>
      <c r="AI875" s="190"/>
    </row>
    <row r="876" ht="16.5" customHeight="1">
      <c r="A876" s="190"/>
      <c r="B876" s="191"/>
      <c r="C876" s="191"/>
      <c r="D876" s="191"/>
      <c r="E876" s="192"/>
      <c r="F876" s="192"/>
      <c r="G876" s="192"/>
      <c r="H876" s="192"/>
      <c r="I876" s="192"/>
      <c r="J876" s="193"/>
      <c r="K876" s="192"/>
      <c r="L876" s="190"/>
      <c r="M876" s="194"/>
      <c r="N876" s="194"/>
      <c r="O876" s="194"/>
      <c r="P876" s="194"/>
      <c r="Q876" s="194"/>
      <c r="R876" s="194"/>
      <c r="S876" s="195"/>
      <c r="T876" s="195"/>
      <c r="U876" s="195"/>
      <c r="V876" s="191"/>
      <c r="W876" s="192"/>
      <c r="X876" s="192"/>
      <c r="Y876" s="192"/>
      <c r="Z876" s="191"/>
      <c r="AA876" s="191"/>
      <c r="AB876" s="193"/>
      <c r="AC876" s="193"/>
      <c r="AD876" s="191"/>
      <c r="AE876" s="194"/>
      <c r="AF876" s="194"/>
      <c r="AG876" s="194"/>
      <c r="AH876" s="194"/>
      <c r="AI876" s="190"/>
    </row>
    <row r="877" ht="16.5" customHeight="1">
      <c r="A877" s="190"/>
      <c r="B877" s="191"/>
      <c r="C877" s="191"/>
      <c r="D877" s="191"/>
      <c r="E877" s="192"/>
      <c r="F877" s="192"/>
      <c r="G877" s="192"/>
      <c r="H877" s="192"/>
      <c r="I877" s="192"/>
      <c r="J877" s="193"/>
      <c r="K877" s="192"/>
      <c r="L877" s="190"/>
      <c r="M877" s="194"/>
      <c r="N877" s="194"/>
      <c r="O877" s="194"/>
      <c r="P877" s="194"/>
      <c r="Q877" s="194"/>
      <c r="R877" s="194"/>
      <c r="S877" s="195"/>
      <c r="T877" s="195"/>
      <c r="U877" s="195"/>
      <c r="V877" s="191"/>
      <c r="W877" s="192"/>
      <c r="X877" s="192"/>
      <c r="Y877" s="192"/>
      <c r="Z877" s="191"/>
      <c r="AA877" s="191"/>
      <c r="AB877" s="193"/>
      <c r="AC877" s="193"/>
      <c r="AD877" s="191"/>
      <c r="AE877" s="194"/>
      <c r="AF877" s="194"/>
      <c r="AG877" s="194"/>
      <c r="AH877" s="194"/>
      <c r="AI877" s="190"/>
    </row>
    <row r="878" ht="16.5" customHeight="1">
      <c r="A878" s="190"/>
      <c r="B878" s="191"/>
      <c r="C878" s="191"/>
      <c r="D878" s="191"/>
      <c r="E878" s="192"/>
      <c r="F878" s="192"/>
      <c r="G878" s="192"/>
      <c r="H878" s="192"/>
      <c r="I878" s="192"/>
      <c r="J878" s="193"/>
      <c r="K878" s="192"/>
      <c r="L878" s="190"/>
      <c r="M878" s="194"/>
      <c r="N878" s="194"/>
      <c r="O878" s="194"/>
      <c r="P878" s="194"/>
      <c r="Q878" s="194"/>
      <c r="R878" s="194"/>
      <c r="S878" s="195"/>
      <c r="T878" s="195"/>
      <c r="U878" s="195"/>
      <c r="V878" s="191"/>
      <c r="W878" s="192"/>
      <c r="X878" s="192"/>
      <c r="Y878" s="192"/>
      <c r="Z878" s="191"/>
      <c r="AA878" s="191"/>
      <c r="AB878" s="193"/>
      <c r="AC878" s="193"/>
      <c r="AD878" s="191"/>
      <c r="AE878" s="194"/>
      <c r="AF878" s="194"/>
      <c r="AG878" s="194"/>
      <c r="AH878" s="194"/>
      <c r="AI878" s="190"/>
    </row>
    <row r="879" ht="16.5" customHeight="1">
      <c r="A879" s="190"/>
      <c r="B879" s="191"/>
      <c r="C879" s="191"/>
      <c r="D879" s="191"/>
      <c r="E879" s="192"/>
      <c r="F879" s="192"/>
      <c r="G879" s="192"/>
      <c r="H879" s="192"/>
      <c r="I879" s="192"/>
      <c r="J879" s="193"/>
      <c r="K879" s="192"/>
      <c r="L879" s="190"/>
      <c r="M879" s="194"/>
      <c r="N879" s="194"/>
      <c r="O879" s="194"/>
      <c r="P879" s="194"/>
      <c r="Q879" s="194"/>
      <c r="R879" s="194"/>
      <c r="S879" s="195"/>
      <c r="T879" s="195"/>
      <c r="U879" s="195"/>
      <c r="V879" s="191"/>
      <c r="W879" s="192"/>
      <c r="X879" s="192"/>
      <c r="Y879" s="192"/>
      <c r="Z879" s="191"/>
      <c r="AA879" s="191"/>
      <c r="AB879" s="193"/>
      <c r="AC879" s="193"/>
      <c r="AD879" s="191"/>
      <c r="AE879" s="194"/>
      <c r="AF879" s="194"/>
      <c r="AG879" s="194"/>
      <c r="AH879" s="194"/>
      <c r="AI879" s="190"/>
    </row>
    <row r="880" ht="16.5" customHeight="1">
      <c r="A880" s="190"/>
      <c r="B880" s="191"/>
      <c r="C880" s="191"/>
      <c r="D880" s="191"/>
      <c r="E880" s="192"/>
      <c r="F880" s="192"/>
      <c r="G880" s="192"/>
      <c r="H880" s="192"/>
      <c r="I880" s="192"/>
      <c r="J880" s="193"/>
      <c r="K880" s="192"/>
      <c r="L880" s="190"/>
      <c r="M880" s="194"/>
      <c r="N880" s="194"/>
      <c r="O880" s="194"/>
      <c r="P880" s="194"/>
      <c r="Q880" s="194"/>
      <c r="R880" s="194"/>
      <c r="S880" s="195"/>
      <c r="T880" s="195"/>
      <c r="U880" s="195"/>
      <c r="V880" s="191"/>
      <c r="W880" s="192"/>
      <c r="X880" s="192"/>
      <c r="Y880" s="192"/>
      <c r="Z880" s="191"/>
      <c r="AA880" s="191"/>
      <c r="AB880" s="193"/>
      <c r="AC880" s="193"/>
      <c r="AD880" s="191"/>
      <c r="AE880" s="194"/>
      <c r="AF880" s="194"/>
      <c r="AG880" s="194"/>
      <c r="AH880" s="194"/>
      <c r="AI880" s="190"/>
    </row>
    <row r="881" ht="16.5" customHeight="1">
      <c r="A881" s="190"/>
      <c r="B881" s="191"/>
      <c r="C881" s="191"/>
      <c r="D881" s="191"/>
      <c r="E881" s="192"/>
      <c r="F881" s="192"/>
      <c r="G881" s="192"/>
      <c r="H881" s="192"/>
      <c r="I881" s="192"/>
      <c r="J881" s="193"/>
      <c r="K881" s="192"/>
      <c r="L881" s="190"/>
      <c r="M881" s="194"/>
      <c r="N881" s="194"/>
      <c r="O881" s="194"/>
      <c r="P881" s="194"/>
      <c r="Q881" s="194"/>
      <c r="R881" s="194"/>
      <c r="S881" s="195"/>
      <c r="T881" s="195"/>
      <c r="U881" s="195"/>
      <c r="V881" s="191"/>
      <c r="W881" s="192"/>
      <c r="X881" s="192"/>
      <c r="Y881" s="192"/>
      <c r="Z881" s="191"/>
      <c r="AA881" s="191"/>
      <c r="AB881" s="193"/>
      <c r="AC881" s="193"/>
      <c r="AD881" s="191"/>
      <c r="AE881" s="194"/>
      <c r="AF881" s="194"/>
      <c r="AG881" s="194"/>
      <c r="AH881" s="194"/>
      <c r="AI881" s="190"/>
    </row>
    <row r="882" ht="16.5" customHeight="1">
      <c r="A882" s="190"/>
      <c r="B882" s="191"/>
      <c r="C882" s="191"/>
      <c r="D882" s="191"/>
      <c r="E882" s="192"/>
      <c r="F882" s="192"/>
      <c r="G882" s="192"/>
      <c r="H882" s="192"/>
      <c r="I882" s="192"/>
      <c r="J882" s="193"/>
      <c r="K882" s="192"/>
      <c r="L882" s="190"/>
      <c r="M882" s="194"/>
      <c r="N882" s="194"/>
      <c r="O882" s="194"/>
      <c r="P882" s="194"/>
      <c r="Q882" s="194"/>
      <c r="R882" s="194"/>
      <c r="S882" s="195"/>
      <c r="T882" s="195"/>
      <c r="U882" s="195"/>
      <c r="V882" s="191"/>
      <c r="W882" s="192"/>
      <c r="X882" s="192"/>
      <c r="Y882" s="192"/>
      <c r="Z882" s="191"/>
      <c r="AA882" s="191"/>
      <c r="AB882" s="193"/>
      <c r="AC882" s="193"/>
      <c r="AD882" s="191"/>
      <c r="AE882" s="194"/>
      <c r="AF882" s="194"/>
      <c r="AG882" s="194"/>
      <c r="AH882" s="194"/>
      <c r="AI882" s="190"/>
    </row>
    <row r="883" ht="16.5" customHeight="1">
      <c r="A883" s="190"/>
      <c r="B883" s="191"/>
      <c r="C883" s="191"/>
      <c r="D883" s="191"/>
      <c r="E883" s="192"/>
      <c r="F883" s="192"/>
      <c r="G883" s="192"/>
      <c r="H883" s="192"/>
      <c r="I883" s="192"/>
      <c r="J883" s="193"/>
      <c r="K883" s="192"/>
      <c r="L883" s="190"/>
      <c r="M883" s="194"/>
      <c r="N883" s="194"/>
      <c r="O883" s="194"/>
      <c r="P883" s="194"/>
      <c r="Q883" s="194"/>
      <c r="R883" s="194"/>
      <c r="S883" s="195"/>
      <c r="T883" s="195"/>
      <c r="U883" s="195"/>
      <c r="V883" s="191"/>
      <c r="W883" s="192"/>
      <c r="X883" s="192"/>
      <c r="Y883" s="192"/>
      <c r="Z883" s="191"/>
      <c r="AA883" s="191"/>
      <c r="AB883" s="193"/>
      <c r="AC883" s="193"/>
      <c r="AD883" s="191"/>
      <c r="AE883" s="194"/>
      <c r="AF883" s="194"/>
      <c r="AG883" s="194"/>
      <c r="AH883" s="194"/>
      <c r="AI883" s="190"/>
    </row>
    <row r="884" ht="16.5" customHeight="1">
      <c r="A884" s="190"/>
      <c r="B884" s="191"/>
      <c r="C884" s="191"/>
      <c r="D884" s="191"/>
      <c r="E884" s="192"/>
      <c r="F884" s="192"/>
      <c r="G884" s="192"/>
      <c r="H884" s="192"/>
      <c r="I884" s="192"/>
      <c r="J884" s="193"/>
      <c r="K884" s="192"/>
      <c r="L884" s="190"/>
      <c r="M884" s="194"/>
      <c r="N884" s="194"/>
      <c r="O884" s="194"/>
      <c r="P884" s="194"/>
      <c r="Q884" s="194"/>
      <c r="R884" s="194"/>
      <c r="S884" s="195"/>
      <c r="T884" s="195"/>
      <c r="U884" s="195"/>
      <c r="V884" s="191"/>
      <c r="W884" s="192"/>
      <c r="X884" s="192"/>
      <c r="Y884" s="192"/>
      <c r="Z884" s="191"/>
      <c r="AA884" s="191"/>
      <c r="AB884" s="193"/>
      <c r="AC884" s="193"/>
      <c r="AD884" s="191"/>
      <c r="AE884" s="194"/>
      <c r="AF884" s="194"/>
      <c r="AG884" s="194"/>
      <c r="AH884" s="194"/>
      <c r="AI884" s="190"/>
    </row>
    <row r="885" ht="16.5" customHeight="1">
      <c r="A885" s="190"/>
      <c r="B885" s="191"/>
      <c r="C885" s="191"/>
      <c r="D885" s="191"/>
      <c r="E885" s="192"/>
      <c r="F885" s="192"/>
      <c r="G885" s="192"/>
      <c r="H885" s="192"/>
      <c r="I885" s="192"/>
      <c r="J885" s="193"/>
      <c r="K885" s="192"/>
      <c r="L885" s="190"/>
      <c r="M885" s="194"/>
      <c r="N885" s="194"/>
      <c r="O885" s="194"/>
      <c r="P885" s="194"/>
      <c r="Q885" s="194"/>
      <c r="R885" s="194"/>
      <c r="S885" s="195"/>
      <c r="T885" s="195"/>
      <c r="U885" s="195"/>
      <c r="V885" s="191"/>
      <c r="W885" s="192"/>
      <c r="X885" s="192"/>
      <c r="Y885" s="192"/>
      <c r="Z885" s="191"/>
      <c r="AA885" s="191"/>
      <c r="AB885" s="193"/>
      <c r="AC885" s="193"/>
      <c r="AD885" s="191"/>
      <c r="AE885" s="194"/>
      <c r="AF885" s="194"/>
      <c r="AG885" s="194"/>
      <c r="AH885" s="194"/>
      <c r="AI885" s="190"/>
    </row>
    <row r="886" ht="16.5" customHeight="1">
      <c r="A886" s="190"/>
      <c r="B886" s="191"/>
      <c r="C886" s="191"/>
      <c r="D886" s="191"/>
      <c r="E886" s="192"/>
      <c r="F886" s="192"/>
      <c r="G886" s="192"/>
      <c r="H886" s="192"/>
      <c r="I886" s="192"/>
      <c r="J886" s="193"/>
      <c r="K886" s="192"/>
      <c r="L886" s="190"/>
      <c r="M886" s="194"/>
      <c r="N886" s="194"/>
      <c r="O886" s="194"/>
      <c r="P886" s="194"/>
      <c r="Q886" s="194"/>
      <c r="R886" s="194"/>
      <c r="S886" s="195"/>
      <c r="T886" s="195"/>
      <c r="U886" s="195"/>
      <c r="V886" s="191"/>
      <c r="W886" s="192"/>
      <c r="X886" s="192"/>
      <c r="Y886" s="192"/>
      <c r="Z886" s="191"/>
      <c r="AA886" s="191"/>
      <c r="AB886" s="193"/>
      <c r="AC886" s="193"/>
      <c r="AD886" s="191"/>
      <c r="AE886" s="194"/>
      <c r="AF886" s="194"/>
      <c r="AG886" s="194"/>
      <c r="AH886" s="194"/>
      <c r="AI886" s="190"/>
    </row>
    <row r="887" ht="16.5" customHeight="1">
      <c r="A887" s="190"/>
      <c r="B887" s="191"/>
      <c r="C887" s="191"/>
      <c r="D887" s="191"/>
      <c r="E887" s="192"/>
      <c r="F887" s="192"/>
      <c r="G887" s="192"/>
      <c r="H887" s="192"/>
      <c r="I887" s="192"/>
      <c r="J887" s="193"/>
      <c r="K887" s="192"/>
      <c r="L887" s="190"/>
      <c r="M887" s="194"/>
      <c r="N887" s="194"/>
      <c r="O887" s="194"/>
      <c r="P887" s="194"/>
      <c r="Q887" s="194"/>
      <c r="R887" s="194"/>
      <c r="S887" s="195"/>
      <c r="T887" s="195"/>
      <c r="U887" s="195"/>
      <c r="V887" s="191"/>
      <c r="W887" s="192"/>
      <c r="X887" s="192"/>
      <c r="Y887" s="192"/>
      <c r="Z887" s="191"/>
      <c r="AA887" s="191"/>
      <c r="AB887" s="193"/>
      <c r="AC887" s="193"/>
      <c r="AD887" s="191"/>
      <c r="AE887" s="194"/>
      <c r="AF887" s="194"/>
      <c r="AG887" s="194"/>
      <c r="AH887" s="194"/>
      <c r="AI887" s="190"/>
    </row>
    <row r="888" ht="16.5" customHeight="1">
      <c r="A888" s="190"/>
      <c r="B888" s="191"/>
      <c r="C888" s="191"/>
      <c r="D888" s="191"/>
      <c r="E888" s="192"/>
      <c r="F888" s="192"/>
      <c r="G888" s="192"/>
      <c r="H888" s="192"/>
      <c r="I888" s="192"/>
      <c r="J888" s="193"/>
      <c r="K888" s="192"/>
      <c r="L888" s="190"/>
      <c r="M888" s="194"/>
      <c r="N888" s="194"/>
      <c r="O888" s="194"/>
      <c r="P888" s="194"/>
      <c r="Q888" s="194"/>
      <c r="R888" s="194"/>
      <c r="S888" s="195"/>
      <c r="T888" s="195"/>
      <c r="U888" s="195"/>
      <c r="V888" s="191"/>
      <c r="W888" s="192"/>
      <c r="X888" s="192"/>
      <c r="Y888" s="192"/>
      <c r="Z888" s="191"/>
      <c r="AA888" s="191"/>
      <c r="AB888" s="193"/>
      <c r="AC888" s="193"/>
      <c r="AD888" s="191"/>
      <c r="AE888" s="194"/>
      <c r="AF888" s="194"/>
      <c r="AG888" s="194"/>
      <c r="AH888" s="194"/>
      <c r="AI888" s="190"/>
    </row>
    <row r="889" ht="16.5" customHeight="1">
      <c r="A889" s="190"/>
      <c r="B889" s="191"/>
      <c r="C889" s="191"/>
      <c r="D889" s="191"/>
      <c r="E889" s="192"/>
      <c r="F889" s="192"/>
      <c r="G889" s="192"/>
      <c r="H889" s="192"/>
      <c r="I889" s="192"/>
      <c r="J889" s="193"/>
      <c r="K889" s="192"/>
      <c r="L889" s="190"/>
      <c r="M889" s="194"/>
      <c r="N889" s="194"/>
      <c r="O889" s="194"/>
      <c r="P889" s="194"/>
      <c r="Q889" s="194"/>
      <c r="R889" s="194"/>
      <c r="S889" s="195"/>
      <c r="T889" s="195"/>
      <c r="U889" s="195"/>
      <c r="V889" s="191"/>
      <c r="W889" s="192"/>
      <c r="X889" s="192"/>
      <c r="Y889" s="192"/>
      <c r="Z889" s="191"/>
      <c r="AA889" s="191"/>
      <c r="AB889" s="193"/>
      <c r="AC889" s="193"/>
      <c r="AD889" s="191"/>
      <c r="AE889" s="194"/>
      <c r="AF889" s="194"/>
      <c r="AG889" s="194"/>
      <c r="AH889" s="194"/>
      <c r="AI889" s="190"/>
    </row>
    <row r="890" ht="16.5" customHeight="1">
      <c r="A890" s="190"/>
      <c r="B890" s="191"/>
      <c r="C890" s="191"/>
      <c r="D890" s="191"/>
      <c r="E890" s="192"/>
      <c r="F890" s="192"/>
      <c r="G890" s="192"/>
      <c r="H890" s="192"/>
      <c r="I890" s="192"/>
      <c r="J890" s="193"/>
      <c r="K890" s="192"/>
      <c r="L890" s="190"/>
      <c r="M890" s="194"/>
      <c r="N890" s="194"/>
      <c r="O890" s="194"/>
      <c r="P890" s="194"/>
      <c r="Q890" s="194"/>
      <c r="R890" s="194"/>
      <c r="S890" s="195"/>
      <c r="T890" s="195"/>
      <c r="U890" s="195"/>
      <c r="V890" s="191"/>
      <c r="W890" s="192"/>
      <c r="X890" s="192"/>
      <c r="Y890" s="192"/>
      <c r="Z890" s="191"/>
      <c r="AA890" s="191"/>
      <c r="AB890" s="193"/>
      <c r="AC890" s="193"/>
      <c r="AD890" s="191"/>
      <c r="AE890" s="194"/>
      <c r="AF890" s="194"/>
      <c r="AG890" s="194"/>
      <c r="AH890" s="194"/>
      <c r="AI890" s="190"/>
    </row>
    <row r="891" ht="16.5" customHeight="1">
      <c r="A891" s="190"/>
      <c r="B891" s="191"/>
      <c r="C891" s="191"/>
      <c r="D891" s="191"/>
      <c r="E891" s="192"/>
      <c r="F891" s="192"/>
      <c r="G891" s="192"/>
      <c r="H891" s="192"/>
      <c r="I891" s="192"/>
      <c r="J891" s="193"/>
      <c r="K891" s="192"/>
      <c r="L891" s="190"/>
      <c r="M891" s="194"/>
      <c r="N891" s="194"/>
      <c r="O891" s="194"/>
      <c r="P891" s="194"/>
      <c r="Q891" s="194"/>
      <c r="R891" s="194"/>
      <c r="S891" s="195"/>
      <c r="T891" s="195"/>
      <c r="U891" s="195"/>
      <c r="V891" s="191"/>
      <c r="W891" s="192"/>
      <c r="X891" s="192"/>
      <c r="Y891" s="192"/>
      <c r="Z891" s="191"/>
      <c r="AA891" s="191"/>
      <c r="AB891" s="193"/>
      <c r="AC891" s="193"/>
      <c r="AD891" s="191"/>
      <c r="AE891" s="194"/>
      <c r="AF891" s="194"/>
      <c r="AG891" s="194"/>
      <c r="AH891" s="194"/>
      <c r="AI891" s="190"/>
    </row>
    <row r="892" ht="16.5" customHeight="1">
      <c r="A892" s="190"/>
      <c r="B892" s="191"/>
      <c r="C892" s="191"/>
      <c r="D892" s="191"/>
      <c r="E892" s="192"/>
      <c r="F892" s="192"/>
      <c r="G892" s="192"/>
      <c r="H892" s="192"/>
      <c r="I892" s="192"/>
      <c r="J892" s="193"/>
      <c r="K892" s="192"/>
      <c r="L892" s="190"/>
      <c r="M892" s="194"/>
      <c r="N892" s="194"/>
      <c r="O892" s="194"/>
      <c r="P892" s="194"/>
      <c r="Q892" s="194"/>
      <c r="R892" s="194"/>
      <c r="S892" s="195"/>
      <c r="T892" s="195"/>
      <c r="U892" s="195"/>
      <c r="V892" s="191"/>
      <c r="W892" s="192"/>
      <c r="X892" s="192"/>
      <c r="Y892" s="192"/>
      <c r="Z892" s="191"/>
      <c r="AA892" s="191"/>
      <c r="AB892" s="193"/>
      <c r="AC892" s="193"/>
      <c r="AD892" s="191"/>
      <c r="AE892" s="194"/>
      <c r="AF892" s="194"/>
      <c r="AG892" s="194"/>
      <c r="AH892" s="194"/>
      <c r="AI892" s="190"/>
    </row>
    <row r="893" ht="16.5" customHeight="1">
      <c r="A893" s="190"/>
      <c r="B893" s="191"/>
      <c r="C893" s="191"/>
      <c r="D893" s="191"/>
      <c r="E893" s="192"/>
      <c r="F893" s="192"/>
      <c r="G893" s="192"/>
      <c r="H893" s="192"/>
      <c r="I893" s="192"/>
      <c r="J893" s="193"/>
      <c r="K893" s="192"/>
      <c r="L893" s="190"/>
      <c r="M893" s="194"/>
      <c r="N893" s="194"/>
      <c r="O893" s="194"/>
      <c r="P893" s="194"/>
      <c r="Q893" s="194"/>
      <c r="R893" s="194"/>
      <c r="S893" s="195"/>
      <c r="T893" s="195"/>
      <c r="U893" s="195"/>
      <c r="V893" s="191"/>
      <c r="W893" s="192"/>
      <c r="X893" s="192"/>
      <c r="Y893" s="192"/>
      <c r="Z893" s="191"/>
      <c r="AA893" s="191"/>
      <c r="AB893" s="193"/>
      <c r="AC893" s="193"/>
      <c r="AD893" s="191"/>
      <c r="AE893" s="194"/>
      <c r="AF893" s="194"/>
      <c r="AG893" s="194"/>
      <c r="AH893" s="194"/>
      <c r="AI893" s="190"/>
    </row>
    <row r="894" ht="16.5" customHeight="1">
      <c r="A894" s="190"/>
      <c r="B894" s="191"/>
      <c r="C894" s="191"/>
      <c r="D894" s="191"/>
      <c r="E894" s="192"/>
      <c r="F894" s="192"/>
      <c r="G894" s="192"/>
      <c r="H894" s="192"/>
      <c r="I894" s="192"/>
      <c r="J894" s="193"/>
      <c r="K894" s="192"/>
      <c r="L894" s="190"/>
      <c r="M894" s="194"/>
      <c r="N894" s="194"/>
      <c r="O894" s="194"/>
      <c r="P894" s="194"/>
      <c r="Q894" s="194"/>
      <c r="R894" s="194"/>
      <c r="S894" s="195"/>
      <c r="T894" s="195"/>
      <c r="U894" s="195"/>
      <c r="V894" s="191"/>
      <c r="W894" s="192"/>
      <c r="X894" s="192"/>
      <c r="Y894" s="192"/>
      <c r="Z894" s="191"/>
      <c r="AA894" s="191"/>
      <c r="AB894" s="193"/>
      <c r="AC894" s="193"/>
      <c r="AD894" s="191"/>
      <c r="AE894" s="194"/>
      <c r="AF894" s="194"/>
      <c r="AG894" s="194"/>
      <c r="AH894" s="194"/>
      <c r="AI894" s="190"/>
    </row>
    <row r="895" ht="16.5" customHeight="1">
      <c r="A895" s="190"/>
      <c r="B895" s="191"/>
      <c r="C895" s="191"/>
      <c r="D895" s="191"/>
      <c r="E895" s="192"/>
      <c r="F895" s="192"/>
      <c r="G895" s="192"/>
      <c r="H895" s="192"/>
      <c r="I895" s="192"/>
      <c r="J895" s="193"/>
      <c r="K895" s="192"/>
      <c r="L895" s="190"/>
      <c r="M895" s="194"/>
      <c r="N895" s="194"/>
      <c r="O895" s="194"/>
      <c r="P895" s="194"/>
      <c r="Q895" s="194"/>
      <c r="R895" s="194"/>
      <c r="S895" s="195"/>
      <c r="T895" s="195"/>
      <c r="U895" s="195"/>
      <c r="V895" s="191"/>
      <c r="W895" s="192"/>
      <c r="X895" s="192"/>
      <c r="Y895" s="192"/>
      <c r="Z895" s="191"/>
      <c r="AA895" s="191"/>
      <c r="AB895" s="193"/>
      <c r="AC895" s="193"/>
      <c r="AD895" s="191"/>
      <c r="AE895" s="194"/>
      <c r="AF895" s="194"/>
      <c r="AG895" s="194"/>
      <c r="AH895" s="194"/>
      <c r="AI895" s="190"/>
    </row>
    <row r="896" ht="16.5" customHeight="1">
      <c r="A896" s="190"/>
      <c r="B896" s="191"/>
      <c r="C896" s="191"/>
      <c r="D896" s="191"/>
      <c r="E896" s="192"/>
      <c r="F896" s="192"/>
      <c r="G896" s="192"/>
      <c r="H896" s="192"/>
      <c r="I896" s="192"/>
      <c r="J896" s="193"/>
      <c r="K896" s="192"/>
      <c r="L896" s="190"/>
      <c r="M896" s="194"/>
      <c r="N896" s="194"/>
      <c r="O896" s="194"/>
      <c r="P896" s="194"/>
      <c r="Q896" s="194"/>
      <c r="R896" s="194"/>
      <c r="S896" s="195"/>
      <c r="T896" s="195"/>
      <c r="U896" s="195"/>
      <c r="V896" s="191"/>
      <c r="W896" s="192"/>
      <c r="X896" s="192"/>
      <c r="Y896" s="192"/>
      <c r="Z896" s="191"/>
      <c r="AA896" s="191"/>
      <c r="AB896" s="193"/>
      <c r="AC896" s="193"/>
      <c r="AD896" s="191"/>
      <c r="AE896" s="194"/>
      <c r="AF896" s="194"/>
      <c r="AG896" s="194"/>
      <c r="AH896" s="194"/>
      <c r="AI896" s="190"/>
    </row>
    <row r="897" ht="16.5" customHeight="1">
      <c r="A897" s="190"/>
      <c r="B897" s="191"/>
      <c r="C897" s="191"/>
      <c r="D897" s="191"/>
      <c r="E897" s="192"/>
      <c r="F897" s="192"/>
      <c r="G897" s="192"/>
      <c r="H897" s="192"/>
      <c r="I897" s="192"/>
      <c r="J897" s="193"/>
      <c r="K897" s="192"/>
      <c r="L897" s="190"/>
      <c r="M897" s="194"/>
      <c r="N897" s="194"/>
      <c r="O897" s="194"/>
      <c r="P897" s="194"/>
      <c r="Q897" s="194"/>
      <c r="R897" s="194"/>
      <c r="S897" s="195"/>
      <c r="T897" s="195"/>
      <c r="U897" s="195"/>
      <c r="V897" s="191"/>
      <c r="W897" s="192"/>
      <c r="X897" s="192"/>
      <c r="Y897" s="192"/>
      <c r="Z897" s="191"/>
      <c r="AA897" s="191"/>
      <c r="AB897" s="193"/>
      <c r="AC897" s="193"/>
      <c r="AD897" s="191"/>
      <c r="AE897" s="194"/>
      <c r="AF897" s="194"/>
      <c r="AG897" s="194"/>
      <c r="AH897" s="194"/>
      <c r="AI897" s="190"/>
    </row>
    <row r="898" ht="16.5" customHeight="1">
      <c r="A898" s="190"/>
      <c r="B898" s="191"/>
      <c r="C898" s="191"/>
      <c r="D898" s="191"/>
      <c r="E898" s="192"/>
      <c r="F898" s="192"/>
      <c r="G898" s="192"/>
      <c r="H898" s="192"/>
      <c r="I898" s="192"/>
      <c r="J898" s="193"/>
      <c r="K898" s="192"/>
      <c r="L898" s="190"/>
      <c r="M898" s="194"/>
      <c r="N898" s="194"/>
      <c r="O898" s="194"/>
      <c r="P898" s="194"/>
      <c r="Q898" s="194"/>
      <c r="R898" s="194"/>
      <c r="S898" s="195"/>
      <c r="T898" s="195"/>
      <c r="U898" s="195"/>
      <c r="V898" s="191"/>
      <c r="W898" s="192"/>
      <c r="X898" s="192"/>
      <c r="Y898" s="192"/>
      <c r="Z898" s="191"/>
      <c r="AA898" s="191"/>
      <c r="AB898" s="193"/>
      <c r="AC898" s="193"/>
      <c r="AD898" s="191"/>
      <c r="AE898" s="194"/>
      <c r="AF898" s="194"/>
      <c r="AG898" s="194"/>
      <c r="AH898" s="194"/>
      <c r="AI898" s="190"/>
    </row>
    <row r="899" ht="16.5" customHeight="1">
      <c r="A899" s="190"/>
      <c r="B899" s="191"/>
      <c r="C899" s="191"/>
      <c r="D899" s="191"/>
      <c r="E899" s="192"/>
      <c r="F899" s="192"/>
      <c r="G899" s="192"/>
      <c r="H899" s="192"/>
      <c r="I899" s="192"/>
      <c r="J899" s="193"/>
      <c r="K899" s="192"/>
      <c r="L899" s="190"/>
      <c r="M899" s="194"/>
      <c r="N899" s="194"/>
      <c r="O899" s="194"/>
      <c r="P899" s="194"/>
      <c r="Q899" s="194"/>
      <c r="R899" s="194"/>
      <c r="S899" s="195"/>
      <c r="T899" s="195"/>
      <c r="U899" s="195"/>
      <c r="V899" s="191"/>
      <c r="W899" s="192"/>
      <c r="X899" s="192"/>
      <c r="Y899" s="192"/>
      <c r="Z899" s="191"/>
      <c r="AA899" s="191"/>
      <c r="AB899" s="193"/>
      <c r="AC899" s="193"/>
      <c r="AD899" s="191"/>
      <c r="AE899" s="194"/>
      <c r="AF899" s="194"/>
      <c r="AG899" s="194"/>
      <c r="AH899" s="194"/>
      <c r="AI899" s="190"/>
    </row>
    <row r="900" ht="16.5" customHeight="1">
      <c r="A900" s="190"/>
      <c r="B900" s="191"/>
      <c r="C900" s="191"/>
      <c r="D900" s="191"/>
      <c r="E900" s="192"/>
      <c r="F900" s="192"/>
      <c r="G900" s="192"/>
      <c r="H900" s="192"/>
      <c r="I900" s="192"/>
      <c r="J900" s="193"/>
      <c r="K900" s="192"/>
      <c r="L900" s="190"/>
      <c r="M900" s="194"/>
      <c r="N900" s="194"/>
      <c r="O900" s="194"/>
      <c r="P900" s="194"/>
      <c r="Q900" s="194"/>
      <c r="R900" s="194"/>
      <c r="S900" s="195"/>
      <c r="T900" s="195"/>
      <c r="U900" s="195"/>
      <c r="V900" s="191"/>
      <c r="W900" s="192"/>
      <c r="X900" s="192"/>
      <c r="Y900" s="192"/>
      <c r="Z900" s="191"/>
      <c r="AA900" s="191"/>
      <c r="AB900" s="193"/>
      <c r="AC900" s="193"/>
      <c r="AD900" s="191"/>
      <c r="AE900" s="194"/>
      <c r="AF900" s="194"/>
      <c r="AG900" s="194"/>
      <c r="AH900" s="194"/>
      <c r="AI900" s="190"/>
    </row>
    <row r="901" ht="16.5" customHeight="1">
      <c r="A901" s="190"/>
      <c r="B901" s="191"/>
      <c r="C901" s="191"/>
      <c r="D901" s="191"/>
      <c r="E901" s="192"/>
      <c r="F901" s="192"/>
      <c r="G901" s="192"/>
      <c r="H901" s="192"/>
      <c r="I901" s="192"/>
      <c r="J901" s="193"/>
      <c r="K901" s="192"/>
      <c r="L901" s="190"/>
      <c r="M901" s="194"/>
      <c r="N901" s="194"/>
      <c r="O901" s="194"/>
      <c r="P901" s="194"/>
      <c r="Q901" s="194"/>
      <c r="R901" s="194"/>
      <c r="S901" s="195"/>
      <c r="T901" s="195"/>
      <c r="U901" s="195"/>
      <c r="V901" s="191"/>
      <c r="W901" s="192"/>
      <c r="X901" s="192"/>
      <c r="Y901" s="192"/>
      <c r="Z901" s="191"/>
      <c r="AA901" s="191"/>
      <c r="AB901" s="193"/>
      <c r="AC901" s="193"/>
      <c r="AD901" s="191"/>
      <c r="AE901" s="194"/>
      <c r="AF901" s="194"/>
      <c r="AG901" s="194"/>
      <c r="AH901" s="194"/>
      <c r="AI901" s="190"/>
    </row>
    <row r="902" ht="16.5" customHeight="1">
      <c r="A902" s="190"/>
      <c r="B902" s="191"/>
      <c r="C902" s="191"/>
      <c r="D902" s="191"/>
      <c r="E902" s="192"/>
      <c r="F902" s="192"/>
      <c r="G902" s="192"/>
      <c r="H902" s="192"/>
      <c r="I902" s="192"/>
      <c r="J902" s="193"/>
      <c r="K902" s="192"/>
      <c r="L902" s="190"/>
      <c r="M902" s="194"/>
      <c r="N902" s="194"/>
      <c r="O902" s="194"/>
      <c r="P902" s="194"/>
      <c r="Q902" s="194"/>
      <c r="R902" s="194"/>
      <c r="S902" s="195"/>
      <c r="T902" s="195"/>
      <c r="U902" s="195"/>
      <c r="V902" s="191"/>
      <c r="W902" s="192"/>
      <c r="X902" s="192"/>
      <c r="Y902" s="192"/>
      <c r="Z902" s="191"/>
      <c r="AA902" s="191"/>
      <c r="AB902" s="193"/>
      <c r="AC902" s="193"/>
      <c r="AD902" s="191"/>
      <c r="AE902" s="194"/>
      <c r="AF902" s="194"/>
      <c r="AG902" s="194"/>
      <c r="AH902" s="194"/>
      <c r="AI902" s="190"/>
    </row>
    <row r="903" ht="16.5" customHeight="1">
      <c r="A903" s="190"/>
      <c r="B903" s="191"/>
      <c r="C903" s="191"/>
      <c r="D903" s="191"/>
      <c r="E903" s="192"/>
      <c r="F903" s="192"/>
      <c r="G903" s="192"/>
      <c r="H903" s="192"/>
      <c r="I903" s="192"/>
      <c r="J903" s="193"/>
      <c r="K903" s="192"/>
      <c r="L903" s="190"/>
      <c r="M903" s="194"/>
      <c r="N903" s="194"/>
      <c r="O903" s="194"/>
      <c r="P903" s="194"/>
      <c r="Q903" s="194"/>
      <c r="R903" s="194"/>
      <c r="S903" s="195"/>
      <c r="T903" s="195"/>
      <c r="U903" s="195"/>
      <c r="V903" s="191"/>
      <c r="W903" s="192"/>
      <c r="X903" s="192"/>
      <c r="Y903" s="192"/>
      <c r="Z903" s="191"/>
      <c r="AA903" s="191"/>
      <c r="AB903" s="193"/>
      <c r="AC903" s="193"/>
      <c r="AD903" s="191"/>
      <c r="AE903" s="194"/>
      <c r="AF903" s="194"/>
      <c r="AG903" s="194"/>
      <c r="AH903" s="194"/>
      <c r="AI903" s="190"/>
    </row>
    <row r="904" ht="16.5" customHeight="1">
      <c r="A904" s="190"/>
      <c r="B904" s="191"/>
      <c r="C904" s="191"/>
      <c r="D904" s="191"/>
      <c r="E904" s="192"/>
      <c r="F904" s="192"/>
      <c r="G904" s="192"/>
      <c r="H904" s="192"/>
      <c r="I904" s="192"/>
      <c r="J904" s="193"/>
      <c r="K904" s="192"/>
      <c r="L904" s="190"/>
      <c r="M904" s="194"/>
      <c r="N904" s="194"/>
      <c r="O904" s="194"/>
      <c r="P904" s="194"/>
      <c r="Q904" s="194"/>
      <c r="R904" s="194"/>
      <c r="S904" s="195"/>
      <c r="T904" s="195"/>
      <c r="U904" s="195"/>
      <c r="V904" s="191"/>
      <c r="W904" s="192"/>
      <c r="X904" s="192"/>
      <c r="Y904" s="192"/>
      <c r="Z904" s="191"/>
      <c r="AA904" s="191"/>
      <c r="AB904" s="193"/>
      <c r="AC904" s="193"/>
      <c r="AD904" s="191"/>
      <c r="AE904" s="194"/>
      <c r="AF904" s="194"/>
      <c r="AG904" s="194"/>
      <c r="AH904" s="194"/>
      <c r="AI904" s="190"/>
    </row>
    <row r="905" ht="16.5" customHeight="1">
      <c r="A905" s="190"/>
      <c r="B905" s="191"/>
      <c r="C905" s="191"/>
      <c r="D905" s="191"/>
      <c r="E905" s="192"/>
      <c r="F905" s="192"/>
      <c r="G905" s="192"/>
      <c r="H905" s="192"/>
      <c r="I905" s="192"/>
      <c r="J905" s="193"/>
      <c r="K905" s="192"/>
      <c r="L905" s="190"/>
      <c r="M905" s="194"/>
      <c r="N905" s="194"/>
      <c r="O905" s="194"/>
      <c r="P905" s="194"/>
      <c r="Q905" s="194"/>
      <c r="R905" s="194"/>
      <c r="S905" s="195"/>
      <c r="T905" s="195"/>
      <c r="U905" s="195"/>
      <c r="V905" s="191"/>
      <c r="W905" s="192"/>
      <c r="X905" s="192"/>
      <c r="Y905" s="192"/>
      <c r="Z905" s="191"/>
      <c r="AA905" s="191"/>
      <c r="AB905" s="193"/>
      <c r="AC905" s="193"/>
      <c r="AD905" s="191"/>
      <c r="AE905" s="194"/>
      <c r="AF905" s="194"/>
      <c r="AG905" s="194"/>
      <c r="AH905" s="194"/>
      <c r="AI905" s="190"/>
    </row>
    <row r="906" ht="16.5" customHeight="1">
      <c r="A906" s="190"/>
      <c r="B906" s="191"/>
      <c r="C906" s="191"/>
      <c r="D906" s="191"/>
      <c r="E906" s="192"/>
      <c r="F906" s="192"/>
      <c r="G906" s="192"/>
      <c r="H906" s="192"/>
      <c r="I906" s="192"/>
      <c r="J906" s="193"/>
      <c r="K906" s="192"/>
      <c r="L906" s="190"/>
      <c r="M906" s="194"/>
      <c r="N906" s="194"/>
      <c r="O906" s="194"/>
      <c r="P906" s="194"/>
      <c r="Q906" s="194"/>
      <c r="R906" s="194"/>
      <c r="S906" s="195"/>
      <c r="T906" s="195"/>
      <c r="U906" s="195"/>
      <c r="V906" s="191"/>
      <c r="W906" s="192"/>
      <c r="X906" s="192"/>
      <c r="Y906" s="192"/>
      <c r="Z906" s="191"/>
      <c r="AA906" s="191"/>
      <c r="AB906" s="193"/>
      <c r="AC906" s="193"/>
      <c r="AD906" s="191"/>
      <c r="AE906" s="194"/>
      <c r="AF906" s="194"/>
      <c r="AG906" s="194"/>
      <c r="AH906" s="194"/>
      <c r="AI906" s="190"/>
    </row>
    <row r="907" ht="16.5" customHeight="1">
      <c r="A907" s="190"/>
      <c r="B907" s="191"/>
      <c r="C907" s="191"/>
      <c r="D907" s="191"/>
      <c r="E907" s="192"/>
      <c r="F907" s="192"/>
      <c r="G907" s="192"/>
      <c r="H907" s="192"/>
      <c r="I907" s="192"/>
      <c r="J907" s="193"/>
      <c r="K907" s="192"/>
      <c r="L907" s="190"/>
      <c r="M907" s="194"/>
      <c r="N907" s="194"/>
      <c r="O907" s="194"/>
      <c r="P907" s="194"/>
      <c r="Q907" s="194"/>
      <c r="R907" s="194"/>
      <c r="S907" s="195"/>
      <c r="T907" s="195"/>
      <c r="U907" s="195"/>
      <c r="V907" s="191"/>
      <c r="W907" s="192"/>
      <c r="X907" s="192"/>
      <c r="Y907" s="192"/>
      <c r="Z907" s="191"/>
      <c r="AA907" s="191"/>
      <c r="AB907" s="193"/>
      <c r="AC907" s="193"/>
      <c r="AD907" s="191"/>
      <c r="AE907" s="194"/>
      <c r="AF907" s="194"/>
      <c r="AG907" s="194"/>
      <c r="AH907" s="194"/>
      <c r="AI907" s="190"/>
    </row>
    <row r="908" ht="16.5" customHeight="1">
      <c r="A908" s="190"/>
      <c r="B908" s="191"/>
      <c r="C908" s="191"/>
      <c r="D908" s="191"/>
      <c r="E908" s="192"/>
      <c r="F908" s="192"/>
      <c r="G908" s="192"/>
      <c r="H908" s="192"/>
      <c r="I908" s="192"/>
      <c r="J908" s="193"/>
      <c r="K908" s="192"/>
      <c r="L908" s="190"/>
      <c r="M908" s="194"/>
      <c r="N908" s="194"/>
      <c r="O908" s="194"/>
      <c r="P908" s="194"/>
      <c r="Q908" s="194"/>
      <c r="R908" s="194"/>
      <c r="S908" s="195"/>
      <c r="T908" s="195"/>
      <c r="U908" s="195"/>
      <c r="V908" s="191"/>
      <c r="W908" s="192"/>
      <c r="X908" s="192"/>
      <c r="Y908" s="192"/>
      <c r="Z908" s="191"/>
      <c r="AA908" s="191"/>
      <c r="AB908" s="193"/>
      <c r="AC908" s="193"/>
      <c r="AD908" s="191"/>
      <c r="AE908" s="194"/>
      <c r="AF908" s="194"/>
      <c r="AG908" s="194"/>
      <c r="AH908" s="194"/>
      <c r="AI908" s="190"/>
    </row>
    <row r="909" ht="16.5" customHeight="1">
      <c r="A909" s="190"/>
      <c r="B909" s="191"/>
      <c r="C909" s="191"/>
      <c r="D909" s="191"/>
      <c r="E909" s="192"/>
      <c r="F909" s="192"/>
      <c r="G909" s="192"/>
      <c r="H909" s="192"/>
      <c r="I909" s="192"/>
      <c r="J909" s="193"/>
      <c r="K909" s="192"/>
      <c r="L909" s="190"/>
      <c r="M909" s="194"/>
      <c r="N909" s="194"/>
      <c r="O909" s="194"/>
      <c r="P909" s="194"/>
      <c r="Q909" s="194"/>
      <c r="R909" s="194"/>
      <c r="S909" s="195"/>
      <c r="T909" s="195"/>
      <c r="U909" s="195"/>
      <c r="V909" s="191"/>
      <c r="W909" s="192"/>
      <c r="X909" s="192"/>
      <c r="Y909" s="192"/>
      <c r="Z909" s="191"/>
      <c r="AA909" s="191"/>
      <c r="AB909" s="193"/>
      <c r="AC909" s="193"/>
      <c r="AD909" s="191"/>
      <c r="AE909" s="194"/>
      <c r="AF909" s="194"/>
      <c r="AG909" s="194"/>
      <c r="AH909" s="194"/>
      <c r="AI909" s="190"/>
    </row>
    <row r="910" ht="16.5" customHeight="1">
      <c r="A910" s="190"/>
      <c r="B910" s="191"/>
      <c r="C910" s="191"/>
      <c r="D910" s="191"/>
      <c r="E910" s="192"/>
      <c r="F910" s="192"/>
      <c r="G910" s="192"/>
      <c r="H910" s="192"/>
      <c r="I910" s="192"/>
      <c r="J910" s="193"/>
      <c r="K910" s="192"/>
      <c r="L910" s="190"/>
      <c r="M910" s="194"/>
      <c r="N910" s="194"/>
      <c r="O910" s="194"/>
      <c r="P910" s="194"/>
      <c r="Q910" s="194"/>
      <c r="R910" s="194"/>
      <c r="S910" s="195"/>
      <c r="T910" s="195"/>
      <c r="U910" s="195"/>
      <c r="V910" s="191"/>
      <c r="W910" s="192"/>
      <c r="X910" s="192"/>
      <c r="Y910" s="192"/>
      <c r="Z910" s="191"/>
      <c r="AA910" s="191"/>
      <c r="AB910" s="193"/>
      <c r="AC910" s="193"/>
      <c r="AD910" s="191"/>
      <c r="AE910" s="194"/>
      <c r="AF910" s="194"/>
      <c r="AG910" s="194"/>
      <c r="AH910" s="194"/>
      <c r="AI910" s="190"/>
    </row>
    <row r="911" ht="16.5" customHeight="1">
      <c r="A911" s="190"/>
      <c r="B911" s="191"/>
      <c r="C911" s="191"/>
      <c r="D911" s="191"/>
      <c r="E911" s="192"/>
      <c r="F911" s="192"/>
      <c r="G911" s="192"/>
      <c r="H911" s="192"/>
      <c r="I911" s="192"/>
      <c r="J911" s="193"/>
      <c r="K911" s="192"/>
      <c r="L911" s="190"/>
      <c r="M911" s="194"/>
      <c r="N911" s="194"/>
      <c r="O911" s="194"/>
      <c r="P911" s="194"/>
      <c r="Q911" s="194"/>
      <c r="R911" s="194"/>
      <c r="S911" s="195"/>
      <c r="T911" s="195"/>
      <c r="U911" s="195"/>
      <c r="V911" s="191"/>
      <c r="W911" s="192"/>
      <c r="X911" s="192"/>
      <c r="Y911" s="192"/>
      <c r="Z911" s="191"/>
      <c r="AA911" s="191"/>
      <c r="AB911" s="193"/>
      <c r="AC911" s="193"/>
      <c r="AD911" s="191"/>
      <c r="AE911" s="194"/>
      <c r="AF911" s="194"/>
      <c r="AG911" s="194"/>
      <c r="AH911" s="194"/>
      <c r="AI911" s="190"/>
    </row>
    <row r="912" ht="16.5" customHeight="1">
      <c r="A912" s="190"/>
      <c r="B912" s="191"/>
      <c r="C912" s="191"/>
      <c r="D912" s="191"/>
      <c r="E912" s="192"/>
      <c r="F912" s="192"/>
      <c r="G912" s="192"/>
      <c r="H912" s="192"/>
      <c r="I912" s="192"/>
      <c r="J912" s="193"/>
      <c r="K912" s="192"/>
      <c r="L912" s="190"/>
      <c r="M912" s="194"/>
      <c r="N912" s="194"/>
      <c r="O912" s="194"/>
      <c r="P912" s="194"/>
      <c r="Q912" s="194"/>
      <c r="R912" s="194"/>
      <c r="S912" s="195"/>
      <c r="T912" s="195"/>
      <c r="U912" s="195"/>
      <c r="V912" s="191"/>
      <c r="W912" s="192"/>
      <c r="X912" s="192"/>
      <c r="Y912" s="192"/>
      <c r="Z912" s="191"/>
      <c r="AA912" s="191"/>
      <c r="AB912" s="193"/>
      <c r="AC912" s="193"/>
      <c r="AD912" s="191"/>
      <c r="AE912" s="194"/>
      <c r="AF912" s="194"/>
      <c r="AG912" s="194"/>
      <c r="AH912" s="194"/>
      <c r="AI912" s="190"/>
    </row>
    <row r="913" ht="16.5" customHeight="1">
      <c r="A913" s="190"/>
      <c r="B913" s="191"/>
      <c r="C913" s="191"/>
      <c r="D913" s="191"/>
      <c r="E913" s="192"/>
      <c r="F913" s="192"/>
      <c r="G913" s="192"/>
      <c r="H913" s="192"/>
      <c r="I913" s="192"/>
      <c r="J913" s="193"/>
      <c r="K913" s="192"/>
      <c r="L913" s="190"/>
      <c r="M913" s="194"/>
      <c r="N913" s="194"/>
      <c r="O913" s="194"/>
      <c r="P913" s="194"/>
      <c r="Q913" s="194"/>
      <c r="R913" s="194"/>
      <c r="S913" s="195"/>
      <c r="T913" s="195"/>
      <c r="U913" s="195"/>
      <c r="V913" s="191"/>
      <c r="W913" s="192"/>
      <c r="X913" s="192"/>
      <c r="Y913" s="192"/>
      <c r="Z913" s="191"/>
      <c r="AA913" s="191"/>
      <c r="AB913" s="193"/>
      <c r="AC913" s="193"/>
      <c r="AD913" s="191"/>
      <c r="AE913" s="194"/>
      <c r="AF913" s="194"/>
      <c r="AG913" s="194"/>
      <c r="AH913" s="194"/>
      <c r="AI913" s="190"/>
    </row>
    <row r="914" ht="16.5" customHeight="1">
      <c r="A914" s="190"/>
      <c r="B914" s="191"/>
      <c r="C914" s="191"/>
      <c r="D914" s="191"/>
      <c r="E914" s="192"/>
      <c r="F914" s="192"/>
      <c r="G914" s="192"/>
      <c r="H914" s="192"/>
      <c r="I914" s="192"/>
      <c r="J914" s="193"/>
      <c r="K914" s="192"/>
      <c r="L914" s="190"/>
      <c r="M914" s="194"/>
      <c r="N914" s="194"/>
      <c r="O914" s="194"/>
      <c r="P914" s="194"/>
      <c r="Q914" s="194"/>
      <c r="R914" s="194"/>
      <c r="S914" s="195"/>
      <c r="T914" s="195"/>
      <c r="U914" s="195"/>
      <c r="V914" s="191"/>
      <c r="W914" s="192"/>
      <c r="X914" s="192"/>
      <c r="Y914" s="192"/>
      <c r="Z914" s="191"/>
      <c r="AA914" s="191"/>
      <c r="AB914" s="193"/>
      <c r="AC914" s="193"/>
      <c r="AD914" s="191"/>
      <c r="AE914" s="194"/>
      <c r="AF914" s="194"/>
      <c r="AG914" s="194"/>
      <c r="AH914" s="194"/>
      <c r="AI914" s="190"/>
    </row>
    <row r="915" ht="16.5" customHeight="1">
      <c r="A915" s="190"/>
      <c r="B915" s="191"/>
      <c r="C915" s="191"/>
      <c r="D915" s="191"/>
      <c r="E915" s="192"/>
      <c r="F915" s="192"/>
      <c r="G915" s="192"/>
      <c r="H915" s="192"/>
      <c r="I915" s="192"/>
      <c r="J915" s="193"/>
      <c r="K915" s="192"/>
      <c r="L915" s="190"/>
      <c r="M915" s="194"/>
      <c r="N915" s="194"/>
      <c r="O915" s="194"/>
      <c r="P915" s="194"/>
      <c r="Q915" s="194"/>
      <c r="R915" s="194"/>
      <c r="S915" s="195"/>
      <c r="T915" s="195"/>
      <c r="U915" s="195"/>
      <c r="V915" s="191"/>
      <c r="W915" s="192"/>
      <c r="X915" s="192"/>
      <c r="Y915" s="192"/>
      <c r="Z915" s="191"/>
      <c r="AA915" s="191"/>
      <c r="AB915" s="193"/>
      <c r="AC915" s="193"/>
      <c r="AD915" s="191"/>
      <c r="AE915" s="194"/>
      <c r="AF915" s="194"/>
      <c r="AG915" s="194"/>
      <c r="AH915" s="194"/>
      <c r="AI915" s="190"/>
    </row>
    <row r="916" ht="16.5" customHeight="1">
      <c r="A916" s="190"/>
      <c r="B916" s="191"/>
      <c r="C916" s="191"/>
      <c r="D916" s="191"/>
      <c r="E916" s="192"/>
      <c r="F916" s="192"/>
      <c r="G916" s="192"/>
      <c r="H916" s="192"/>
      <c r="I916" s="192"/>
      <c r="J916" s="193"/>
      <c r="K916" s="192"/>
      <c r="L916" s="190"/>
      <c r="M916" s="194"/>
      <c r="N916" s="194"/>
      <c r="O916" s="194"/>
      <c r="P916" s="194"/>
      <c r="Q916" s="194"/>
      <c r="R916" s="194"/>
      <c r="S916" s="195"/>
      <c r="T916" s="195"/>
      <c r="U916" s="195"/>
      <c r="V916" s="191"/>
      <c r="W916" s="192"/>
      <c r="X916" s="192"/>
      <c r="Y916" s="192"/>
      <c r="Z916" s="191"/>
      <c r="AA916" s="191"/>
      <c r="AB916" s="193"/>
      <c r="AC916" s="193"/>
      <c r="AD916" s="191"/>
      <c r="AE916" s="194"/>
      <c r="AF916" s="194"/>
      <c r="AG916" s="194"/>
      <c r="AH916" s="194"/>
      <c r="AI916" s="190"/>
    </row>
    <row r="917" ht="16.5" customHeight="1">
      <c r="A917" s="190"/>
      <c r="B917" s="191"/>
      <c r="C917" s="191"/>
      <c r="D917" s="191"/>
      <c r="E917" s="192"/>
      <c r="F917" s="192"/>
      <c r="G917" s="192"/>
      <c r="H917" s="192"/>
      <c r="I917" s="192"/>
      <c r="J917" s="193"/>
      <c r="K917" s="192"/>
      <c r="L917" s="190"/>
      <c r="M917" s="194"/>
      <c r="N917" s="194"/>
      <c r="O917" s="194"/>
      <c r="P917" s="194"/>
      <c r="Q917" s="194"/>
      <c r="R917" s="194"/>
      <c r="S917" s="195"/>
      <c r="T917" s="195"/>
      <c r="U917" s="195"/>
      <c r="V917" s="191"/>
      <c r="W917" s="192"/>
      <c r="X917" s="192"/>
      <c r="Y917" s="192"/>
      <c r="Z917" s="191"/>
      <c r="AA917" s="191"/>
      <c r="AB917" s="193"/>
      <c r="AC917" s="193"/>
      <c r="AD917" s="191"/>
      <c r="AE917" s="194"/>
      <c r="AF917" s="194"/>
      <c r="AG917" s="194"/>
      <c r="AH917" s="194"/>
      <c r="AI917" s="190"/>
    </row>
    <row r="918" ht="16.5" customHeight="1">
      <c r="A918" s="190"/>
      <c r="B918" s="191"/>
      <c r="C918" s="191"/>
      <c r="D918" s="191"/>
      <c r="E918" s="192"/>
      <c r="F918" s="192"/>
      <c r="G918" s="192"/>
      <c r="H918" s="192"/>
      <c r="I918" s="192"/>
      <c r="J918" s="193"/>
      <c r="K918" s="192"/>
      <c r="L918" s="190"/>
      <c r="M918" s="194"/>
      <c r="N918" s="194"/>
      <c r="O918" s="194"/>
      <c r="P918" s="194"/>
      <c r="Q918" s="194"/>
      <c r="R918" s="194"/>
      <c r="S918" s="195"/>
      <c r="T918" s="195"/>
      <c r="U918" s="195"/>
      <c r="V918" s="191"/>
      <c r="W918" s="192"/>
      <c r="X918" s="192"/>
      <c r="Y918" s="192"/>
      <c r="Z918" s="191"/>
      <c r="AA918" s="191"/>
      <c r="AB918" s="193"/>
      <c r="AC918" s="193"/>
      <c r="AD918" s="191"/>
      <c r="AE918" s="194"/>
      <c r="AF918" s="194"/>
      <c r="AG918" s="194"/>
      <c r="AH918" s="194"/>
      <c r="AI918" s="190"/>
    </row>
    <row r="919" ht="16.5" customHeight="1">
      <c r="A919" s="190"/>
      <c r="B919" s="191"/>
      <c r="C919" s="191"/>
      <c r="D919" s="191"/>
      <c r="E919" s="192"/>
      <c r="F919" s="192"/>
      <c r="G919" s="192"/>
      <c r="H919" s="192"/>
      <c r="I919" s="192"/>
      <c r="J919" s="193"/>
      <c r="K919" s="192"/>
      <c r="L919" s="190"/>
      <c r="M919" s="194"/>
      <c r="N919" s="194"/>
      <c r="O919" s="194"/>
      <c r="P919" s="194"/>
      <c r="Q919" s="194"/>
      <c r="R919" s="194"/>
      <c r="S919" s="195"/>
      <c r="T919" s="195"/>
      <c r="U919" s="195"/>
      <c r="V919" s="191"/>
      <c r="W919" s="192"/>
      <c r="X919" s="192"/>
      <c r="Y919" s="192"/>
      <c r="Z919" s="191"/>
      <c r="AA919" s="191"/>
      <c r="AB919" s="193"/>
      <c r="AC919" s="193"/>
      <c r="AD919" s="191"/>
      <c r="AE919" s="194"/>
      <c r="AF919" s="194"/>
      <c r="AG919" s="194"/>
      <c r="AH919" s="194"/>
      <c r="AI919" s="190"/>
    </row>
    <row r="920" ht="16.5" customHeight="1">
      <c r="A920" s="190"/>
      <c r="B920" s="191"/>
      <c r="C920" s="191"/>
      <c r="D920" s="191"/>
      <c r="E920" s="192"/>
      <c r="F920" s="192"/>
      <c r="G920" s="192"/>
      <c r="H920" s="192"/>
      <c r="I920" s="192"/>
      <c r="J920" s="193"/>
      <c r="K920" s="192"/>
      <c r="L920" s="190"/>
      <c r="M920" s="194"/>
      <c r="N920" s="194"/>
      <c r="O920" s="194"/>
      <c r="P920" s="194"/>
      <c r="Q920" s="194"/>
      <c r="R920" s="194"/>
      <c r="S920" s="195"/>
      <c r="T920" s="195"/>
      <c r="U920" s="195"/>
      <c r="V920" s="191"/>
      <c r="W920" s="192"/>
      <c r="X920" s="192"/>
      <c r="Y920" s="192"/>
      <c r="Z920" s="191"/>
      <c r="AA920" s="191"/>
      <c r="AB920" s="193"/>
      <c r="AC920" s="193"/>
      <c r="AD920" s="191"/>
      <c r="AE920" s="194"/>
      <c r="AF920" s="194"/>
      <c r="AG920" s="194"/>
      <c r="AH920" s="194"/>
      <c r="AI920" s="190"/>
    </row>
    <row r="921" ht="16.5" customHeight="1">
      <c r="A921" s="190"/>
      <c r="B921" s="191"/>
      <c r="C921" s="191"/>
      <c r="D921" s="191"/>
      <c r="E921" s="192"/>
      <c r="F921" s="192"/>
      <c r="G921" s="192"/>
      <c r="H921" s="192"/>
      <c r="I921" s="192"/>
      <c r="J921" s="193"/>
      <c r="K921" s="192"/>
      <c r="L921" s="190"/>
      <c r="M921" s="194"/>
      <c r="N921" s="194"/>
      <c r="O921" s="194"/>
      <c r="P921" s="194"/>
      <c r="Q921" s="194"/>
      <c r="R921" s="194"/>
      <c r="S921" s="195"/>
      <c r="T921" s="195"/>
      <c r="U921" s="195"/>
      <c r="V921" s="191"/>
      <c r="W921" s="192"/>
      <c r="X921" s="192"/>
      <c r="Y921" s="192"/>
      <c r="Z921" s="191"/>
      <c r="AA921" s="191"/>
      <c r="AB921" s="193"/>
      <c r="AC921" s="193"/>
      <c r="AD921" s="191"/>
      <c r="AE921" s="194"/>
      <c r="AF921" s="194"/>
      <c r="AG921" s="194"/>
      <c r="AH921" s="194"/>
      <c r="AI921" s="190"/>
    </row>
    <row r="922" ht="16.5" customHeight="1">
      <c r="A922" s="190"/>
      <c r="B922" s="191"/>
      <c r="C922" s="191"/>
      <c r="D922" s="191"/>
      <c r="E922" s="192"/>
      <c r="F922" s="192"/>
      <c r="G922" s="192"/>
      <c r="H922" s="192"/>
      <c r="I922" s="192"/>
      <c r="J922" s="193"/>
      <c r="K922" s="192"/>
      <c r="L922" s="190"/>
      <c r="M922" s="194"/>
      <c r="N922" s="194"/>
      <c r="O922" s="194"/>
      <c r="P922" s="194"/>
      <c r="Q922" s="194"/>
      <c r="R922" s="194"/>
      <c r="S922" s="195"/>
      <c r="T922" s="195"/>
      <c r="U922" s="195"/>
      <c r="V922" s="191"/>
      <c r="W922" s="192"/>
      <c r="X922" s="192"/>
      <c r="Y922" s="192"/>
      <c r="Z922" s="191"/>
      <c r="AA922" s="191"/>
      <c r="AB922" s="193"/>
      <c r="AC922" s="193"/>
      <c r="AD922" s="191"/>
      <c r="AE922" s="194"/>
      <c r="AF922" s="194"/>
      <c r="AG922" s="194"/>
      <c r="AH922" s="194"/>
      <c r="AI922" s="190"/>
    </row>
    <row r="923" ht="16.5" customHeight="1">
      <c r="A923" s="190"/>
      <c r="B923" s="191"/>
      <c r="C923" s="191"/>
      <c r="D923" s="191"/>
      <c r="E923" s="192"/>
      <c r="F923" s="192"/>
      <c r="G923" s="192"/>
      <c r="H923" s="192"/>
      <c r="I923" s="192"/>
      <c r="J923" s="193"/>
      <c r="K923" s="192"/>
      <c r="L923" s="190"/>
      <c r="M923" s="194"/>
      <c r="N923" s="194"/>
      <c r="O923" s="194"/>
      <c r="P923" s="194"/>
      <c r="Q923" s="194"/>
      <c r="R923" s="194"/>
      <c r="S923" s="195"/>
      <c r="T923" s="195"/>
      <c r="U923" s="195"/>
      <c r="V923" s="191"/>
      <c r="W923" s="192"/>
      <c r="X923" s="192"/>
      <c r="Y923" s="192"/>
      <c r="Z923" s="191"/>
      <c r="AA923" s="191"/>
      <c r="AB923" s="193"/>
      <c r="AC923" s="193"/>
      <c r="AD923" s="191"/>
      <c r="AE923" s="194"/>
      <c r="AF923" s="194"/>
      <c r="AG923" s="194"/>
      <c r="AH923" s="194"/>
      <c r="AI923" s="190"/>
    </row>
    <row r="924" ht="16.5" customHeight="1">
      <c r="A924" s="190"/>
      <c r="B924" s="191"/>
      <c r="C924" s="191"/>
      <c r="D924" s="191"/>
      <c r="E924" s="192"/>
      <c r="F924" s="192"/>
      <c r="G924" s="192"/>
      <c r="H924" s="192"/>
      <c r="I924" s="192"/>
      <c r="J924" s="193"/>
      <c r="K924" s="192"/>
      <c r="L924" s="190"/>
      <c r="M924" s="194"/>
      <c r="N924" s="194"/>
      <c r="O924" s="194"/>
      <c r="P924" s="194"/>
      <c r="Q924" s="194"/>
      <c r="R924" s="194"/>
      <c r="S924" s="195"/>
      <c r="T924" s="195"/>
      <c r="U924" s="195"/>
      <c r="V924" s="191"/>
      <c r="W924" s="192"/>
      <c r="X924" s="192"/>
      <c r="Y924" s="192"/>
      <c r="Z924" s="191"/>
      <c r="AA924" s="191"/>
      <c r="AB924" s="193"/>
      <c r="AC924" s="193"/>
      <c r="AD924" s="191"/>
      <c r="AE924" s="194"/>
      <c r="AF924" s="194"/>
      <c r="AG924" s="194"/>
      <c r="AH924" s="194"/>
      <c r="AI924" s="190"/>
    </row>
    <row r="925" ht="16.5" customHeight="1">
      <c r="A925" s="190"/>
      <c r="B925" s="191"/>
      <c r="C925" s="191"/>
      <c r="D925" s="191"/>
      <c r="E925" s="192"/>
      <c r="F925" s="192"/>
      <c r="G925" s="192"/>
      <c r="H925" s="192"/>
      <c r="I925" s="192"/>
      <c r="J925" s="193"/>
      <c r="K925" s="192"/>
      <c r="L925" s="190"/>
      <c r="M925" s="194"/>
      <c r="N925" s="194"/>
      <c r="O925" s="194"/>
      <c r="P925" s="194"/>
      <c r="Q925" s="194"/>
      <c r="R925" s="194"/>
      <c r="S925" s="195"/>
      <c r="T925" s="195"/>
      <c r="U925" s="195"/>
      <c r="V925" s="191"/>
      <c r="W925" s="192"/>
      <c r="X925" s="192"/>
      <c r="Y925" s="192"/>
      <c r="Z925" s="191"/>
      <c r="AA925" s="191"/>
      <c r="AB925" s="193"/>
      <c r="AC925" s="193"/>
      <c r="AD925" s="191"/>
      <c r="AE925" s="194"/>
      <c r="AF925" s="194"/>
      <c r="AG925" s="194"/>
      <c r="AH925" s="194"/>
      <c r="AI925" s="190"/>
    </row>
    <row r="926" ht="16.5" customHeight="1">
      <c r="A926" s="190"/>
      <c r="B926" s="191"/>
      <c r="C926" s="191"/>
      <c r="D926" s="191"/>
      <c r="E926" s="192"/>
      <c r="F926" s="192"/>
      <c r="G926" s="192"/>
      <c r="H926" s="192"/>
      <c r="I926" s="192"/>
      <c r="J926" s="193"/>
      <c r="K926" s="192"/>
      <c r="L926" s="190"/>
      <c r="M926" s="194"/>
      <c r="N926" s="194"/>
      <c r="O926" s="194"/>
      <c r="P926" s="194"/>
      <c r="Q926" s="194"/>
      <c r="R926" s="194"/>
      <c r="S926" s="195"/>
      <c r="T926" s="195"/>
      <c r="U926" s="195"/>
      <c r="V926" s="191"/>
      <c r="W926" s="192"/>
      <c r="X926" s="192"/>
      <c r="Y926" s="192"/>
      <c r="Z926" s="191"/>
      <c r="AA926" s="191"/>
      <c r="AB926" s="193"/>
      <c r="AC926" s="193"/>
      <c r="AD926" s="191"/>
      <c r="AE926" s="194"/>
      <c r="AF926" s="194"/>
      <c r="AG926" s="194"/>
      <c r="AH926" s="194"/>
      <c r="AI926" s="190"/>
    </row>
    <row r="927" ht="16.5" customHeight="1">
      <c r="A927" s="190"/>
      <c r="B927" s="191"/>
      <c r="C927" s="191"/>
      <c r="D927" s="191"/>
      <c r="E927" s="192"/>
      <c r="F927" s="192"/>
      <c r="G927" s="192"/>
      <c r="H927" s="192"/>
      <c r="I927" s="192"/>
      <c r="J927" s="193"/>
      <c r="K927" s="192"/>
      <c r="L927" s="190"/>
      <c r="M927" s="194"/>
      <c r="N927" s="194"/>
      <c r="O927" s="194"/>
      <c r="P927" s="194"/>
      <c r="Q927" s="194"/>
      <c r="R927" s="194"/>
      <c r="S927" s="195"/>
      <c r="T927" s="195"/>
      <c r="U927" s="195"/>
      <c r="V927" s="191"/>
      <c r="W927" s="192"/>
      <c r="X927" s="192"/>
      <c r="Y927" s="192"/>
      <c r="Z927" s="191"/>
      <c r="AA927" s="191"/>
      <c r="AB927" s="193"/>
      <c r="AC927" s="193"/>
      <c r="AD927" s="191"/>
      <c r="AE927" s="194"/>
      <c r="AF927" s="194"/>
      <c r="AG927" s="194"/>
      <c r="AH927" s="194"/>
      <c r="AI927" s="190"/>
    </row>
    <row r="928" ht="16.5" customHeight="1">
      <c r="A928" s="190"/>
      <c r="B928" s="191"/>
      <c r="C928" s="191"/>
      <c r="D928" s="191"/>
      <c r="E928" s="192"/>
      <c r="F928" s="192"/>
      <c r="G928" s="192"/>
      <c r="H928" s="192"/>
      <c r="I928" s="192"/>
      <c r="J928" s="193"/>
      <c r="K928" s="192"/>
      <c r="L928" s="190"/>
      <c r="M928" s="194"/>
      <c r="N928" s="194"/>
      <c r="O928" s="194"/>
      <c r="P928" s="194"/>
      <c r="Q928" s="194"/>
      <c r="R928" s="194"/>
      <c r="S928" s="195"/>
      <c r="T928" s="195"/>
      <c r="U928" s="195"/>
      <c r="V928" s="191"/>
      <c r="W928" s="192"/>
      <c r="X928" s="192"/>
      <c r="Y928" s="192"/>
      <c r="Z928" s="191"/>
      <c r="AA928" s="191"/>
      <c r="AB928" s="193"/>
      <c r="AC928" s="193"/>
      <c r="AD928" s="191"/>
      <c r="AE928" s="194"/>
      <c r="AF928" s="194"/>
      <c r="AG928" s="194"/>
      <c r="AH928" s="194"/>
      <c r="AI928" s="190"/>
    </row>
    <row r="929" ht="16.5" customHeight="1">
      <c r="A929" s="190"/>
      <c r="B929" s="191"/>
      <c r="C929" s="191"/>
      <c r="D929" s="191"/>
      <c r="E929" s="192"/>
      <c r="F929" s="192"/>
      <c r="G929" s="192"/>
      <c r="H929" s="192"/>
      <c r="I929" s="192"/>
      <c r="J929" s="193"/>
      <c r="K929" s="192"/>
      <c r="L929" s="190"/>
      <c r="M929" s="194"/>
      <c r="N929" s="194"/>
      <c r="O929" s="194"/>
      <c r="P929" s="194"/>
      <c r="Q929" s="194"/>
      <c r="R929" s="194"/>
      <c r="S929" s="195"/>
      <c r="T929" s="195"/>
      <c r="U929" s="195"/>
      <c r="V929" s="191"/>
      <c r="W929" s="192"/>
      <c r="X929" s="192"/>
      <c r="Y929" s="192"/>
      <c r="Z929" s="191"/>
      <c r="AA929" s="191"/>
      <c r="AB929" s="193"/>
      <c r="AC929" s="193"/>
      <c r="AD929" s="191"/>
      <c r="AE929" s="194"/>
      <c r="AF929" s="194"/>
      <c r="AG929" s="194"/>
      <c r="AH929" s="194"/>
      <c r="AI929" s="190"/>
    </row>
    <row r="930" ht="16.5" customHeight="1">
      <c r="A930" s="190"/>
      <c r="B930" s="191"/>
      <c r="C930" s="191"/>
      <c r="D930" s="191"/>
      <c r="E930" s="192"/>
      <c r="F930" s="192"/>
      <c r="G930" s="192"/>
      <c r="H930" s="192"/>
      <c r="I930" s="192"/>
      <c r="J930" s="193"/>
      <c r="K930" s="192"/>
      <c r="L930" s="190"/>
      <c r="M930" s="194"/>
      <c r="N930" s="194"/>
      <c r="O930" s="194"/>
      <c r="P930" s="194"/>
      <c r="Q930" s="194"/>
      <c r="R930" s="194"/>
      <c r="S930" s="195"/>
      <c r="T930" s="195"/>
      <c r="U930" s="195"/>
      <c r="V930" s="191"/>
      <c r="W930" s="192"/>
      <c r="X930" s="192"/>
      <c r="Y930" s="192"/>
      <c r="Z930" s="191"/>
      <c r="AA930" s="191"/>
      <c r="AB930" s="193"/>
      <c r="AC930" s="193"/>
      <c r="AD930" s="191"/>
      <c r="AE930" s="194"/>
      <c r="AF930" s="194"/>
      <c r="AG930" s="194"/>
      <c r="AH930" s="194"/>
      <c r="AI930" s="190"/>
    </row>
    <row r="931" ht="16.5" customHeight="1">
      <c r="A931" s="190"/>
      <c r="B931" s="191"/>
      <c r="C931" s="191"/>
      <c r="D931" s="191"/>
      <c r="E931" s="192"/>
      <c r="F931" s="192"/>
      <c r="G931" s="192"/>
      <c r="H931" s="192"/>
      <c r="I931" s="192"/>
      <c r="J931" s="193"/>
      <c r="K931" s="192"/>
      <c r="L931" s="190"/>
      <c r="M931" s="194"/>
      <c r="N931" s="194"/>
      <c r="O931" s="194"/>
      <c r="P931" s="194"/>
      <c r="Q931" s="194"/>
      <c r="R931" s="194"/>
      <c r="S931" s="195"/>
      <c r="T931" s="195"/>
      <c r="U931" s="195"/>
      <c r="V931" s="191"/>
      <c r="W931" s="192"/>
      <c r="X931" s="192"/>
      <c r="Y931" s="192"/>
      <c r="Z931" s="191"/>
      <c r="AA931" s="191"/>
      <c r="AB931" s="193"/>
      <c r="AC931" s="193"/>
      <c r="AD931" s="191"/>
      <c r="AE931" s="194"/>
      <c r="AF931" s="194"/>
      <c r="AG931" s="194"/>
      <c r="AH931" s="194"/>
      <c r="AI931" s="190"/>
    </row>
    <row r="932" ht="16.5" customHeight="1">
      <c r="A932" s="190"/>
      <c r="B932" s="191"/>
      <c r="C932" s="191"/>
      <c r="D932" s="191"/>
      <c r="E932" s="192"/>
      <c r="F932" s="192"/>
      <c r="G932" s="192"/>
      <c r="H932" s="192"/>
      <c r="I932" s="192"/>
      <c r="J932" s="193"/>
      <c r="K932" s="192"/>
      <c r="L932" s="190"/>
      <c r="M932" s="194"/>
      <c r="N932" s="194"/>
      <c r="O932" s="194"/>
      <c r="P932" s="194"/>
      <c r="Q932" s="194"/>
      <c r="R932" s="194"/>
      <c r="S932" s="195"/>
      <c r="T932" s="195"/>
      <c r="U932" s="195"/>
      <c r="V932" s="191"/>
      <c r="W932" s="192"/>
      <c r="X932" s="192"/>
      <c r="Y932" s="192"/>
      <c r="Z932" s="191"/>
      <c r="AA932" s="191"/>
      <c r="AB932" s="193"/>
      <c r="AC932" s="193"/>
      <c r="AD932" s="191"/>
      <c r="AE932" s="194"/>
      <c r="AF932" s="194"/>
      <c r="AG932" s="194"/>
      <c r="AH932" s="194"/>
      <c r="AI932" s="190"/>
    </row>
    <row r="933" ht="16.5" customHeight="1">
      <c r="A933" s="190"/>
      <c r="B933" s="191"/>
      <c r="C933" s="191"/>
      <c r="D933" s="191"/>
      <c r="E933" s="192"/>
      <c r="F933" s="192"/>
      <c r="G933" s="192"/>
      <c r="H933" s="192"/>
      <c r="I933" s="192"/>
      <c r="J933" s="193"/>
      <c r="K933" s="192"/>
      <c r="L933" s="190"/>
      <c r="M933" s="194"/>
      <c r="N933" s="194"/>
      <c r="O933" s="194"/>
      <c r="P933" s="194"/>
      <c r="Q933" s="194"/>
      <c r="R933" s="194"/>
      <c r="S933" s="195"/>
      <c r="T933" s="195"/>
      <c r="U933" s="195"/>
      <c r="V933" s="191"/>
      <c r="W933" s="192"/>
      <c r="X933" s="192"/>
      <c r="Y933" s="192"/>
      <c r="Z933" s="191"/>
      <c r="AA933" s="191"/>
      <c r="AB933" s="193"/>
      <c r="AC933" s="193"/>
      <c r="AD933" s="191"/>
      <c r="AE933" s="194"/>
      <c r="AF933" s="194"/>
      <c r="AG933" s="194"/>
      <c r="AH933" s="194"/>
      <c r="AI933" s="190"/>
    </row>
    <row r="934" ht="16.5" customHeight="1">
      <c r="A934" s="190"/>
      <c r="B934" s="191"/>
      <c r="C934" s="191"/>
      <c r="D934" s="191"/>
      <c r="E934" s="192"/>
      <c r="F934" s="192"/>
      <c r="G934" s="192"/>
      <c r="H934" s="192"/>
      <c r="I934" s="192"/>
      <c r="J934" s="193"/>
      <c r="K934" s="192"/>
      <c r="L934" s="190"/>
      <c r="M934" s="194"/>
      <c r="N934" s="194"/>
      <c r="O934" s="194"/>
      <c r="P934" s="194"/>
      <c r="Q934" s="194"/>
      <c r="R934" s="194"/>
      <c r="S934" s="195"/>
      <c r="T934" s="195"/>
      <c r="U934" s="195"/>
      <c r="V934" s="191"/>
      <c r="W934" s="192"/>
      <c r="X934" s="192"/>
      <c r="Y934" s="192"/>
      <c r="Z934" s="191"/>
      <c r="AA934" s="191"/>
      <c r="AB934" s="193"/>
      <c r="AC934" s="193"/>
      <c r="AD934" s="191"/>
      <c r="AE934" s="194"/>
      <c r="AF934" s="194"/>
      <c r="AG934" s="194"/>
      <c r="AH934" s="194"/>
      <c r="AI934" s="190"/>
    </row>
    <row r="935" ht="16.5" customHeight="1">
      <c r="A935" s="190"/>
      <c r="B935" s="191"/>
      <c r="C935" s="191"/>
      <c r="D935" s="191"/>
      <c r="E935" s="192"/>
      <c r="F935" s="192"/>
      <c r="G935" s="192"/>
      <c r="H935" s="192"/>
      <c r="I935" s="192"/>
      <c r="J935" s="193"/>
      <c r="K935" s="192"/>
      <c r="L935" s="190"/>
      <c r="M935" s="194"/>
      <c r="N935" s="194"/>
      <c r="O935" s="194"/>
      <c r="P935" s="194"/>
      <c r="Q935" s="194"/>
      <c r="R935" s="194"/>
      <c r="S935" s="195"/>
      <c r="T935" s="195"/>
      <c r="U935" s="195"/>
      <c r="V935" s="191"/>
      <c r="W935" s="192"/>
      <c r="X935" s="192"/>
      <c r="Y935" s="192"/>
      <c r="Z935" s="191"/>
      <c r="AA935" s="191"/>
      <c r="AB935" s="193"/>
      <c r="AC935" s="193"/>
      <c r="AD935" s="191"/>
      <c r="AE935" s="194"/>
      <c r="AF935" s="194"/>
      <c r="AG935" s="194"/>
      <c r="AH935" s="194"/>
      <c r="AI935" s="190"/>
    </row>
    <row r="936" ht="16.5" customHeight="1">
      <c r="A936" s="190"/>
      <c r="B936" s="191"/>
      <c r="C936" s="191"/>
      <c r="D936" s="191"/>
      <c r="E936" s="192"/>
      <c r="F936" s="192"/>
      <c r="G936" s="192"/>
      <c r="H936" s="192"/>
      <c r="I936" s="192"/>
      <c r="J936" s="193"/>
      <c r="K936" s="192"/>
      <c r="L936" s="190"/>
      <c r="M936" s="194"/>
      <c r="N936" s="194"/>
      <c r="O936" s="194"/>
      <c r="P936" s="194"/>
      <c r="Q936" s="194"/>
      <c r="R936" s="194"/>
      <c r="S936" s="195"/>
      <c r="T936" s="195"/>
      <c r="U936" s="195"/>
      <c r="V936" s="191"/>
      <c r="W936" s="192"/>
      <c r="X936" s="192"/>
      <c r="Y936" s="192"/>
      <c r="Z936" s="191"/>
      <c r="AA936" s="191"/>
      <c r="AB936" s="193"/>
      <c r="AC936" s="193"/>
      <c r="AD936" s="191"/>
      <c r="AE936" s="194"/>
      <c r="AF936" s="194"/>
      <c r="AG936" s="194"/>
      <c r="AH936" s="194"/>
      <c r="AI936" s="190"/>
    </row>
    <row r="937" ht="16.5" customHeight="1">
      <c r="A937" s="190"/>
      <c r="B937" s="191"/>
      <c r="C937" s="191"/>
      <c r="D937" s="191"/>
      <c r="E937" s="192"/>
      <c r="F937" s="192"/>
      <c r="G937" s="192"/>
      <c r="H937" s="192"/>
      <c r="I937" s="192"/>
      <c r="J937" s="193"/>
      <c r="K937" s="192"/>
      <c r="L937" s="190"/>
      <c r="M937" s="194"/>
      <c r="N937" s="194"/>
      <c r="O937" s="194"/>
      <c r="P937" s="194"/>
      <c r="Q937" s="194"/>
      <c r="R937" s="194"/>
      <c r="S937" s="195"/>
      <c r="T937" s="195"/>
      <c r="U937" s="195"/>
      <c r="V937" s="191"/>
      <c r="W937" s="192"/>
      <c r="X937" s="192"/>
      <c r="Y937" s="192"/>
      <c r="Z937" s="191"/>
      <c r="AA937" s="191"/>
      <c r="AB937" s="193"/>
      <c r="AC937" s="193"/>
      <c r="AD937" s="191"/>
      <c r="AE937" s="194"/>
      <c r="AF937" s="194"/>
      <c r="AG937" s="194"/>
      <c r="AH937" s="194"/>
      <c r="AI937" s="190"/>
    </row>
    <row r="938" ht="16.5" customHeight="1">
      <c r="A938" s="190"/>
      <c r="B938" s="191"/>
      <c r="C938" s="191"/>
      <c r="D938" s="191"/>
      <c r="E938" s="192"/>
      <c r="F938" s="192"/>
      <c r="G938" s="192"/>
      <c r="H938" s="192"/>
      <c r="I938" s="192"/>
      <c r="J938" s="193"/>
      <c r="K938" s="192"/>
      <c r="L938" s="190"/>
      <c r="M938" s="194"/>
      <c r="N938" s="194"/>
      <c r="O938" s="194"/>
      <c r="P938" s="194"/>
      <c r="Q938" s="194"/>
      <c r="R938" s="194"/>
      <c r="S938" s="195"/>
      <c r="T938" s="195"/>
      <c r="U938" s="195"/>
      <c r="V938" s="191"/>
      <c r="W938" s="192"/>
      <c r="X938" s="192"/>
      <c r="Y938" s="192"/>
      <c r="Z938" s="191"/>
      <c r="AA938" s="191"/>
      <c r="AB938" s="193"/>
      <c r="AC938" s="193"/>
      <c r="AD938" s="191"/>
      <c r="AE938" s="194"/>
      <c r="AF938" s="194"/>
      <c r="AG938" s="194"/>
      <c r="AH938" s="194"/>
      <c r="AI938" s="190"/>
    </row>
    <row r="939" ht="16.5" customHeight="1">
      <c r="A939" s="190"/>
      <c r="B939" s="191"/>
      <c r="C939" s="191"/>
      <c r="D939" s="191"/>
      <c r="E939" s="192"/>
      <c r="F939" s="192"/>
      <c r="G939" s="192"/>
      <c r="H939" s="192"/>
      <c r="I939" s="192"/>
      <c r="J939" s="193"/>
      <c r="K939" s="192"/>
      <c r="L939" s="190"/>
      <c r="M939" s="194"/>
      <c r="N939" s="194"/>
      <c r="O939" s="194"/>
      <c r="P939" s="194"/>
      <c r="Q939" s="194"/>
      <c r="R939" s="194"/>
      <c r="S939" s="195"/>
      <c r="T939" s="195"/>
      <c r="U939" s="195"/>
      <c r="V939" s="191"/>
      <c r="W939" s="192"/>
      <c r="X939" s="192"/>
      <c r="Y939" s="192"/>
      <c r="Z939" s="191"/>
      <c r="AA939" s="191"/>
      <c r="AB939" s="193"/>
      <c r="AC939" s="193"/>
      <c r="AD939" s="191"/>
      <c r="AE939" s="194"/>
      <c r="AF939" s="194"/>
      <c r="AG939" s="194"/>
      <c r="AH939" s="194"/>
      <c r="AI939" s="190"/>
    </row>
    <row r="940" ht="16.5" customHeight="1">
      <c r="A940" s="190"/>
      <c r="B940" s="191"/>
      <c r="C940" s="191"/>
      <c r="D940" s="191"/>
      <c r="E940" s="192"/>
      <c r="F940" s="192"/>
      <c r="G940" s="192"/>
      <c r="H940" s="192"/>
      <c r="I940" s="192"/>
      <c r="J940" s="193"/>
      <c r="K940" s="192"/>
      <c r="L940" s="190"/>
      <c r="M940" s="194"/>
      <c r="N940" s="194"/>
      <c r="O940" s="194"/>
      <c r="P940" s="194"/>
      <c r="Q940" s="194"/>
      <c r="R940" s="194"/>
      <c r="S940" s="195"/>
      <c r="T940" s="195"/>
      <c r="U940" s="195"/>
      <c r="V940" s="191"/>
      <c r="W940" s="192"/>
      <c r="X940" s="192"/>
      <c r="Y940" s="192"/>
      <c r="Z940" s="191"/>
      <c r="AA940" s="191"/>
      <c r="AB940" s="193"/>
      <c r="AC940" s="193"/>
      <c r="AD940" s="191"/>
      <c r="AE940" s="194"/>
      <c r="AF940" s="194"/>
      <c r="AG940" s="194"/>
      <c r="AH940" s="194"/>
      <c r="AI940" s="190"/>
    </row>
    <row r="941" ht="16.5" customHeight="1">
      <c r="A941" s="190"/>
      <c r="B941" s="191"/>
      <c r="C941" s="191"/>
      <c r="D941" s="191"/>
      <c r="E941" s="192"/>
      <c r="F941" s="192"/>
      <c r="G941" s="192"/>
      <c r="H941" s="192"/>
      <c r="I941" s="192"/>
      <c r="J941" s="193"/>
      <c r="K941" s="192"/>
      <c r="L941" s="190"/>
      <c r="M941" s="194"/>
      <c r="N941" s="194"/>
      <c r="O941" s="194"/>
      <c r="P941" s="194"/>
      <c r="Q941" s="194"/>
      <c r="R941" s="194"/>
      <c r="S941" s="195"/>
      <c r="T941" s="195"/>
      <c r="U941" s="195"/>
      <c r="V941" s="191"/>
      <c r="W941" s="192"/>
      <c r="X941" s="192"/>
      <c r="Y941" s="192"/>
      <c r="Z941" s="191"/>
      <c r="AA941" s="191"/>
      <c r="AB941" s="193"/>
      <c r="AC941" s="193"/>
      <c r="AD941" s="191"/>
      <c r="AE941" s="194"/>
      <c r="AF941" s="194"/>
      <c r="AG941" s="194"/>
      <c r="AH941" s="194"/>
      <c r="AI941" s="190"/>
    </row>
    <row r="942" ht="16.5" customHeight="1">
      <c r="A942" s="190"/>
      <c r="B942" s="191"/>
      <c r="C942" s="191"/>
      <c r="D942" s="191"/>
      <c r="E942" s="192"/>
      <c r="F942" s="192"/>
      <c r="G942" s="192"/>
      <c r="H942" s="192"/>
      <c r="I942" s="192"/>
      <c r="J942" s="193"/>
      <c r="K942" s="192"/>
      <c r="L942" s="190"/>
      <c r="M942" s="194"/>
      <c r="N942" s="194"/>
      <c r="O942" s="194"/>
      <c r="P942" s="194"/>
      <c r="Q942" s="194"/>
      <c r="R942" s="194"/>
      <c r="S942" s="195"/>
      <c r="T942" s="195"/>
      <c r="U942" s="195"/>
      <c r="V942" s="191"/>
      <c r="W942" s="192"/>
      <c r="X942" s="192"/>
      <c r="Y942" s="192"/>
      <c r="Z942" s="191"/>
      <c r="AA942" s="191"/>
      <c r="AB942" s="193"/>
      <c r="AC942" s="193"/>
      <c r="AD942" s="191"/>
      <c r="AE942" s="194"/>
      <c r="AF942" s="194"/>
      <c r="AG942" s="194"/>
      <c r="AH942" s="194"/>
      <c r="AI942" s="190"/>
    </row>
    <row r="943" ht="16.5" customHeight="1">
      <c r="A943" s="190"/>
      <c r="B943" s="191"/>
      <c r="C943" s="191"/>
      <c r="D943" s="191"/>
      <c r="E943" s="192"/>
      <c r="F943" s="192"/>
      <c r="G943" s="192"/>
      <c r="H943" s="192"/>
      <c r="I943" s="192"/>
      <c r="J943" s="193"/>
      <c r="K943" s="192"/>
      <c r="L943" s="190"/>
      <c r="M943" s="194"/>
      <c r="N943" s="194"/>
      <c r="O943" s="194"/>
      <c r="P943" s="194"/>
      <c r="Q943" s="194"/>
      <c r="R943" s="194"/>
      <c r="S943" s="195"/>
      <c r="T943" s="195"/>
      <c r="U943" s="195"/>
      <c r="V943" s="191"/>
      <c r="W943" s="192"/>
      <c r="X943" s="192"/>
      <c r="Y943" s="192"/>
      <c r="Z943" s="191"/>
      <c r="AA943" s="191"/>
      <c r="AB943" s="193"/>
      <c r="AC943" s="193"/>
      <c r="AD943" s="191"/>
      <c r="AE943" s="194"/>
      <c r="AF943" s="194"/>
      <c r="AG943" s="194"/>
      <c r="AH943" s="194"/>
      <c r="AI943" s="190"/>
    </row>
    <row r="944" ht="16.5" customHeight="1">
      <c r="A944" s="190"/>
      <c r="B944" s="191"/>
      <c r="C944" s="191"/>
      <c r="D944" s="191"/>
      <c r="E944" s="192"/>
      <c r="F944" s="192"/>
      <c r="G944" s="192"/>
      <c r="H944" s="192"/>
      <c r="I944" s="192"/>
      <c r="J944" s="193"/>
      <c r="K944" s="192"/>
      <c r="L944" s="190"/>
      <c r="M944" s="194"/>
      <c r="N944" s="194"/>
      <c r="O944" s="194"/>
      <c r="P944" s="194"/>
      <c r="Q944" s="194"/>
      <c r="R944" s="194"/>
      <c r="S944" s="195"/>
      <c r="T944" s="195"/>
      <c r="U944" s="195"/>
      <c r="V944" s="191"/>
      <c r="W944" s="192"/>
      <c r="X944" s="192"/>
      <c r="Y944" s="192"/>
      <c r="Z944" s="191"/>
      <c r="AA944" s="191"/>
      <c r="AB944" s="193"/>
      <c r="AC944" s="193"/>
      <c r="AD944" s="191"/>
      <c r="AE944" s="194"/>
      <c r="AF944" s="194"/>
      <c r="AG944" s="194"/>
      <c r="AH944" s="194"/>
      <c r="AI944" s="190"/>
    </row>
    <row r="945" ht="16.5" customHeight="1">
      <c r="A945" s="190"/>
      <c r="B945" s="191"/>
      <c r="C945" s="191"/>
      <c r="D945" s="191"/>
      <c r="E945" s="192"/>
      <c r="F945" s="192"/>
      <c r="G945" s="192"/>
      <c r="H945" s="192"/>
      <c r="I945" s="192"/>
      <c r="J945" s="193"/>
      <c r="K945" s="192"/>
      <c r="L945" s="190"/>
      <c r="M945" s="194"/>
      <c r="N945" s="194"/>
      <c r="O945" s="194"/>
      <c r="P945" s="194"/>
      <c r="Q945" s="194"/>
      <c r="R945" s="194"/>
      <c r="S945" s="195"/>
      <c r="T945" s="195"/>
      <c r="U945" s="195"/>
      <c r="V945" s="191"/>
      <c r="W945" s="192"/>
      <c r="X945" s="192"/>
      <c r="Y945" s="192"/>
      <c r="Z945" s="191"/>
      <c r="AA945" s="191"/>
      <c r="AB945" s="193"/>
      <c r="AC945" s="193"/>
      <c r="AD945" s="191"/>
      <c r="AE945" s="194"/>
      <c r="AF945" s="194"/>
      <c r="AG945" s="194"/>
      <c r="AH945" s="194"/>
      <c r="AI945" s="190"/>
    </row>
    <row r="946" ht="16.5" customHeight="1">
      <c r="A946" s="190"/>
      <c r="B946" s="191"/>
      <c r="C946" s="191"/>
      <c r="D946" s="191"/>
      <c r="E946" s="192"/>
      <c r="F946" s="192"/>
      <c r="G946" s="192"/>
      <c r="H946" s="192"/>
      <c r="I946" s="192"/>
      <c r="J946" s="193"/>
      <c r="K946" s="192"/>
      <c r="L946" s="190"/>
      <c r="M946" s="194"/>
      <c r="N946" s="194"/>
      <c r="O946" s="194"/>
      <c r="P946" s="194"/>
      <c r="Q946" s="194"/>
      <c r="R946" s="194"/>
      <c r="S946" s="195"/>
      <c r="T946" s="195"/>
      <c r="U946" s="195"/>
      <c r="V946" s="191"/>
      <c r="W946" s="192"/>
      <c r="X946" s="192"/>
      <c r="Y946" s="192"/>
      <c r="Z946" s="191"/>
      <c r="AA946" s="191"/>
      <c r="AB946" s="193"/>
      <c r="AC946" s="193"/>
      <c r="AD946" s="191"/>
      <c r="AE946" s="194"/>
      <c r="AF946" s="194"/>
      <c r="AG946" s="194"/>
      <c r="AH946" s="194"/>
      <c r="AI946" s="190"/>
    </row>
    <row r="947" ht="16.5" customHeight="1">
      <c r="A947" s="190"/>
      <c r="B947" s="191"/>
      <c r="C947" s="191"/>
      <c r="D947" s="191"/>
      <c r="E947" s="192"/>
      <c r="F947" s="192"/>
      <c r="G947" s="192"/>
      <c r="H947" s="192"/>
      <c r="I947" s="192"/>
      <c r="J947" s="193"/>
      <c r="K947" s="192"/>
      <c r="L947" s="190"/>
      <c r="M947" s="194"/>
      <c r="N947" s="194"/>
      <c r="O947" s="194"/>
      <c r="P947" s="194"/>
      <c r="Q947" s="194"/>
      <c r="R947" s="194"/>
      <c r="S947" s="195"/>
      <c r="T947" s="195"/>
      <c r="U947" s="195"/>
      <c r="V947" s="191"/>
      <c r="W947" s="192"/>
      <c r="X947" s="192"/>
      <c r="Y947" s="192"/>
      <c r="Z947" s="191"/>
      <c r="AA947" s="191"/>
      <c r="AB947" s="193"/>
      <c r="AC947" s="193"/>
      <c r="AD947" s="191"/>
      <c r="AE947" s="194"/>
      <c r="AF947" s="194"/>
      <c r="AG947" s="194"/>
      <c r="AH947" s="194"/>
      <c r="AI947" s="190"/>
    </row>
    <row r="948" ht="16.5" customHeight="1">
      <c r="A948" s="190"/>
      <c r="B948" s="191"/>
      <c r="C948" s="191"/>
      <c r="D948" s="191"/>
      <c r="E948" s="192"/>
      <c r="F948" s="192"/>
      <c r="G948" s="192"/>
      <c r="H948" s="192"/>
      <c r="I948" s="192"/>
      <c r="J948" s="193"/>
      <c r="K948" s="192"/>
      <c r="L948" s="190"/>
      <c r="M948" s="194"/>
      <c r="N948" s="194"/>
      <c r="O948" s="194"/>
      <c r="P948" s="194"/>
      <c r="Q948" s="194"/>
      <c r="R948" s="194"/>
      <c r="S948" s="195"/>
      <c r="T948" s="195"/>
      <c r="U948" s="195"/>
      <c r="V948" s="191"/>
      <c r="W948" s="192"/>
      <c r="X948" s="192"/>
      <c r="Y948" s="192"/>
      <c r="Z948" s="191"/>
      <c r="AA948" s="191"/>
      <c r="AB948" s="193"/>
      <c r="AC948" s="193"/>
      <c r="AD948" s="191"/>
      <c r="AE948" s="194"/>
      <c r="AF948" s="194"/>
      <c r="AG948" s="194"/>
      <c r="AH948" s="194"/>
      <c r="AI948" s="190"/>
    </row>
    <row r="949" ht="16.5" customHeight="1">
      <c r="A949" s="190"/>
      <c r="B949" s="191"/>
      <c r="C949" s="191"/>
      <c r="D949" s="191"/>
      <c r="E949" s="192"/>
      <c r="F949" s="192"/>
      <c r="G949" s="192"/>
      <c r="H949" s="192"/>
      <c r="I949" s="192"/>
      <c r="J949" s="193"/>
      <c r="K949" s="192"/>
      <c r="L949" s="190"/>
      <c r="M949" s="194"/>
      <c r="N949" s="194"/>
      <c r="O949" s="194"/>
      <c r="P949" s="194"/>
      <c r="Q949" s="194"/>
      <c r="R949" s="194"/>
      <c r="S949" s="195"/>
      <c r="T949" s="195"/>
      <c r="U949" s="195"/>
      <c r="V949" s="191"/>
      <c r="W949" s="192"/>
      <c r="X949" s="192"/>
      <c r="Y949" s="192"/>
      <c r="Z949" s="191"/>
      <c r="AA949" s="191"/>
      <c r="AB949" s="193"/>
      <c r="AC949" s="193"/>
      <c r="AD949" s="191"/>
      <c r="AE949" s="194"/>
      <c r="AF949" s="194"/>
      <c r="AG949" s="194"/>
      <c r="AH949" s="194"/>
      <c r="AI949" s="190"/>
    </row>
    <row r="950" ht="16.5" customHeight="1">
      <c r="A950" s="190"/>
      <c r="B950" s="191"/>
      <c r="C950" s="191"/>
      <c r="D950" s="191"/>
      <c r="E950" s="192"/>
      <c r="F950" s="192"/>
      <c r="G950" s="192"/>
      <c r="H950" s="192"/>
      <c r="I950" s="192"/>
      <c r="J950" s="193"/>
      <c r="K950" s="192"/>
      <c r="L950" s="190"/>
      <c r="M950" s="194"/>
      <c r="N950" s="194"/>
      <c r="O950" s="194"/>
      <c r="P950" s="194"/>
      <c r="Q950" s="194"/>
      <c r="R950" s="194"/>
      <c r="S950" s="195"/>
      <c r="T950" s="195"/>
      <c r="U950" s="195"/>
      <c r="V950" s="191"/>
      <c r="W950" s="192"/>
      <c r="X950" s="192"/>
      <c r="Y950" s="192"/>
      <c r="Z950" s="191"/>
      <c r="AA950" s="191"/>
      <c r="AB950" s="193"/>
      <c r="AC950" s="193"/>
      <c r="AD950" s="191"/>
      <c r="AE950" s="194"/>
      <c r="AF950" s="194"/>
      <c r="AG950" s="194"/>
      <c r="AH950" s="194"/>
      <c r="AI950" s="190"/>
    </row>
    <row r="951" ht="16.5" customHeight="1">
      <c r="A951" s="190"/>
      <c r="B951" s="191"/>
      <c r="C951" s="191"/>
      <c r="D951" s="191"/>
      <c r="E951" s="192"/>
      <c r="F951" s="192"/>
      <c r="G951" s="192"/>
      <c r="H951" s="192"/>
      <c r="I951" s="192"/>
      <c r="J951" s="193"/>
      <c r="K951" s="192"/>
      <c r="L951" s="190"/>
      <c r="M951" s="194"/>
      <c r="N951" s="194"/>
      <c r="O951" s="194"/>
      <c r="P951" s="194"/>
      <c r="Q951" s="194"/>
      <c r="R951" s="194"/>
      <c r="S951" s="195"/>
      <c r="T951" s="195"/>
      <c r="U951" s="195"/>
      <c r="V951" s="191"/>
      <c r="W951" s="192"/>
      <c r="X951" s="192"/>
      <c r="Y951" s="192"/>
      <c r="Z951" s="191"/>
      <c r="AA951" s="191"/>
      <c r="AB951" s="193"/>
      <c r="AC951" s="193"/>
      <c r="AD951" s="191"/>
      <c r="AE951" s="194"/>
      <c r="AF951" s="194"/>
      <c r="AG951" s="194"/>
      <c r="AH951" s="194"/>
      <c r="AI951" s="190"/>
    </row>
    <row r="952" ht="16.5" customHeight="1">
      <c r="A952" s="190"/>
      <c r="B952" s="191"/>
      <c r="C952" s="191"/>
      <c r="D952" s="191"/>
      <c r="E952" s="192"/>
      <c r="F952" s="192"/>
      <c r="G952" s="192"/>
      <c r="H952" s="192"/>
      <c r="I952" s="192"/>
      <c r="J952" s="193"/>
      <c r="K952" s="192"/>
      <c r="L952" s="190"/>
      <c r="M952" s="194"/>
      <c r="N952" s="194"/>
      <c r="O952" s="194"/>
      <c r="P952" s="194"/>
      <c r="Q952" s="194"/>
      <c r="R952" s="194"/>
      <c r="S952" s="195"/>
      <c r="T952" s="195"/>
      <c r="U952" s="195"/>
      <c r="V952" s="191"/>
      <c r="W952" s="192"/>
      <c r="X952" s="192"/>
      <c r="Y952" s="192"/>
      <c r="Z952" s="191"/>
      <c r="AA952" s="191"/>
      <c r="AB952" s="193"/>
      <c r="AC952" s="193"/>
      <c r="AD952" s="191"/>
      <c r="AE952" s="194"/>
      <c r="AF952" s="194"/>
      <c r="AG952" s="194"/>
      <c r="AH952" s="194"/>
      <c r="AI952" s="190"/>
    </row>
    <row r="953" ht="16.5" customHeight="1">
      <c r="A953" s="190"/>
      <c r="B953" s="191"/>
      <c r="C953" s="191"/>
      <c r="D953" s="191"/>
      <c r="E953" s="192"/>
      <c r="F953" s="192"/>
      <c r="G953" s="192"/>
      <c r="H953" s="192"/>
      <c r="I953" s="192"/>
      <c r="J953" s="193"/>
      <c r="K953" s="192"/>
      <c r="L953" s="190"/>
      <c r="M953" s="194"/>
      <c r="N953" s="194"/>
      <c r="O953" s="194"/>
      <c r="P953" s="194"/>
      <c r="Q953" s="194"/>
      <c r="R953" s="194"/>
      <c r="S953" s="195"/>
      <c r="T953" s="195"/>
      <c r="U953" s="195"/>
      <c r="V953" s="191"/>
      <c r="W953" s="192"/>
      <c r="X953" s="192"/>
      <c r="Y953" s="192"/>
      <c r="Z953" s="191"/>
      <c r="AA953" s="191"/>
      <c r="AB953" s="193"/>
      <c r="AC953" s="193"/>
      <c r="AD953" s="191"/>
      <c r="AE953" s="194"/>
      <c r="AF953" s="194"/>
      <c r="AG953" s="194"/>
      <c r="AH953" s="194"/>
      <c r="AI953" s="190"/>
    </row>
    <row r="954" ht="16.5" customHeight="1">
      <c r="A954" s="190"/>
      <c r="B954" s="191"/>
      <c r="C954" s="191"/>
      <c r="D954" s="191"/>
      <c r="E954" s="192"/>
      <c r="F954" s="192"/>
      <c r="G954" s="192"/>
      <c r="H954" s="192"/>
      <c r="I954" s="192"/>
      <c r="J954" s="193"/>
      <c r="K954" s="192"/>
      <c r="L954" s="190"/>
      <c r="M954" s="194"/>
      <c r="N954" s="194"/>
      <c r="O954" s="194"/>
      <c r="P954" s="194"/>
      <c r="Q954" s="194"/>
      <c r="R954" s="194"/>
      <c r="S954" s="195"/>
      <c r="T954" s="195"/>
      <c r="U954" s="195"/>
      <c r="V954" s="191"/>
      <c r="W954" s="192"/>
      <c r="X954" s="192"/>
      <c r="Y954" s="192"/>
      <c r="Z954" s="191"/>
      <c r="AA954" s="191"/>
      <c r="AB954" s="193"/>
      <c r="AC954" s="193"/>
      <c r="AD954" s="191"/>
      <c r="AE954" s="194"/>
      <c r="AF954" s="194"/>
      <c r="AG954" s="194"/>
      <c r="AH954" s="194"/>
      <c r="AI954" s="190"/>
    </row>
    <row r="955" ht="16.5" customHeight="1">
      <c r="A955" s="190"/>
      <c r="B955" s="191"/>
      <c r="C955" s="191"/>
      <c r="D955" s="191"/>
      <c r="E955" s="192"/>
      <c r="F955" s="192"/>
      <c r="G955" s="192"/>
      <c r="H955" s="192"/>
      <c r="I955" s="192"/>
      <c r="J955" s="193"/>
      <c r="K955" s="192"/>
      <c r="L955" s="190"/>
      <c r="M955" s="194"/>
      <c r="N955" s="194"/>
      <c r="O955" s="194"/>
      <c r="P955" s="194"/>
      <c r="Q955" s="194"/>
      <c r="R955" s="194"/>
      <c r="S955" s="195"/>
      <c r="T955" s="195"/>
      <c r="U955" s="195"/>
      <c r="V955" s="191"/>
      <c r="W955" s="192"/>
      <c r="X955" s="192"/>
      <c r="Y955" s="192"/>
      <c r="Z955" s="191"/>
      <c r="AA955" s="191"/>
      <c r="AB955" s="193"/>
      <c r="AC955" s="193"/>
      <c r="AD955" s="191"/>
      <c r="AE955" s="194"/>
      <c r="AF955" s="194"/>
      <c r="AG955" s="194"/>
      <c r="AH955" s="194"/>
      <c r="AI955" s="190"/>
    </row>
    <row r="956" ht="16.5" customHeight="1">
      <c r="A956" s="190"/>
      <c r="B956" s="191"/>
      <c r="C956" s="191"/>
      <c r="D956" s="191"/>
      <c r="E956" s="192"/>
      <c r="F956" s="192"/>
      <c r="G956" s="192"/>
      <c r="H956" s="192"/>
      <c r="I956" s="192"/>
      <c r="J956" s="193"/>
      <c r="K956" s="192"/>
      <c r="L956" s="190"/>
      <c r="M956" s="194"/>
      <c r="N956" s="194"/>
      <c r="O956" s="194"/>
      <c r="P956" s="194"/>
      <c r="Q956" s="194"/>
      <c r="R956" s="194"/>
      <c r="S956" s="195"/>
      <c r="T956" s="195"/>
      <c r="U956" s="195"/>
      <c r="V956" s="191"/>
      <c r="W956" s="192"/>
      <c r="X956" s="192"/>
      <c r="Y956" s="192"/>
      <c r="Z956" s="191"/>
      <c r="AA956" s="191"/>
      <c r="AB956" s="193"/>
      <c r="AC956" s="193"/>
      <c r="AD956" s="191"/>
      <c r="AE956" s="194"/>
      <c r="AF956" s="194"/>
      <c r="AG956" s="194"/>
      <c r="AH956" s="194"/>
      <c r="AI956" s="190"/>
    </row>
    <row r="957" ht="16.5" customHeight="1">
      <c r="A957" s="190"/>
      <c r="B957" s="191"/>
      <c r="C957" s="191"/>
      <c r="D957" s="191"/>
      <c r="E957" s="192"/>
      <c r="F957" s="192"/>
      <c r="G957" s="192"/>
      <c r="H957" s="192"/>
      <c r="I957" s="192"/>
      <c r="J957" s="193"/>
      <c r="K957" s="192"/>
      <c r="L957" s="190"/>
      <c r="M957" s="194"/>
      <c r="N957" s="194"/>
      <c r="O957" s="194"/>
      <c r="P957" s="194"/>
      <c r="Q957" s="194"/>
      <c r="R957" s="194"/>
      <c r="S957" s="195"/>
      <c r="T957" s="195"/>
      <c r="U957" s="195"/>
      <c r="V957" s="191"/>
      <c r="W957" s="192"/>
      <c r="X957" s="192"/>
      <c r="Y957" s="192"/>
      <c r="Z957" s="191"/>
      <c r="AA957" s="191"/>
      <c r="AB957" s="193"/>
      <c r="AC957" s="193"/>
      <c r="AD957" s="191"/>
      <c r="AE957" s="194"/>
      <c r="AF957" s="194"/>
      <c r="AG957" s="194"/>
      <c r="AH957" s="194"/>
      <c r="AI957" s="190"/>
    </row>
    <row r="958" ht="16.5" customHeight="1">
      <c r="A958" s="190"/>
      <c r="B958" s="191"/>
      <c r="C958" s="191"/>
      <c r="D958" s="191"/>
      <c r="E958" s="192"/>
      <c r="F958" s="192"/>
      <c r="G958" s="192"/>
      <c r="H958" s="192"/>
      <c r="I958" s="192"/>
      <c r="J958" s="193"/>
      <c r="K958" s="192"/>
      <c r="L958" s="190"/>
      <c r="M958" s="194"/>
      <c r="N958" s="194"/>
      <c r="O958" s="194"/>
      <c r="P958" s="194"/>
      <c r="Q958" s="194"/>
      <c r="R958" s="194"/>
      <c r="S958" s="195"/>
      <c r="T958" s="195"/>
      <c r="U958" s="195"/>
      <c r="V958" s="191"/>
      <c r="W958" s="192"/>
      <c r="X958" s="192"/>
      <c r="Y958" s="192"/>
      <c r="Z958" s="191"/>
      <c r="AA958" s="191"/>
      <c r="AB958" s="193"/>
      <c r="AC958" s="193"/>
      <c r="AD958" s="191"/>
      <c r="AE958" s="194"/>
      <c r="AF958" s="194"/>
      <c r="AG958" s="194"/>
      <c r="AH958" s="194"/>
      <c r="AI958" s="190"/>
    </row>
    <row r="959" ht="16.5" customHeight="1">
      <c r="A959" s="190"/>
      <c r="B959" s="191"/>
      <c r="C959" s="191"/>
      <c r="D959" s="191"/>
      <c r="E959" s="192"/>
      <c r="F959" s="192"/>
      <c r="G959" s="192"/>
      <c r="H959" s="192"/>
      <c r="I959" s="192"/>
      <c r="J959" s="193"/>
      <c r="K959" s="192"/>
      <c r="L959" s="190"/>
      <c r="M959" s="194"/>
      <c r="N959" s="194"/>
      <c r="O959" s="194"/>
      <c r="P959" s="194"/>
      <c r="Q959" s="194"/>
      <c r="R959" s="194"/>
      <c r="S959" s="195"/>
      <c r="T959" s="195"/>
      <c r="U959" s="195"/>
      <c r="V959" s="191"/>
      <c r="W959" s="192"/>
      <c r="X959" s="192"/>
      <c r="Y959" s="192"/>
      <c r="Z959" s="191"/>
      <c r="AA959" s="191"/>
      <c r="AB959" s="193"/>
      <c r="AC959" s="193"/>
      <c r="AD959" s="191"/>
      <c r="AE959" s="194"/>
      <c r="AF959" s="194"/>
      <c r="AG959" s="194"/>
      <c r="AH959" s="194"/>
      <c r="AI959" s="190"/>
    </row>
    <row r="960" ht="16.5" customHeight="1">
      <c r="A960" s="190"/>
      <c r="B960" s="191"/>
      <c r="C960" s="191"/>
      <c r="D960" s="191"/>
      <c r="E960" s="192"/>
      <c r="F960" s="192"/>
      <c r="G960" s="192"/>
      <c r="H960" s="192"/>
      <c r="I960" s="192"/>
      <c r="J960" s="193"/>
      <c r="K960" s="192"/>
      <c r="L960" s="190"/>
      <c r="M960" s="194"/>
      <c r="N960" s="194"/>
      <c r="O960" s="194"/>
      <c r="P960" s="194"/>
      <c r="Q960" s="194"/>
      <c r="R960" s="194"/>
      <c r="S960" s="195"/>
      <c r="T960" s="195"/>
      <c r="U960" s="195"/>
      <c r="V960" s="191"/>
      <c r="W960" s="192"/>
      <c r="X960" s="192"/>
      <c r="Y960" s="192"/>
      <c r="Z960" s="191"/>
      <c r="AA960" s="191"/>
      <c r="AB960" s="193"/>
      <c r="AC960" s="193"/>
      <c r="AD960" s="191"/>
      <c r="AE960" s="194"/>
      <c r="AF960" s="194"/>
      <c r="AG960" s="194"/>
      <c r="AH960" s="194"/>
      <c r="AI960" s="190"/>
    </row>
    <row r="961" ht="16.5" customHeight="1">
      <c r="A961" s="190"/>
      <c r="B961" s="191"/>
      <c r="C961" s="191"/>
      <c r="D961" s="191"/>
      <c r="E961" s="192"/>
      <c r="F961" s="192"/>
      <c r="G961" s="192"/>
      <c r="H961" s="192"/>
      <c r="I961" s="192"/>
      <c r="J961" s="193"/>
      <c r="K961" s="192"/>
      <c r="L961" s="190"/>
      <c r="M961" s="194"/>
      <c r="N961" s="194"/>
      <c r="O961" s="194"/>
      <c r="P961" s="194"/>
      <c r="Q961" s="194"/>
      <c r="R961" s="194"/>
      <c r="S961" s="195"/>
      <c r="T961" s="195"/>
      <c r="U961" s="195"/>
      <c r="V961" s="191"/>
      <c r="W961" s="192"/>
      <c r="X961" s="192"/>
      <c r="Y961" s="192"/>
      <c r="Z961" s="191"/>
      <c r="AA961" s="191"/>
      <c r="AB961" s="193"/>
      <c r="AC961" s="193"/>
      <c r="AD961" s="191"/>
      <c r="AE961" s="194"/>
      <c r="AF961" s="194"/>
      <c r="AG961" s="194"/>
      <c r="AH961" s="194"/>
      <c r="AI961" s="190"/>
    </row>
    <row r="962" ht="16.5" customHeight="1">
      <c r="A962" s="190"/>
      <c r="B962" s="191"/>
      <c r="C962" s="191"/>
      <c r="D962" s="191"/>
      <c r="E962" s="192"/>
      <c r="F962" s="192"/>
      <c r="G962" s="192"/>
      <c r="H962" s="192"/>
      <c r="I962" s="192"/>
      <c r="J962" s="193"/>
      <c r="K962" s="192"/>
      <c r="L962" s="190"/>
      <c r="M962" s="194"/>
      <c r="N962" s="194"/>
      <c r="O962" s="194"/>
      <c r="P962" s="194"/>
      <c r="Q962" s="194"/>
      <c r="R962" s="194"/>
      <c r="S962" s="195"/>
      <c r="T962" s="195"/>
      <c r="U962" s="195"/>
      <c r="V962" s="191"/>
      <c r="W962" s="192"/>
      <c r="X962" s="192"/>
      <c r="Y962" s="192"/>
      <c r="Z962" s="191"/>
      <c r="AA962" s="191"/>
      <c r="AB962" s="193"/>
      <c r="AC962" s="193"/>
      <c r="AD962" s="191"/>
      <c r="AE962" s="194"/>
      <c r="AF962" s="194"/>
      <c r="AG962" s="194"/>
      <c r="AH962" s="194"/>
      <c r="AI962" s="190"/>
    </row>
    <row r="963" ht="16.5" customHeight="1">
      <c r="A963" s="190"/>
      <c r="B963" s="191"/>
      <c r="C963" s="191"/>
      <c r="D963" s="191"/>
      <c r="E963" s="192"/>
      <c r="F963" s="192"/>
      <c r="G963" s="192"/>
      <c r="H963" s="192"/>
      <c r="I963" s="192"/>
      <c r="J963" s="193"/>
      <c r="K963" s="192"/>
      <c r="L963" s="190"/>
      <c r="M963" s="194"/>
      <c r="N963" s="194"/>
      <c r="O963" s="194"/>
      <c r="P963" s="194"/>
      <c r="Q963" s="194"/>
      <c r="R963" s="194"/>
      <c r="S963" s="195"/>
      <c r="T963" s="195"/>
      <c r="U963" s="195"/>
      <c r="V963" s="191"/>
      <c r="W963" s="192"/>
      <c r="X963" s="192"/>
      <c r="Y963" s="192"/>
      <c r="Z963" s="191"/>
      <c r="AA963" s="191"/>
      <c r="AB963" s="193"/>
      <c r="AC963" s="193"/>
      <c r="AD963" s="191"/>
      <c r="AE963" s="194"/>
      <c r="AF963" s="194"/>
      <c r="AG963" s="194"/>
      <c r="AH963" s="194"/>
      <c r="AI963" s="190"/>
    </row>
    <row r="964" ht="16.5" customHeight="1">
      <c r="A964" s="190"/>
      <c r="B964" s="191"/>
      <c r="C964" s="191"/>
      <c r="D964" s="191"/>
      <c r="E964" s="192"/>
      <c r="F964" s="192"/>
      <c r="G964" s="192"/>
      <c r="H964" s="192"/>
      <c r="I964" s="192"/>
      <c r="J964" s="193"/>
      <c r="K964" s="192"/>
      <c r="L964" s="190"/>
      <c r="M964" s="194"/>
      <c r="N964" s="194"/>
      <c r="O964" s="194"/>
      <c r="P964" s="194"/>
      <c r="Q964" s="194"/>
      <c r="R964" s="194"/>
      <c r="S964" s="195"/>
      <c r="T964" s="195"/>
      <c r="U964" s="195"/>
      <c r="V964" s="191"/>
      <c r="W964" s="192"/>
      <c r="X964" s="192"/>
      <c r="Y964" s="192"/>
      <c r="Z964" s="191"/>
      <c r="AA964" s="191"/>
      <c r="AB964" s="193"/>
      <c r="AC964" s="193"/>
      <c r="AD964" s="191"/>
      <c r="AE964" s="194"/>
      <c r="AF964" s="194"/>
      <c r="AG964" s="194"/>
      <c r="AH964" s="194"/>
      <c r="AI964" s="190"/>
    </row>
    <row r="965" ht="16.5" customHeight="1">
      <c r="A965" s="190"/>
      <c r="B965" s="191"/>
      <c r="C965" s="191"/>
      <c r="D965" s="191"/>
      <c r="E965" s="192"/>
      <c r="F965" s="192"/>
      <c r="G965" s="192"/>
      <c r="H965" s="192"/>
      <c r="I965" s="192"/>
      <c r="J965" s="193"/>
      <c r="K965" s="192"/>
      <c r="L965" s="190"/>
      <c r="M965" s="194"/>
      <c r="N965" s="194"/>
      <c r="O965" s="194"/>
      <c r="P965" s="194"/>
      <c r="Q965" s="194"/>
      <c r="R965" s="194"/>
      <c r="S965" s="195"/>
      <c r="T965" s="195"/>
      <c r="U965" s="195"/>
      <c r="V965" s="191"/>
      <c r="W965" s="192"/>
      <c r="X965" s="192"/>
      <c r="Y965" s="192"/>
      <c r="Z965" s="191"/>
      <c r="AA965" s="191"/>
      <c r="AB965" s="193"/>
      <c r="AC965" s="193"/>
      <c r="AD965" s="191"/>
      <c r="AE965" s="194"/>
      <c r="AF965" s="194"/>
      <c r="AG965" s="194"/>
      <c r="AH965" s="194"/>
      <c r="AI965" s="190"/>
    </row>
    <row r="966" ht="16.5" customHeight="1">
      <c r="A966" s="190"/>
      <c r="B966" s="191"/>
      <c r="C966" s="191"/>
      <c r="D966" s="191"/>
      <c r="E966" s="192"/>
      <c r="F966" s="192"/>
      <c r="G966" s="192"/>
      <c r="H966" s="192"/>
      <c r="I966" s="192"/>
      <c r="J966" s="193"/>
      <c r="K966" s="192"/>
      <c r="L966" s="190"/>
      <c r="M966" s="194"/>
      <c r="N966" s="194"/>
      <c r="O966" s="194"/>
      <c r="P966" s="194"/>
      <c r="Q966" s="194"/>
      <c r="R966" s="194"/>
      <c r="S966" s="195"/>
      <c r="T966" s="195"/>
      <c r="U966" s="195"/>
      <c r="V966" s="191"/>
      <c r="W966" s="192"/>
      <c r="X966" s="192"/>
      <c r="Y966" s="192"/>
      <c r="Z966" s="191"/>
      <c r="AA966" s="191"/>
      <c r="AB966" s="193"/>
      <c r="AC966" s="193"/>
      <c r="AD966" s="191"/>
      <c r="AE966" s="194"/>
      <c r="AF966" s="194"/>
      <c r="AG966" s="194"/>
      <c r="AH966" s="194"/>
      <c r="AI966" s="190"/>
    </row>
    <row r="967" ht="16.5" customHeight="1">
      <c r="A967" s="190"/>
      <c r="B967" s="191"/>
      <c r="C967" s="191"/>
      <c r="D967" s="191"/>
      <c r="E967" s="192"/>
      <c r="F967" s="192"/>
      <c r="G967" s="192"/>
      <c r="H967" s="192"/>
      <c r="I967" s="192"/>
      <c r="J967" s="193"/>
      <c r="K967" s="192"/>
      <c r="L967" s="190"/>
      <c r="M967" s="194"/>
      <c r="N967" s="194"/>
      <c r="O967" s="194"/>
      <c r="P967" s="194"/>
      <c r="Q967" s="194"/>
      <c r="R967" s="194"/>
      <c r="S967" s="195"/>
      <c r="T967" s="195"/>
      <c r="U967" s="195"/>
      <c r="V967" s="191"/>
      <c r="W967" s="192"/>
      <c r="X967" s="192"/>
      <c r="Y967" s="192"/>
      <c r="Z967" s="191"/>
      <c r="AA967" s="191"/>
      <c r="AB967" s="193"/>
      <c r="AC967" s="193"/>
      <c r="AD967" s="191"/>
      <c r="AE967" s="194"/>
      <c r="AF967" s="194"/>
      <c r="AG967" s="194"/>
      <c r="AH967" s="194"/>
      <c r="AI967" s="190"/>
    </row>
    <row r="968" ht="16.5" customHeight="1">
      <c r="A968" s="190"/>
      <c r="B968" s="191"/>
      <c r="C968" s="191"/>
      <c r="D968" s="191"/>
      <c r="E968" s="192"/>
      <c r="F968" s="192"/>
      <c r="G968" s="192"/>
      <c r="H968" s="192"/>
      <c r="I968" s="192"/>
      <c r="J968" s="193"/>
      <c r="K968" s="192"/>
      <c r="L968" s="190"/>
      <c r="M968" s="194"/>
      <c r="N968" s="194"/>
      <c r="O968" s="194"/>
      <c r="P968" s="194"/>
      <c r="Q968" s="194"/>
      <c r="R968" s="194"/>
      <c r="S968" s="195"/>
      <c r="T968" s="195"/>
      <c r="U968" s="195"/>
      <c r="V968" s="191"/>
      <c r="W968" s="192"/>
      <c r="X968" s="192"/>
      <c r="Y968" s="192"/>
      <c r="Z968" s="191"/>
      <c r="AA968" s="191"/>
      <c r="AB968" s="193"/>
      <c r="AC968" s="193"/>
      <c r="AD968" s="191"/>
      <c r="AE968" s="194"/>
      <c r="AF968" s="194"/>
      <c r="AG968" s="194"/>
      <c r="AH968" s="194"/>
      <c r="AI968" s="190"/>
    </row>
    <row r="969" ht="16.5" customHeight="1">
      <c r="A969" s="190"/>
      <c r="B969" s="191"/>
      <c r="C969" s="191"/>
      <c r="D969" s="191"/>
      <c r="E969" s="192"/>
      <c r="F969" s="192"/>
      <c r="G969" s="192"/>
      <c r="H969" s="192"/>
      <c r="I969" s="192"/>
      <c r="J969" s="193"/>
      <c r="K969" s="192"/>
      <c r="L969" s="190"/>
      <c r="M969" s="194"/>
      <c r="N969" s="194"/>
      <c r="O969" s="194"/>
      <c r="P969" s="194"/>
      <c r="Q969" s="194"/>
      <c r="R969" s="194"/>
      <c r="S969" s="195"/>
      <c r="T969" s="195"/>
      <c r="U969" s="195"/>
      <c r="V969" s="191"/>
      <c r="W969" s="192"/>
      <c r="X969" s="192"/>
      <c r="Y969" s="192"/>
      <c r="Z969" s="191"/>
      <c r="AA969" s="191"/>
      <c r="AB969" s="193"/>
      <c r="AC969" s="193"/>
      <c r="AD969" s="191"/>
      <c r="AE969" s="194"/>
      <c r="AF969" s="194"/>
      <c r="AG969" s="194"/>
      <c r="AH969" s="194"/>
      <c r="AI969" s="190"/>
    </row>
    <row r="970" ht="16.5" customHeight="1">
      <c r="A970" s="190"/>
      <c r="B970" s="191"/>
      <c r="C970" s="191"/>
      <c r="D970" s="191"/>
      <c r="E970" s="192"/>
      <c r="F970" s="192"/>
      <c r="G970" s="192"/>
      <c r="H970" s="192"/>
      <c r="I970" s="192"/>
      <c r="J970" s="193"/>
      <c r="K970" s="192"/>
      <c r="L970" s="190"/>
      <c r="M970" s="194"/>
      <c r="N970" s="194"/>
      <c r="O970" s="194"/>
      <c r="P970" s="194"/>
      <c r="Q970" s="194"/>
      <c r="R970" s="194"/>
      <c r="S970" s="195"/>
      <c r="T970" s="195"/>
      <c r="U970" s="195"/>
      <c r="V970" s="191"/>
      <c r="W970" s="192"/>
      <c r="X970" s="192"/>
      <c r="Y970" s="192"/>
      <c r="Z970" s="191"/>
      <c r="AA970" s="191"/>
      <c r="AB970" s="193"/>
      <c r="AC970" s="193"/>
      <c r="AD970" s="191"/>
      <c r="AE970" s="194"/>
      <c r="AF970" s="194"/>
      <c r="AG970" s="194"/>
      <c r="AH970" s="194"/>
      <c r="AI970" s="190"/>
    </row>
    <row r="971" ht="16.5" customHeight="1">
      <c r="A971" s="190"/>
      <c r="B971" s="191"/>
      <c r="C971" s="191"/>
      <c r="D971" s="191"/>
      <c r="E971" s="192"/>
      <c r="F971" s="192"/>
      <c r="G971" s="192"/>
      <c r="H971" s="192"/>
      <c r="I971" s="192"/>
      <c r="J971" s="193"/>
      <c r="K971" s="192"/>
      <c r="L971" s="190"/>
      <c r="M971" s="194"/>
      <c r="N971" s="194"/>
      <c r="O971" s="194"/>
      <c r="P971" s="194"/>
      <c r="Q971" s="194"/>
      <c r="R971" s="194"/>
      <c r="S971" s="195"/>
      <c r="T971" s="195"/>
      <c r="U971" s="195"/>
      <c r="V971" s="191"/>
      <c r="W971" s="192"/>
      <c r="X971" s="192"/>
      <c r="Y971" s="192"/>
      <c r="Z971" s="191"/>
      <c r="AA971" s="191"/>
      <c r="AB971" s="193"/>
      <c r="AC971" s="193"/>
      <c r="AD971" s="191"/>
      <c r="AE971" s="194"/>
      <c r="AF971" s="194"/>
      <c r="AG971" s="194"/>
      <c r="AH971" s="194"/>
      <c r="AI971" s="190"/>
    </row>
    <row r="972" ht="16.5" customHeight="1">
      <c r="A972" s="190"/>
      <c r="B972" s="191"/>
      <c r="C972" s="191"/>
      <c r="D972" s="191"/>
      <c r="E972" s="192"/>
      <c r="F972" s="192"/>
      <c r="G972" s="192"/>
      <c r="H972" s="192"/>
      <c r="I972" s="192"/>
      <c r="J972" s="193"/>
      <c r="K972" s="192"/>
      <c r="L972" s="190"/>
      <c r="M972" s="194"/>
      <c r="N972" s="194"/>
      <c r="O972" s="194"/>
      <c r="P972" s="194"/>
      <c r="Q972" s="194"/>
      <c r="R972" s="194"/>
      <c r="S972" s="195"/>
      <c r="T972" s="195"/>
      <c r="U972" s="195"/>
      <c r="V972" s="191"/>
      <c r="W972" s="192"/>
      <c r="X972" s="192"/>
      <c r="Y972" s="192"/>
      <c r="Z972" s="191"/>
      <c r="AA972" s="191"/>
      <c r="AB972" s="193"/>
      <c r="AC972" s="193"/>
      <c r="AD972" s="191"/>
      <c r="AE972" s="194"/>
      <c r="AF972" s="194"/>
      <c r="AG972" s="194"/>
      <c r="AH972" s="194"/>
      <c r="AI972" s="190"/>
    </row>
    <row r="973" ht="16.5" customHeight="1">
      <c r="A973" s="190"/>
      <c r="B973" s="191"/>
      <c r="C973" s="191"/>
      <c r="D973" s="191"/>
      <c r="E973" s="192"/>
      <c r="F973" s="192"/>
      <c r="G973" s="192"/>
      <c r="H973" s="192"/>
      <c r="I973" s="192"/>
      <c r="J973" s="193"/>
      <c r="K973" s="192"/>
      <c r="L973" s="190"/>
      <c r="M973" s="194"/>
      <c r="N973" s="194"/>
      <c r="O973" s="194"/>
      <c r="P973" s="194"/>
      <c r="Q973" s="194"/>
      <c r="R973" s="194"/>
      <c r="S973" s="195"/>
      <c r="T973" s="195"/>
      <c r="U973" s="195"/>
      <c r="V973" s="191"/>
      <c r="W973" s="192"/>
      <c r="X973" s="192"/>
      <c r="Y973" s="192"/>
      <c r="Z973" s="191"/>
      <c r="AA973" s="191"/>
      <c r="AB973" s="193"/>
      <c r="AC973" s="193"/>
      <c r="AD973" s="191"/>
      <c r="AE973" s="194"/>
      <c r="AF973" s="194"/>
      <c r="AG973" s="194"/>
      <c r="AH973" s="194"/>
      <c r="AI973" s="190"/>
    </row>
    <row r="974" ht="16.5" customHeight="1">
      <c r="A974" s="190"/>
      <c r="B974" s="191"/>
      <c r="C974" s="191"/>
      <c r="D974" s="191"/>
      <c r="E974" s="192"/>
      <c r="F974" s="192"/>
      <c r="G974" s="192"/>
      <c r="H974" s="192"/>
      <c r="I974" s="192"/>
      <c r="J974" s="193"/>
      <c r="K974" s="192"/>
      <c r="L974" s="190"/>
      <c r="M974" s="194"/>
      <c r="N974" s="194"/>
      <c r="O974" s="194"/>
      <c r="P974" s="194"/>
      <c r="Q974" s="194"/>
      <c r="R974" s="194"/>
      <c r="S974" s="195"/>
      <c r="T974" s="195"/>
      <c r="U974" s="195"/>
      <c r="V974" s="191"/>
      <c r="W974" s="192"/>
      <c r="X974" s="192"/>
      <c r="Y974" s="192"/>
      <c r="Z974" s="191"/>
      <c r="AA974" s="191"/>
      <c r="AB974" s="193"/>
      <c r="AC974" s="193"/>
      <c r="AD974" s="191"/>
      <c r="AE974" s="194"/>
      <c r="AF974" s="194"/>
      <c r="AG974" s="194"/>
      <c r="AH974" s="194"/>
      <c r="AI974" s="190"/>
    </row>
    <row r="975" ht="16.5" customHeight="1">
      <c r="A975" s="190"/>
      <c r="B975" s="191"/>
      <c r="C975" s="191"/>
      <c r="D975" s="191"/>
      <c r="E975" s="192"/>
      <c r="F975" s="192"/>
      <c r="G975" s="192"/>
      <c r="H975" s="192"/>
      <c r="I975" s="192"/>
      <c r="J975" s="193"/>
      <c r="K975" s="192"/>
      <c r="L975" s="190"/>
      <c r="M975" s="194"/>
      <c r="N975" s="194"/>
      <c r="O975" s="194"/>
      <c r="P975" s="194"/>
      <c r="Q975" s="194"/>
      <c r="R975" s="194"/>
      <c r="S975" s="195"/>
      <c r="T975" s="195"/>
      <c r="U975" s="195"/>
      <c r="V975" s="191"/>
      <c r="W975" s="192"/>
      <c r="X975" s="192"/>
      <c r="Y975" s="192"/>
      <c r="Z975" s="191"/>
      <c r="AA975" s="191"/>
      <c r="AB975" s="193"/>
      <c r="AC975" s="193"/>
      <c r="AD975" s="191"/>
      <c r="AE975" s="194"/>
      <c r="AF975" s="194"/>
      <c r="AG975" s="194"/>
      <c r="AH975" s="194"/>
      <c r="AI975" s="190"/>
    </row>
    <row r="976" ht="16.5" customHeight="1">
      <c r="A976" s="190"/>
      <c r="B976" s="191"/>
      <c r="C976" s="191"/>
      <c r="D976" s="191"/>
      <c r="E976" s="192"/>
      <c r="F976" s="192"/>
      <c r="G976" s="192"/>
      <c r="H976" s="192"/>
      <c r="I976" s="192"/>
      <c r="J976" s="193"/>
      <c r="K976" s="192"/>
      <c r="L976" s="190"/>
      <c r="M976" s="194"/>
      <c r="N976" s="194"/>
      <c r="O976" s="194"/>
      <c r="P976" s="194"/>
      <c r="Q976" s="194"/>
      <c r="R976" s="194"/>
      <c r="S976" s="195"/>
      <c r="T976" s="195"/>
      <c r="U976" s="195"/>
      <c r="V976" s="191"/>
      <c r="W976" s="192"/>
      <c r="X976" s="192"/>
      <c r="Y976" s="192"/>
      <c r="Z976" s="191"/>
      <c r="AA976" s="191"/>
      <c r="AB976" s="193"/>
      <c r="AC976" s="193"/>
      <c r="AD976" s="191"/>
      <c r="AE976" s="194"/>
      <c r="AF976" s="194"/>
      <c r="AG976" s="194"/>
      <c r="AH976" s="194"/>
      <c r="AI976" s="190"/>
    </row>
    <row r="977" ht="16.5" customHeight="1">
      <c r="A977" s="190"/>
      <c r="B977" s="191"/>
      <c r="C977" s="191"/>
      <c r="D977" s="191"/>
      <c r="E977" s="192"/>
      <c r="F977" s="192"/>
      <c r="G977" s="192"/>
      <c r="H977" s="192"/>
      <c r="I977" s="192"/>
      <c r="J977" s="193"/>
      <c r="K977" s="192"/>
      <c r="L977" s="190"/>
      <c r="M977" s="194"/>
      <c r="N977" s="194"/>
      <c r="O977" s="194"/>
      <c r="P977" s="194"/>
      <c r="Q977" s="194"/>
      <c r="R977" s="194"/>
      <c r="S977" s="195"/>
      <c r="T977" s="195"/>
      <c r="U977" s="195"/>
      <c r="V977" s="191"/>
      <c r="W977" s="192"/>
      <c r="X977" s="192"/>
      <c r="Y977" s="192"/>
      <c r="Z977" s="191"/>
      <c r="AA977" s="191"/>
      <c r="AB977" s="193"/>
      <c r="AC977" s="193"/>
      <c r="AD977" s="191"/>
      <c r="AE977" s="194"/>
      <c r="AF977" s="194"/>
      <c r="AG977" s="194"/>
      <c r="AH977" s="194"/>
      <c r="AI977" s="190"/>
    </row>
    <row r="978" ht="16.5" customHeight="1">
      <c r="A978" s="190"/>
      <c r="B978" s="191"/>
      <c r="C978" s="191"/>
      <c r="D978" s="191"/>
      <c r="E978" s="192"/>
      <c r="F978" s="192"/>
      <c r="G978" s="192"/>
      <c r="H978" s="192"/>
      <c r="I978" s="192"/>
      <c r="J978" s="193"/>
      <c r="K978" s="192"/>
      <c r="L978" s="190"/>
      <c r="M978" s="194"/>
      <c r="N978" s="194"/>
      <c r="O978" s="194"/>
      <c r="P978" s="194"/>
      <c r="Q978" s="194"/>
      <c r="R978" s="194"/>
      <c r="S978" s="195"/>
      <c r="T978" s="195"/>
      <c r="U978" s="195"/>
      <c r="V978" s="191"/>
      <c r="W978" s="192"/>
      <c r="X978" s="192"/>
      <c r="Y978" s="192"/>
      <c r="Z978" s="191"/>
      <c r="AA978" s="191"/>
      <c r="AB978" s="193"/>
      <c r="AC978" s="193"/>
      <c r="AD978" s="191"/>
      <c r="AE978" s="194"/>
      <c r="AF978" s="194"/>
      <c r="AG978" s="194"/>
      <c r="AH978" s="194"/>
      <c r="AI978" s="190"/>
    </row>
    <row r="979" ht="16.5" customHeight="1">
      <c r="A979" s="190"/>
      <c r="B979" s="191"/>
      <c r="C979" s="191"/>
      <c r="D979" s="191"/>
      <c r="E979" s="192"/>
      <c r="F979" s="192"/>
      <c r="G979" s="192"/>
      <c r="H979" s="192"/>
      <c r="I979" s="192"/>
      <c r="J979" s="193"/>
      <c r="K979" s="192"/>
      <c r="L979" s="190"/>
      <c r="M979" s="194"/>
      <c r="N979" s="194"/>
      <c r="O979" s="194"/>
      <c r="P979" s="194"/>
      <c r="Q979" s="194"/>
      <c r="R979" s="194"/>
      <c r="S979" s="195"/>
      <c r="T979" s="195"/>
      <c r="U979" s="195"/>
      <c r="V979" s="191"/>
      <c r="W979" s="192"/>
      <c r="X979" s="192"/>
      <c r="Y979" s="192"/>
      <c r="Z979" s="191"/>
      <c r="AA979" s="191"/>
      <c r="AB979" s="193"/>
      <c r="AC979" s="193"/>
      <c r="AD979" s="191"/>
      <c r="AE979" s="194"/>
      <c r="AF979" s="194"/>
      <c r="AG979" s="194"/>
      <c r="AH979" s="194"/>
      <c r="AI979" s="190"/>
    </row>
    <row r="980" ht="16.5" customHeight="1">
      <c r="A980" s="190"/>
      <c r="B980" s="191"/>
      <c r="C980" s="191"/>
      <c r="D980" s="191"/>
      <c r="E980" s="192"/>
      <c r="F980" s="192"/>
      <c r="G980" s="192"/>
      <c r="H980" s="192"/>
      <c r="I980" s="192"/>
      <c r="J980" s="193"/>
      <c r="K980" s="192"/>
      <c r="L980" s="190"/>
      <c r="M980" s="194"/>
      <c r="N980" s="194"/>
      <c r="O980" s="194"/>
      <c r="P980" s="194"/>
      <c r="Q980" s="194"/>
      <c r="R980" s="194"/>
      <c r="S980" s="195"/>
      <c r="T980" s="195"/>
      <c r="U980" s="195"/>
      <c r="V980" s="191"/>
      <c r="W980" s="192"/>
      <c r="X980" s="192"/>
      <c r="Y980" s="192"/>
      <c r="Z980" s="191"/>
      <c r="AA980" s="191"/>
      <c r="AB980" s="193"/>
      <c r="AC980" s="193"/>
      <c r="AD980" s="191"/>
      <c r="AE980" s="194"/>
      <c r="AF980" s="194"/>
      <c r="AG980" s="194"/>
      <c r="AH980" s="194"/>
      <c r="AI980" s="190"/>
    </row>
    <row r="981" ht="16.5" customHeight="1">
      <c r="A981" s="190"/>
      <c r="B981" s="191"/>
      <c r="C981" s="191"/>
      <c r="D981" s="191"/>
      <c r="E981" s="192"/>
      <c r="F981" s="192"/>
      <c r="G981" s="192"/>
      <c r="H981" s="192"/>
      <c r="I981" s="192"/>
      <c r="J981" s="193"/>
      <c r="K981" s="192"/>
      <c r="L981" s="190"/>
      <c r="M981" s="194"/>
      <c r="N981" s="194"/>
      <c r="O981" s="194"/>
      <c r="P981" s="194"/>
      <c r="Q981" s="194"/>
      <c r="R981" s="194"/>
      <c r="S981" s="195"/>
      <c r="T981" s="195"/>
      <c r="U981" s="195"/>
      <c r="V981" s="191"/>
      <c r="W981" s="192"/>
      <c r="X981" s="192"/>
      <c r="Y981" s="192"/>
      <c r="Z981" s="191"/>
      <c r="AA981" s="191"/>
      <c r="AB981" s="193"/>
      <c r="AC981" s="193"/>
      <c r="AD981" s="191"/>
      <c r="AE981" s="194"/>
      <c r="AF981" s="194"/>
      <c r="AG981" s="194"/>
      <c r="AH981" s="194"/>
      <c r="AI981" s="190"/>
    </row>
    <row r="982" ht="16.5" customHeight="1">
      <c r="A982" s="190"/>
      <c r="B982" s="191"/>
      <c r="C982" s="191"/>
      <c r="D982" s="191"/>
      <c r="E982" s="192"/>
      <c r="F982" s="192"/>
      <c r="G982" s="192"/>
      <c r="H982" s="192"/>
      <c r="I982" s="192"/>
      <c r="J982" s="193"/>
      <c r="K982" s="192"/>
      <c r="L982" s="190"/>
      <c r="M982" s="194"/>
      <c r="N982" s="194"/>
      <c r="O982" s="194"/>
      <c r="P982" s="194"/>
      <c r="Q982" s="194"/>
      <c r="R982" s="194"/>
      <c r="S982" s="195"/>
      <c r="T982" s="195"/>
      <c r="U982" s="195"/>
      <c r="V982" s="191"/>
      <c r="W982" s="192"/>
      <c r="X982" s="192"/>
      <c r="Y982" s="192"/>
      <c r="Z982" s="191"/>
      <c r="AA982" s="191"/>
      <c r="AB982" s="193"/>
      <c r="AC982" s="193"/>
      <c r="AD982" s="191"/>
      <c r="AE982" s="194"/>
      <c r="AF982" s="194"/>
      <c r="AG982" s="194"/>
      <c r="AH982" s="194"/>
      <c r="AI982" s="190"/>
    </row>
    <row r="983" ht="16.5" customHeight="1">
      <c r="A983" s="190"/>
      <c r="B983" s="191"/>
      <c r="C983" s="191"/>
      <c r="D983" s="191"/>
      <c r="E983" s="192"/>
      <c r="F983" s="192"/>
      <c r="G983" s="192"/>
      <c r="H983" s="192"/>
      <c r="I983" s="192"/>
      <c r="J983" s="193"/>
      <c r="K983" s="192"/>
      <c r="L983" s="190"/>
      <c r="M983" s="194"/>
      <c r="N983" s="194"/>
      <c r="O983" s="194"/>
      <c r="P983" s="194"/>
      <c r="Q983" s="194"/>
      <c r="R983" s="194"/>
      <c r="S983" s="195"/>
      <c r="T983" s="195"/>
      <c r="U983" s="195"/>
      <c r="V983" s="191"/>
      <c r="W983" s="192"/>
      <c r="X983" s="192"/>
      <c r="Y983" s="192"/>
      <c r="Z983" s="191"/>
      <c r="AA983" s="191"/>
      <c r="AB983" s="193"/>
      <c r="AC983" s="193"/>
      <c r="AD983" s="191"/>
      <c r="AE983" s="194"/>
      <c r="AF983" s="194"/>
      <c r="AG983" s="194"/>
      <c r="AH983" s="194"/>
      <c r="AI983" s="190"/>
    </row>
    <row r="984" ht="16.5" customHeight="1">
      <c r="A984" s="190"/>
      <c r="B984" s="191"/>
      <c r="C984" s="191"/>
      <c r="D984" s="191"/>
      <c r="E984" s="192"/>
      <c r="F984" s="192"/>
      <c r="G984" s="192"/>
      <c r="H984" s="192"/>
      <c r="I984" s="192"/>
      <c r="J984" s="193"/>
      <c r="K984" s="192"/>
      <c r="L984" s="190"/>
      <c r="M984" s="194"/>
      <c r="N984" s="194"/>
      <c r="O984" s="194"/>
      <c r="P984" s="194"/>
      <c r="Q984" s="194"/>
      <c r="R984" s="194"/>
      <c r="S984" s="195"/>
      <c r="T984" s="195"/>
      <c r="U984" s="195"/>
      <c r="V984" s="191"/>
      <c r="W984" s="192"/>
      <c r="X984" s="192"/>
      <c r="Y984" s="192"/>
      <c r="Z984" s="191"/>
      <c r="AA984" s="191"/>
      <c r="AB984" s="193"/>
      <c r="AC984" s="193"/>
      <c r="AD984" s="191"/>
      <c r="AE984" s="194"/>
      <c r="AF984" s="194"/>
      <c r="AG984" s="194"/>
      <c r="AH984" s="194"/>
      <c r="AI984" s="190"/>
    </row>
    <row r="985" ht="16.5" customHeight="1">
      <c r="A985" s="190"/>
      <c r="B985" s="191"/>
      <c r="C985" s="191"/>
      <c r="D985" s="191"/>
      <c r="E985" s="192"/>
      <c r="F985" s="192"/>
      <c r="G985" s="192"/>
      <c r="H985" s="192"/>
      <c r="I985" s="192"/>
      <c r="J985" s="193"/>
      <c r="K985" s="192"/>
      <c r="L985" s="190"/>
      <c r="M985" s="194"/>
      <c r="N985" s="194"/>
      <c r="O985" s="194"/>
      <c r="P985" s="194"/>
      <c r="Q985" s="194"/>
      <c r="R985" s="194"/>
      <c r="S985" s="195"/>
      <c r="T985" s="195"/>
      <c r="U985" s="195"/>
      <c r="V985" s="191"/>
      <c r="W985" s="192"/>
      <c r="X985" s="192"/>
      <c r="Y985" s="192"/>
      <c r="Z985" s="191"/>
      <c r="AA985" s="191"/>
      <c r="AB985" s="193"/>
      <c r="AC985" s="193"/>
      <c r="AD985" s="191"/>
      <c r="AE985" s="194"/>
      <c r="AF985" s="194"/>
      <c r="AG985" s="194"/>
      <c r="AH985" s="194"/>
      <c r="AI985" s="190"/>
    </row>
    <row r="986" ht="16.5" customHeight="1">
      <c r="A986" s="190"/>
      <c r="B986" s="191"/>
      <c r="C986" s="191"/>
      <c r="D986" s="191"/>
      <c r="E986" s="192"/>
      <c r="F986" s="192"/>
      <c r="G986" s="192"/>
      <c r="H986" s="192"/>
      <c r="I986" s="192"/>
      <c r="J986" s="193"/>
      <c r="K986" s="192"/>
      <c r="L986" s="190"/>
      <c r="M986" s="194"/>
      <c r="N986" s="194"/>
      <c r="O986" s="194"/>
      <c r="P986" s="194"/>
      <c r="Q986" s="194"/>
      <c r="R986" s="194"/>
      <c r="S986" s="195"/>
      <c r="T986" s="195"/>
      <c r="U986" s="195"/>
      <c r="V986" s="191"/>
      <c r="W986" s="192"/>
      <c r="X986" s="192"/>
      <c r="Y986" s="192"/>
      <c r="Z986" s="191"/>
      <c r="AA986" s="191"/>
      <c r="AB986" s="193"/>
      <c r="AC986" s="193"/>
      <c r="AD986" s="191"/>
      <c r="AE986" s="194"/>
      <c r="AF986" s="194"/>
      <c r="AG986" s="194"/>
      <c r="AH986" s="194"/>
      <c r="AI986" s="190"/>
    </row>
    <row r="987" ht="16.5" customHeight="1">
      <c r="A987" s="190"/>
      <c r="B987" s="191"/>
      <c r="C987" s="191"/>
      <c r="D987" s="191"/>
      <c r="E987" s="192"/>
      <c r="F987" s="192"/>
      <c r="G987" s="192"/>
      <c r="H987" s="192"/>
      <c r="I987" s="192"/>
      <c r="J987" s="193"/>
      <c r="K987" s="192"/>
      <c r="L987" s="190"/>
      <c r="M987" s="194"/>
      <c r="N987" s="194"/>
      <c r="O987" s="194"/>
      <c r="P987" s="194"/>
      <c r="Q987" s="194"/>
      <c r="R987" s="194"/>
      <c r="S987" s="195"/>
      <c r="T987" s="195"/>
      <c r="U987" s="195"/>
      <c r="V987" s="191"/>
      <c r="W987" s="192"/>
      <c r="X987" s="192"/>
      <c r="Y987" s="192"/>
      <c r="Z987" s="191"/>
      <c r="AA987" s="191"/>
      <c r="AB987" s="193"/>
      <c r="AC987" s="193"/>
      <c r="AD987" s="191"/>
      <c r="AE987" s="194"/>
      <c r="AF987" s="194"/>
      <c r="AG987" s="194"/>
      <c r="AH987" s="194"/>
      <c r="AI987" s="190"/>
    </row>
    <row r="988" ht="16.5" customHeight="1">
      <c r="A988" s="190"/>
      <c r="B988" s="191"/>
      <c r="C988" s="191"/>
      <c r="D988" s="191"/>
      <c r="E988" s="192"/>
      <c r="F988" s="192"/>
      <c r="G988" s="192"/>
      <c r="H988" s="192"/>
      <c r="I988" s="192"/>
      <c r="J988" s="193"/>
      <c r="K988" s="192"/>
      <c r="L988" s="190"/>
      <c r="M988" s="194"/>
      <c r="N988" s="194"/>
      <c r="O988" s="194"/>
      <c r="P988" s="194"/>
      <c r="Q988" s="194"/>
      <c r="R988" s="194"/>
      <c r="S988" s="195"/>
      <c r="T988" s="195"/>
      <c r="U988" s="195"/>
      <c r="V988" s="191"/>
      <c r="W988" s="192"/>
      <c r="X988" s="192"/>
      <c r="Y988" s="192"/>
      <c r="Z988" s="191"/>
      <c r="AA988" s="191"/>
      <c r="AB988" s="193"/>
      <c r="AC988" s="193"/>
      <c r="AD988" s="191"/>
      <c r="AE988" s="194"/>
      <c r="AF988" s="194"/>
      <c r="AG988" s="194"/>
      <c r="AH988" s="194"/>
      <c r="AI988" s="190"/>
    </row>
    <row r="989" ht="16.5" customHeight="1">
      <c r="A989" s="190"/>
      <c r="B989" s="191"/>
      <c r="C989" s="191"/>
      <c r="D989" s="191"/>
      <c r="E989" s="192"/>
      <c r="F989" s="192"/>
      <c r="G989" s="192"/>
      <c r="H989" s="192"/>
      <c r="I989" s="192"/>
      <c r="J989" s="193"/>
      <c r="K989" s="192"/>
      <c r="L989" s="190"/>
      <c r="M989" s="194"/>
      <c r="N989" s="194"/>
      <c r="O989" s="194"/>
      <c r="P989" s="194"/>
      <c r="Q989" s="194"/>
      <c r="R989" s="194"/>
      <c r="S989" s="195"/>
      <c r="T989" s="195"/>
      <c r="U989" s="195"/>
      <c r="V989" s="191"/>
      <c r="W989" s="192"/>
      <c r="X989" s="192"/>
      <c r="Y989" s="192"/>
      <c r="Z989" s="191"/>
      <c r="AA989" s="191"/>
      <c r="AB989" s="193"/>
      <c r="AC989" s="193"/>
      <c r="AD989" s="191"/>
      <c r="AE989" s="194"/>
      <c r="AF989" s="194"/>
      <c r="AG989" s="194"/>
      <c r="AH989" s="194"/>
      <c r="AI989" s="190"/>
    </row>
    <row r="990" ht="16.5" customHeight="1">
      <c r="A990" s="190"/>
      <c r="B990" s="191"/>
      <c r="C990" s="191"/>
      <c r="D990" s="191"/>
      <c r="E990" s="192"/>
      <c r="F990" s="192"/>
      <c r="G990" s="192"/>
      <c r="H990" s="192"/>
      <c r="I990" s="192"/>
      <c r="J990" s="193"/>
      <c r="K990" s="192"/>
      <c r="L990" s="190"/>
      <c r="M990" s="194"/>
      <c r="N990" s="194"/>
      <c r="O990" s="194"/>
      <c r="P990" s="194"/>
      <c r="Q990" s="194"/>
      <c r="R990" s="194"/>
      <c r="S990" s="195"/>
      <c r="T990" s="195"/>
      <c r="U990" s="195"/>
      <c r="V990" s="191"/>
      <c r="W990" s="192"/>
      <c r="X990" s="192"/>
      <c r="Y990" s="192"/>
      <c r="Z990" s="191"/>
      <c r="AA990" s="191"/>
      <c r="AB990" s="193"/>
      <c r="AC990" s="193"/>
      <c r="AD990" s="191"/>
      <c r="AE990" s="194"/>
      <c r="AF990" s="194"/>
      <c r="AG990" s="194"/>
      <c r="AH990" s="194"/>
      <c r="AI990" s="190"/>
    </row>
    <row r="991" ht="16.5" customHeight="1">
      <c r="A991" s="190"/>
      <c r="B991" s="191"/>
      <c r="C991" s="191"/>
      <c r="D991" s="191"/>
      <c r="E991" s="192"/>
      <c r="F991" s="192"/>
      <c r="G991" s="192"/>
      <c r="H991" s="192"/>
      <c r="I991" s="192"/>
      <c r="J991" s="193"/>
      <c r="K991" s="192"/>
      <c r="L991" s="190"/>
      <c r="M991" s="194"/>
      <c r="N991" s="194"/>
      <c r="O991" s="194"/>
      <c r="P991" s="194"/>
      <c r="Q991" s="194"/>
      <c r="R991" s="194"/>
      <c r="S991" s="195"/>
      <c r="T991" s="195"/>
      <c r="U991" s="195"/>
      <c r="V991" s="191"/>
      <c r="W991" s="192"/>
      <c r="X991" s="192"/>
      <c r="Y991" s="192"/>
      <c r="Z991" s="191"/>
      <c r="AA991" s="191"/>
      <c r="AB991" s="193"/>
      <c r="AC991" s="193"/>
      <c r="AD991" s="191"/>
      <c r="AE991" s="194"/>
      <c r="AF991" s="194"/>
      <c r="AG991" s="194"/>
      <c r="AH991" s="194"/>
      <c r="AI991" s="190"/>
    </row>
    <row r="992" ht="16.5" customHeight="1">
      <c r="A992" s="190"/>
      <c r="B992" s="191"/>
      <c r="C992" s="191"/>
      <c r="D992" s="191"/>
      <c r="E992" s="192"/>
      <c r="F992" s="192"/>
      <c r="G992" s="192"/>
      <c r="H992" s="192"/>
      <c r="I992" s="192"/>
      <c r="J992" s="193"/>
      <c r="K992" s="192"/>
      <c r="L992" s="190"/>
      <c r="M992" s="194"/>
      <c r="N992" s="194"/>
      <c r="O992" s="194"/>
      <c r="P992" s="194"/>
      <c r="Q992" s="194"/>
      <c r="R992" s="194"/>
      <c r="S992" s="195"/>
      <c r="T992" s="195"/>
      <c r="U992" s="195"/>
      <c r="V992" s="191"/>
      <c r="W992" s="192"/>
      <c r="X992" s="192"/>
      <c r="Y992" s="192"/>
      <c r="Z992" s="191"/>
      <c r="AA992" s="191"/>
      <c r="AB992" s="193"/>
      <c r="AC992" s="193"/>
      <c r="AD992" s="191"/>
      <c r="AE992" s="194"/>
      <c r="AF992" s="194"/>
      <c r="AG992" s="194"/>
      <c r="AH992" s="194"/>
      <c r="AI992" s="190"/>
    </row>
    <row r="993" ht="16.5" customHeight="1">
      <c r="A993" s="190"/>
      <c r="B993" s="191"/>
      <c r="C993" s="191"/>
      <c r="D993" s="191"/>
      <c r="E993" s="192"/>
      <c r="F993" s="192"/>
      <c r="G993" s="192"/>
      <c r="H993" s="192"/>
      <c r="I993" s="192"/>
      <c r="J993" s="193"/>
      <c r="K993" s="192"/>
      <c r="L993" s="190"/>
      <c r="M993" s="194"/>
      <c r="N993" s="194"/>
      <c r="O993" s="194"/>
      <c r="P993" s="194"/>
      <c r="Q993" s="194"/>
      <c r="R993" s="194"/>
      <c r="S993" s="195"/>
      <c r="T993" s="195"/>
      <c r="U993" s="195"/>
      <c r="V993" s="191"/>
      <c r="W993" s="192"/>
      <c r="X993" s="192"/>
      <c r="Y993" s="192"/>
      <c r="Z993" s="191"/>
      <c r="AA993" s="191"/>
      <c r="AB993" s="193"/>
      <c r="AC993" s="193"/>
      <c r="AD993" s="191"/>
      <c r="AE993" s="194"/>
      <c r="AF993" s="194"/>
      <c r="AG993" s="194"/>
      <c r="AH993" s="194"/>
      <c r="AI993" s="190"/>
    </row>
    <row r="994" ht="16.5" customHeight="1">
      <c r="A994" s="190"/>
      <c r="B994" s="191"/>
      <c r="C994" s="191"/>
      <c r="D994" s="191"/>
      <c r="E994" s="192"/>
      <c r="F994" s="192"/>
      <c r="G994" s="192"/>
      <c r="H994" s="192"/>
      <c r="I994" s="192"/>
      <c r="J994" s="193"/>
      <c r="K994" s="192"/>
      <c r="L994" s="190"/>
      <c r="M994" s="194"/>
      <c r="N994" s="194"/>
      <c r="O994" s="194"/>
      <c r="P994" s="194"/>
      <c r="Q994" s="194"/>
      <c r="R994" s="194"/>
      <c r="S994" s="195"/>
      <c r="T994" s="195"/>
      <c r="U994" s="195"/>
      <c r="V994" s="191"/>
      <c r="W994" s="192"/>
      <c r="X994" s="192"/>
      <c r="Y994" s="192"/>
      <c r="Z994" s="191"/>
      <c r="AA994" s="191"/>
      <c r="AB994" s="193"/>
      <c r="AC994" s="193"/>
      <c r="AD994" s="191"/>
      <c r="AE994" s="194"/>
      <c r="AF994" s="194"/>
      <c r="AG994" s="194"/>
      <c r="AH994" s="194"/>
      <c r="AI994" s="190"/>
    </row>
    <row r="995" ht="16.5" customHeight="1">
      <c r="A995" s="190"/>
      <c r="B995" s="191"/>
      <c r="C995" s="191"/>
      <c r="D995" s="191"/>
      <c r="E995" s="192"/>
      <c r="F995" s="192"/>
      <c r="G995" s="192"/>
      <c r="H995" s="192"/>
      <c r="I995" s="192"/>
      <c r="J995" s="193"/>
      <c r="K995" s="192"/>
      <c r="L995" s="190"/>
      <c r="M995" s="194"/>
      <c r="N995" s="194"/>
      <c r="O995" s="194"/>
      <c r="P995" s="194"/>
      <c r="Q995" s="194"/>
      <c r="R995" s="194"/>
      <c r="S995" s="195"/>
      <c r="T995" s="195"/>
      <c r="U995" s="195"/>
      <c r="V995" s="191"/>
      <c r="W995" s="192"/>
      <c r="X995" s="192"/>
      <c r="Y995" s="192"/>
      <c r="Z995" s="191"/>
      <c r="AA995" s="191"/>
      <c r="AB995" s="193"/>
      <c r="AC995" s="193"/>
      <c r="AD995" s="191"/>
      <c r="AE995" s="194"/>
      <c r="AF995" s="194"/>
      <c r="AG995" s="194"/>
      <c r="AH995" s="194"/>
      <c r="AI995" s="190"/>
    </row>
    <row r="996" ht="16.5" customHeight="1">
      <c r="A996" s="190"/>
      <c r="B996" s="191"/>
      <c r="C996" s="191"/>
      <c r="D996" s="191"/>
      <c r="E996" s="192"/>
      <c r="F996" s="192"/>
      <c r="G996" s="192"/>
      <c r="H996" s="192"/>
      <c r="I996" s="192"/>
      <c r="J996" s="193"/>
      <c r="K996" s="192"/>
      <c r="L996" s="190"/>
      <c r="M996" s="194"/>
      <c r="N996" s="194"/>
      <c r="O996" s="194"/>
      <c r="P996" s="194"/>
      <c r="Q996" s="194"/>
      <c r="R996" s="194"/>
      <c r="S996" s="195"/>
      <c r="T996" s="195"/>
      <c r="U996" s="195"/>
      <c r="V996" s="191"/>
      <c r="W996" s="192"/>
      <c r="X996" s="192"/>
      <c r="Y996" s="192"/>
      <c r="Z996" s="191"/>
      <c r="AA996" s="191"/>
      <c r="AB996" s="193"/>
      <c r="AC996" s="193"/>
      <c r="AD996" s="191"/>
      <c r="AE996" s="194"/>
      <c r="AF996" s="194"/>
      <c r="AG996" s="194"/>
      <c r="AH996" s="194"/>
      <c r="AI996" s="190"/>
    </row>
    <row r="997" ht="16.5" customHeight="1">
      <c r="A997" s="190"/>
      <c r="B997" s="191"/>
      <c r="C997" s="191"/>
      <c r="D997" s="191"/>
      <c r="E997" s="192"/>
      <c r="F997" s="192"/>
      <c r="G997" s="192"/>
      <c r="H997" s="192"/>
      <c r="I997" s="192"/>
      <c r="J997" s="193"/>
      <c r="K997" s="192"/>
      <c r="L997" s="190"/>
      <c r="M997" s="194"/>
      <c r="N997" s="194"/>
      <c r="O997" s="194"/>
      <c r="P997" s="194"/>
      <c r="Q997" s="194"/>
      <c r="R997" s="194"/>
      <c r="S997" s="195"/>
      <c r="T997" s="195"/>
      <c r="U997" s="195"/>
      <c r="V997" s="191"/>
      <c r="W997" s="192"/>
      <c r="X997" s="192"/>
      <c r="Y997" s="192"/>
      <c r="Z997" s="191"/>
      <c r="AA997" s="191"/>
      <c r="AB997" s="193"/>
      <c r="AC997" s="193"/>
      <c r="AD997" s="191"/>
      <c r="AE997" s="194"/>
      <c r="AF997" s="194"/>
      <c r="AG997" s="194"/>
      <c r="AH997" s="194"/>
      <c r="AI997" s="190"/>
    </row>
    <row r="998" ht="16.5" customHeight="1">
      <c r="A998" s="190"/>
      <c r="B998" s="191"/>
      <c r="C998" s="191"/>
      <c r="D998" s="191"/>
      <c r="E998" s="192"/>
      <c r="F998" s="192"/>
      <c r="G998" s="192"/>
      <c r="H998" s="192"/>
      <c r="I998" s="192"/>
      <c r="J998" s="193"/>
      <c r="K998" s="192"/>
      <c r="L998" s="190"/>
      <c r="M998" s="194"/>
      <c r="N998" s="194"/>
      <c r="O998" s="194"/>
      <c r="P998" s="194"/>
      <c r="Q998" s="194"/>
      <c r="R998" s="194"/>
      <c r="S998" s="195"/>
      <c r="T998" s="195"/>
      <c r="U998" s="195"/>
      <c r="V998" s="191"/>
      <c r="W998" s="192"/>
      <c r="X998" s="192"/>
      <c r="Y998" s="192"/>
      <c r="Z998" s="191"/>
      <c r="AA998" s="191"/>
      <c r="AB998" s="193"/>
      <c r="AC998" s="193"/>
      <c r="AD998" s="191"/>
      <c r="AE998" s="194"/>
      <c r="AF998" s="194"/>
      <c r="AG998" s="194"/>
      <c r="AH998" s="194"/>
      <c r="AI998" s="190"/>
    </row>
    <row r="999" ht="16.5" customHeight="1">
      <c r="A999" s="190"/>
      <c r="B999" s="191"/>
      <c r="C999" s="191"/>
      <c r="D999" s="191"/>
      <c r="E999" s="192"/>
      <c r="F999" s="192"/>
      <c r="G999" s="192"/>
      <c r="H999" s="192"/>
      <c r="I999" s="192"/>
      <c r="J999" s="193"/>
      <c r="K999" s="192"/>
      <c r="L999" s="190"/>
      <c r="M999" s="194"/>
      <c r="N999" s="194"/>
      <c r="O999" s="194"/>
      <c r="P999" s="194"/>
      <c r="Q999" s="194"/>
      <c r="R999" s="194"/>
      <c r="S999" s="195"/>
      <c r="T999" s="195"/>
      <c r="U999" s="195"/>
      <c r="V999" s="191"/>
      <c r="W999" s="192"/>
      <c r="X999" s="192"/>
      <c r="Y999" s="192"/>
      <c r="Z999" s="191"/>
      <c r="AA999" s="191"/>
      <c r="AB999" s="193"/>
      <c r="AC999" s="193"/>
      <c r="AD999" s="191"/>
      <c r="AE999" s="194"/>
      <c r="AF999" s="194"/>
      <c r="AG999" s="194"/>
      <c r="AH999" s="194"/>
      <c r="AI999" s="190"/>
    </row>
    <row r="1000" ht="16.5" customHeight="1">
      <c r="A1000" s="190"/>
      <c r="B1000" s="191"/>
      <c r="C1000" s="191"/>
      <c r="D1000" s="191"/>
      <c r="E1000" s="192"/>
      <c r="F1000" s="192"/>
      <c r="G1000" s="192"/>
      <c r="H1000" s="192"/>
      <c r="I1000" s="192"/>
      <c r="J1000" s="193"/>
      <c r="K1000" s="192"/>
      <c r="L1000" s="190"/>
      <c r="M1000" s="194"/>
      <c r="N1000" s="194"/>
      <c r="O1000" s="194"/>
      <c r="P1000" s="194"/>
      <c r="Q1000" s="194"/>
      <c r="R1000" s="194"/>
      <c r="S1000" s="195"/>
      <c r="T1000" s="195"/>
      <c r="U1000" s="195"/>
      <c r="V1000" s="191"/>
      <c r="W1000" s="192"/>
      <c r="X1000" s="192"/>
      <c r="Y1000" s="192"/>
      <c r="Z1000" s="191"/>
      <c r="AA1000" s="191"/>
      <c r="AB1000" s="193"/>
      <c r="AC1000" s="193"/>
      <c r="AD1000" s="191"/>
      <c r="AE1000" s="194"/>
      <c r="AF1000" s="194"/>
      <c r="AG1000" s="194"/>
      <c r="AH1000" s="194"/>
      <c r="AI1000" s="190"/>
    </row>
  </sheetData>
  <autoFilter ref="$B$7:$AH$178"/>
  <mergeCells count="1">
    <mergeCell ref="B2:AF2"/>
  </mergeCells>
  <conditionalFormatting sqref="L1 L178:L1000">
    <cfRule type="cellIs" dxfId="3" priority="1" operator="equal">
      <formula>"Y"</formula>
    </cfRule>
  </conditionalFormatting>
  <conditionalFormatting sqref="L1 L178:L1000">
    <cfRule type="cellIs" dxfId="10" priority="2" operator="equal">
      <formula>"N"</formula>
    </cfRule>
  </conditionalFormatting>
  <conditionalFormatting sqref="L1 L178:L1000">
    <cfRule type="cellIs" dxfId="5" priority="3" operator="equal">
      <formula>"N/A"</formula>
    </cfRule>
  </conditionalFormatting>
  <conditionalFormatting sqref="L1 L178:L1000">
    <cfRule type="cellIs" dxfId="11" priority="4" operator="equal">
      <formula>"P"</formula>
    </cfRule>
  </conditionalFormatting>
  <conditionalFormatting sqref="L3:L6">
    <cfRule type="cellIs" dxfId="3" priority="5" operator="equal">
      <formula>"Y"</formula>
    </cfRule>
  </conditionalFormatting>
  <conditionalFormatting sqref="L3:L6">
    <cfRule type="cellIs" dxfId="10" priority="6" operator="equal">
      <formula>"N"</formula>
    </cfRule>
  </conditionalFormatting>
  <conditionalFormatting sqref="L3:L6">
    <cfRule type="cellIs" dxfId="5" priority="7" operator="equal">
      <formula>"N/A"</formula>
    </cfRule>
  </conditionalFormatting>
  <conditionalFormatting sqref="L3:L6">
    <cfRule type="cellIs" dxfId="11" priority="8" operator="equal">
      <formula>"P"</formula>
    </cfRule>
  </conditionalFormatting>
  <conditionalFormatting sqref="L8:P177">
    <cfRule type="containsText" dxfId="0" priority="9" operator="containsText" text="N/A">
      <formula>NOT(ISERROR(SEARCH(("N/A"),(L8))))</formula>
    </cfRule>
  </conditionalFormatting>
  <conditionalFormatting sqref="L8:P177">
    <cfRule type="containsText" dxfId="1" priority="10" operator="containsText" text="N">
      <formula>NOT(ISERROR(SEARCH(("N"),(L8))))</formula>
    </cfRule>
  </conditionalFormatting>
  <conditionalFormatting sqref="L8:P177">
    <cfRule type="containsText" dxfId="2" priority="11" operator="containsText" text="P">
      <formula>NOT(ISERROR(SEARCH(("P"),(L8))))</formula>
    </cfRule>
  </conditionalFormatting>
  <conditionalFormatting sqref="L8:P177">
    <cfRule type="containsText" dxfId="3" priority="12" operator="containsText" text="Y">
      <formula>NOT(ISERROR(SEARCH(("Y"),(L8))))</formula>
    </cfRule>
  </conditionalFormatting>
  <conditionalFormatting sqref="Q8:R177">
    <cfRule type="cellIs" dxfId="10" priority="13" operator="equal">
      <formula>"N"</formula>
    </cfRule>
  </conditionalFormatting>
  <conditionalFormatting sqref="Q8:R177">
    <cfRule type="cellIs" dxfId="5" priority="14" operator="equal">
      <formula>"N/A"</formula>
    </cfRule>
  </conditionalFormatting>
  <conditionalFormatting sqref="Q8:R177">
    <cfRule type="cellIs" dxfId="11" priority="15" operator="equal">
      <formula>"P"</formula>
    </cfRule>
  </conditionalFormatting>
  <conditionalFormatting sqref="Q8:U177 S7:U7">
    <cfRule type="beginsWith" dxfId="3" priority="16" operator="beginsWith" text="양호">
      <formula>LEFT((Q8),LEN("양호"))=("양호")</formula>
    </cfRule>
  </conditionalFormatting>
  <conditionalFormatting sqref="Q8:U177 S7:U7">
    <cfRule type="containsText" dxfId="2" priority="17" operator="containsText" text="부분양호">
      <formula>NOT(ISERROR(SEARCH(("부분양호"),(Q8))))</formula>
    </cfRule>
  </conditionalFormatting>
  <conditionalFormatting sqref="Q8:U177">
    <cfRule type="cellIs" dxfId="3" priority="18" operator="equal">
      <formula>"Y"</formula>
    </cfRule>
  </conditionalFormatting>
  <conditionalFormatting sqref="Q8:U177 S7:U7">
    <cfRule type="cellIs" dxfId="4" priority="19" operator="equal">
      <formula>"N"</formula>
    </cfRule>
  </conditionalFormatting>
  <conditionalFormatting sqref="Q8:U177 S7:U7">
    <cfRule type="cellIs" dxfId="2" priority="20" operator="equal">
      <formula>"P"</formula>
    </cfRule>
  </conditionalFormatting>
  <conditionalFormatting sqref="Q8:U177 S7:U7">
    <cfRule type="cellIs" dxfId="5" priority="21" operator="equal">
      <formula>"N/A"</formula>
    </cfRule>
  </conditionalFormatting>
  <conditionalFormatting sqref="S7:U7">
    <cfRule type="cellIs" dxfId="3" priority="22" operator="equal">
      <formula>"Y"</formula>
    </cfRule>
  </conditionalFormatting>
  <printOptions/>
  <pageMargins bottom="0.75" footer="0.0" header="0.0" left="0.6997222304344177" right="0.699722230434417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2019-01-21T06:34:44Z</dcterms:created>
  <dc:creator>PC-11</dc:creator>
</cp:coreProperties>
</file>